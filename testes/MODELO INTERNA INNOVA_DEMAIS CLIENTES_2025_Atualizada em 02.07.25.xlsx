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riv\OneDrive\Área de Trabalho\planilha dio\"/>
    </mc:Choice>
  </mc:AlternateContent>
  <xr:revisionPtr revIDLastSave="0" documentId="8_{32C4ACD6-B753-45E6-9E45-07494496C73C}" xr6:coauthVersionLast="47" xr6:coauthVersionMax="47" xr10:uidLastSave="{00000000-0000-0000-0000-000000000000}"/>
  <bookViews>
    <workbookView xWindow="20370" yWindow="-2220" windowWidth="25440" windowHeight="15270" tabRatio="833" activeTab="1" xr2:uid="{00000000-000D-0000-FFFF-FFFF00000000}"/>
  </bookViews>
  <sheets>
    <sheet name="RESUMO" sheetId="3" r:id="rId1"/>
    <sheet name="GERAL" sheetId="4" r:id="rId2"/>
    <sheet name="GRADE" sheetId="5" r:id="rId3"/>
    <sheet name="CRONOGRAMA" sheetId="6" r:id="rId4"/>
  </sheets>
  <definedNames>
    <definedName name="__123Graph_A" hidden="1">#REF!</definedName>
    <definedName name="__123Graph_D" hidden="1">#REF!</definedName>
    <definedName name="_xlnm._FilterDatabase" localSheetId="1" hidden="1">GERAL!$B$14:$I$428</definedName>
    <definedName name="_Order1" hidden="1">255</definedName>
    <definedName name="a" hidden="1">InstHook</definedName>
    <definedName name="asdfasdfasdf" hidden="1">Data #REF!</definedName>
    <definedName name="b" hidden="1">InstHook</definedName>
    <definedName name="BEx00DN1RNNMH74W9MQDEC2D4MLG" hidden="1">#REF!</definedName>
    <definedName name="BEx0122C198WJOVA5URIMEQGURX0" hidden="1">#REF!</definedName>
    <definedName name="BEx013V289ZRWMP9EHI8NHFMKPJ1" hidden="1">#REF!</definedName>
    <definedName name="BEx02NWP6363RB7IP5OGQBA3HL8M" hidden="1">#REF!</definedName>
    <definedName name="BEx03PZ01Y89BRBF5EBGZA0KE45D" hidden="1">Data #REF!</definedName>
    <definedName name="BEx03PZ0RJZTFGSE9JL33E24X4BQ" hidden="1">#REF!</definedName>
    <definedName name="BEx1FC6P208GAVHAN0DH1K9VR0UU" hidden="1">#REF!</definedName>
    <definedName name="BEx1G1NSIS6RA09FARPILP5FN948" hidden="1">#REF!</definedName>
    <definedName name="BEx1GHJN2NVVVIABID3JP4IL83JW" hidden="1">#REF!</definedName>
    <definedName name="BEx1GLQPEHZDWC3XARIN7F34UQ8S" hidden="1">#REF!</definedName>
    <definedName name="BEx1GXFITFHV7SD03R5TSRKDY647" hidden="1">#REF!</definedName>
    <definedName name="BEx1H763RKV4OJ5VVERGN06UG7L5" hidden="1">#REF!</definedName>
    <definedName name="BEx1HNNIIIXDQM27I5CAIMTRYIFG" hidden="1">#REF!</definedName>
    <definedName name="BEx1HT1R7JM8QHMAM6L6MOSBV3UZ" hidden="1">Data #REF!</definedName>
    <definedName name="BEx1HWHR2RO8KB3D1NKVRS21YJLO" hidden="1">#REF!</definedName>
    <definedName name="BEx1JAEB8WPA6FE1N1PDTIZVF1JY" hidden="1">#REF!</definedName>
    <definedName name="BEx1JLMTG518G4II3AWX0L4M7FMZ" hidden="1">#REF!</definedName>
    <definedName name="BEx1K3M7NR53362IZF5ZWWFUBZ3G" hidden="1">#REF!</definedName>
    <definedName name="BEx1KGY8Y8JQVGB39CUXFE36VUZH" hidden="1">#REF!</definedName>
    <definedName name="BEx1KJNC8ZBMX9X8YRULXDFI5MT1" hidden="1">Data #REF!</definedName>
    <definedName name="BEx1KRLD1SH2GPWBGOLXZWL6GW5F" hidden="1">Data #REF!</definedName>
    <definedName name="BEx1KV1CKN02AFUYNXR8EURBWVV5" hidden="1">#REF!</definedName>
    <definedName name="BEx1KXQHQLDDHVKZS9GREB11ALI8" hidden="1">#REF!</definedName>
    <definedName name="BEx1L0KXA23P32TQ4OE2LQWC4BS2" hidden="1">Data #REF!</definedName>
    <definedName name="BEx1L5TTUU7UQAA28PJEGB2LUNOR" hidden="1">#REF!</definedName>
    <definedName name="BEx1L884P52YSGFLECRMN4WA33VP" hidden="1">#REF!</definedName>
    <definedName name="BEx1L8Z0S4I4V3YWLV7BVOMWESMD" hidden="1">#REF!</definedName>
    <definedName name="BEx1LKIHUHRDSPM688S2DYU7L2W9" hidden="1">#REF!</definedName>
    <definedName name="BEx1LTCP6S7VXM351HQGXTXDYL3S" hidden="1">#REF!</definedName>
    <definedName name="BEx1MHMO9FGUCCYHIRNSGREJOFOY" hidden="1">#REF!</definedName>
    <definedName name="BEx1MMVFYKANS6FM5UHHD7HSQFD5" hidden="1">#REF!</definedName>
    <definedName name="BEx1MQGWDVTBGH5U7WM8TY3103V2" hidden="1">#REF!</definedName>
    <definedName name="BEx1N321L64BF95Z1X7Z603O4WCT" hidden="1">#REF!</definedName>
    <definedName name="BEx1N321SMYRZ67224L8OYC8316B" hidden="1">#REF!</definedName>
    <definedName name="BEx1NTVNHG64WSKNI9ONTGGDD3LS" hidden="1">#REF!</definedName>
    <definedName name="BEx1O4IRRM7G5A0E3P9TJ4CB8ZIL" hidden="1">#REF!</definedName>
    <definedName name="BEx1OK93QURMCCTN5NVZUAXK1MIA" hidden="1">#REF!</definedName>
    <definedName name="BEx1ONJTW1F9Y8W0Z99PD6WSO938" hidden="1">Data #REF!</definedName>
    <definedName name="BEx1OTJLXEEW0CMNCU5JJJOM9MIS" hidden="1">Data #REF!</definedName>
    <definedName name="BEx1OTP3M90FGXFEK1H30UZI7K9Q" hidden="1">#REF!</definedName>
    <definedName name="BEx1P4S5E2VISALRF1JLBYR9H3BV" hidden="1">#REF!</definedName>
    <definedName name="BEx1PNYNVK3MKECCPBD7QYMOBI6Y" hidden="1">#REF!</definedName>
    <definedName name="BEx1PREV19PBT0ORTWPCUIXRO8LD" hidden="1">Data #REF!</definedName>
    <definedName name="BEx1PZCOKG1K23PIHXM83FEBRACO" hidden="1">#REF!</definedName>
    <definedName name="BEx1Q81LUJ90VRA72IDWJJGGYRM9" hidden="1">#REF!</definedName>
    <definedName name="BEx1QLTWN1VQNWXBOIJZGY8YSLZQ" hidden="1">#REF!</definedName>
    <definedName name="BEx1QTBNIOFTGFTTZ4TIOGK6WW2X" hidden="1">#REF!</definedName>
    <definedName name="BEx1RNQQITE75NEE49Z8VB59J8XN" hidden="1">Data #REF!</definedName>
    <definedName name="BEx1S2FEUF45MD8FRLEUUA7BYDL9" hidden="1">#REF!</definedName>
    <definedName name="BEx1S485N7BCW8JNUZ8ZG718W5NS" hidden="1">#REF!</definedName>
    <definedName name="BEx1S7OB6NYKYWO1ARHIKX90JWTN" hidden="1">#REF!</definedName>
    <definedName name="BEx1SP7EB28BI83AXFU4ZYOVBLKN" hidden="1">#REF!</definedName>
    <definedName name="BEx1STJTB70ER4SV99ZNAHGC7XER" hidden="1">#REF!</definedName>
    <definedName name="BEx1TA6J2OYTF3Y1O3VIPHRENAUB" hidden="1">#REF!</definedName>
    <definedName name="BEx1THTQZWUQF5SJ1UHYQLRG15XT" hidden="1">#REF!</definedName>
    <definedName name="BEx1TOKGURV22XY5T3F8IK3V8718" hidden="1">#REF!</definedName>
    <definedName name="BEx1U7G8FPP4FTSAHM59E9XYOGNC" hidden="1">#REF!</definedName>
    <definedName name="BEx1UJQKR70LA99P9MNTGUORHXRL" hidden="1">#REF!</definedName>
    <definedName name="BEx1UN1A22ZDZ22SLO1DQFDFHZEX" hidden="1">#REF!</definedName>
    <definedName name="BEx1USKSLU1XIYHGLH1GT7GJ05QK" hidden="1">#REF!</definedName>
    <definedName name="BEx1VYDVVPKJOSRKZFSXY01HIHXV" hidden="1">#REF!</definedName>
    <definedName name="BEx1W5KZ8VYHY9WWAERMZMTJD4SY" hidden="1">#REF!</definedName>
    <definedName name="BEx1WHF37IKBCL3QJJX90Y0M0266" hidden="1">#REF!</definedName>
    <definedName name="BEx1WR5O9I6UTP3LCMKZY2U04FLS" hidden="1">#REF!</definedName>
    <definedName name="BEx1WWEL7Q7N4J7T3ESO05QFC2RP" hidden="1">#REF!</definedName>
    <definedName name="BEx1XAN084HF9GLINIE2O322PO3Q" hidden="1">#REF!</definedName>
    <definedName name="BEx1XJBXJA4VSYQ9OWSOA6P9WXSV" hidden="1">#REF!</definedName>
    <definedName name="BEx1XJHE35XAV86Z6LMQW0B9BNGG" hidden="1">#REF!</definedName>
    <definedName name="BEx1XYWXBPVEBUACRZ1XXCIFZ60L" hidden="1">#REF!</definedName>
    <definedName name="BEx1YOZMZOGU1HZGF7RKJ5XHV1XS" hidden="1">Data #REF!</definedName>
    <definedName name="BEx3AYA5DQFYHEWD4B44GGU1BGBY" hidden="1">#REF!</definedName>
    <definedName name="BEx3B1VMBTYBYJRIDSYF72844W86" hidden="1">#REF!</definedName>
    <definedName name="BEx3B5H4DTUC1F99UD51XBA1COM1" hidden="1">#REF!</definedName>
    <definedName name="BEx3BFYQ1NAR7KWYB7KF4S7BUOXF" hidden="1">#REF!</definedName>
    <definedName name="BEx3BNLT8JYMWBR8VCNL6Q2H2O9G" hidden="1">#REF!</definedName>
    <definedName name="BEx3BSJXBEDSJ68PIPK0VS4FPZS5" hidden="1">Data #REF!</definedName>
    <definedName name="BEx3BYUIDGZI81P748AQZBBCFERM" hidden="1">#REF!</definedName>
    <definedName name="BEx3C3N3S9DKEOIK96CE1BZKGY2B" hidden="1">#REF!</definedName>
    <definedName name="BEx3C7OOL7YBJYYVPVBGFRKQZODJ" hidden="1">#REF!</definedName>
    <definedName name="BEx3CBVQJEGXDLZWRYY48NYM5JKE" hidden="1">#REF!</definedName>
    <definedName name="BEx3COM8CFA3ZV1G2I8YYWGXSSH3" hidden="1">#REF!</definedName>
    <definedName name="BEx3CTV4J4DW6BW01RGAZ2V38YKX" hidden="1">#REF!</definedName>
    <definedName name="BEx3CZ9CTMRS6VY469NOTXQXEFRK" hidden="1">#REF!</definedName>
    <definedName name="BEx3CZK4GUC5JADZ1FLZNLJUB3JK" hidden="1">#REF!</definedName>
    <definedName name="BEx3D41ZIQ0NHIPUZ7JG0FA87WN3" hidden="1">#REF!</definedName>
    <definedName name="BEx3D9G6WSV417UPF2116P4CAZV4" hidden="1">#REF!</definedName>
    <definedName name="BEx3E3PXZIZQMSD5QPG9NFD7UBGH" hidden="1">#REF!</definedName>
    <definedName name="BEx3EGB38IQEE0YKUWQ725OMZ30V" hidden="1">#REF!</definedName>
    <definedName name="BEx3F68B0SXTEI1Q2G6DDCVTYZEV" hidden="1">#REF!</definedName>
    <definedName name="BEx3F6Z7JD2R1A98PMKHS2GFIJ2M" hidden="1">#REF!</definedName>
    <definedName name="BEx3FQB3MUNK41WT4FSHMBCNHSC5" hidden="1">Data #REF!</definedName>
    <definedName name="BEx3G8QQ14QY90A8FIWKMTR0ELJE" hidden="1">#REF!</definedName>
    <definedName name="BEx3GEA8WMC85VS04KUR6DWF59WH" hidden="1">#REF!</definedName>
    <definedName name="BEx3GF1BP6ILUT1FLKM31G5FH0K0" hidden="1">#REF!</definedName>
    <definedName name="BEx3GR0X1ZO25BN3WHJPSURYKAKB" hidden="1">#REF!</definedName>
    <definedName name="BEx3HG1S1FK60SDUQG43BVO98TIZ" hidden="1">#REF!</definedName>
    <definedName name="BEx3HNZL21KWCG34BJF3ZWCI5YLS" hidden="1">#REF!</definedName>
    <definedName name="BEx3I2TRRGNTQS0W6RO8IGG37J84" hidden="1">#REF!</definedName>
    <definedName name="BEx3ICKDGA81GKAZHZFP2O9W8L2W" hidden="1">#REF!</definedName>
    <definedName name="BEx3J3JER1WZFQZRI9KZI8FYS3UC" hidden="1">#REF!</definedName>
    <definedName name="BEx3J5HLUJMKRTDS0TMFDV5S8FLM" hidden="1">#REF!</definedName>
    <definedName name="BEx3JPKDO7OMEH9VRZEGRB26HKJG" hidden="1">#REF!</definedName>
    <definedName name="BEx3JSKAH5YHYTFJ7AIZTIVQ4SO7" hidden="1">#REF!</definedName>
    <definedName name="BEx3K78Z1QBF12WULUVZW3R06CDL" hidden="1">#REF!</definedName>
    <definedName name="BEx3K7EFVFGLWIDGPDF5MR9KZS0U" hidden="1">#REF!</definedName>
    <definedName name="BEx3KDOTZLPJVPHQ5P3IVA92LX21" hidden="1">#REF!</definedName>
    <definedName name="BEx3KIXQ2O9LMAR9NDI56XVODBQX" hidden="1">#REF!</definedName>
    <definedName name="BEx3KZV9X2RGEGXAIFH1EQHGCJ83" hidden="1">#REF!</definedName>
    <definedName name="BEx3L2PW0S8TQCTMZOHOZQ6FBQAU" hidden="1">Data #REF!</definedName>
    <definedName name="BEx3L3RKSQTLFM04XVKYXDX296SO" hidden="1">#REF!</definedName>
    <definedName name="BEx3L4TE1MMUSF43VFM14CTU6R0H" hidden="1">#REF!</definedName>
    <definedName name="BEx3L4YPKJ61N63RY8E3V99MWFG3" hidden="1">#REF!</definedName>
    <definedName name="BEx3MABOSI3BLRGJWHKJF3X5VZWM" hidden="1">#REF!</definedName>
    <definedName name="BEx3MCF7PKDSB4J12Y2XTDN7W168" hidden="1">#REF!</definedName>
    <definedName name="BEx3MJBDDFCJQTILV3R5X4AMK14H" hidden="1">#REF!</definedName>
    <definedName name="BEx3MK7PIDC9T8KEOO6A7OKJS2XX" hidden="1">#REF!</definedName>
    <definedName name="BEx3MKNVDCQ844JO28RD2JM8CWN0" hidden="1">#REF!</definedName>
    <definedName name="BEx3MMGLSWOWT2CIHALL8I46N8H9" hidden="1">#REF!</definedName>
    <definedName name="BEx3MUP7UVESCUMON2SELYESPCMS" hidden="1">#REF!</definedName>
    <definedName name="BEx3MYWANZP89FXU93YGWYDQLCIJ" hidden="1">Data #REF!</definedName>
    <definedName name="BEx3NFOHGFYG5I1CK6V2HWBSPEZJ" hidden="1">Data #REF!</definedName>
    <definedName name="BEx3NI8AKI6L0CSL06ED6OC8R363" hidden="1">#REF!</definedName>
    <definedName name="BEx3O1PFVGUKDML4STP1RAXJX24X" hidden="1">#REF!</definedName>
    <definedName name="BEx3O9NFKDKUH8COBRM65UIUOJX2" hidden="1">Data #REF!</definedName>
    <definedName name="BEx3OL1GK59AZOM3H2FGW3JUHY4F" hidden="1">#REF!</definedName>
    <definedName name="BEx3ONQK2ZX6NLZK8YN2SYBNR7AS" hidden="1">#REF!</definedName>
    <definedName name="BEx3PDNSKGJ1VHYPB2WWMJA0W6EY" hidden="1">Data #REF!</definedName>
    <definedName name="BEx3PPSOZQOGJVXQ1DHT6KMBO7S0" hidden="1">#REF!</definedName>
    <definedName name="BEx3Q1XQLRJBUI3HVP0496572HL9" hidden="1">Data #REF!</definedName>
    <definedName name="BEx3QMBFT0KBPTQEARMU78JYBIFP" hidden="1">#REF!</definedName>
    <definedName name="BEx3R98S7CCJG5CZXRP5T5LV4WKX" hidden="1">Data #REF!</definedName>
    <definedName name="BEx3RBCAF0KH35B4XA7E89B1RRF2" hidden="1">#REF!</definedName>
    <definedName name="BEx3RGQJLQTXLZ3H2YZXI4UFSXLD" hidden="1">#REF!</definedName>
    <definedName name="BEx3RU827F80R9UW8NJUJMOY8LCB" hidden="1">#REF!</definedName>
    <definedName name="BEx3RWBKQM72AT470K7R9R29TO5B" hidden="1">#REF!</definedName>
    <definedName name="BEx3S50HFKYSJQBVEIQP2GO4NBXN" hidden="1">#REF!</definedName>
    <definedName name="BEx3S8LY558FQ7YUNGHIJ2R673QJ" hidden="1">#REF!</definedName>
    <definedName name="BEx3T1Z68NL4GFWG05YKHYY6V01V" hidden="1">#REF!</definedName>
    <definedName name="BEx3T24NJULGS3UJTWH07T3MNFJU" hidden="1">#REF!</definedName>
    <definedName name="BEx3TJIGTIHAPKOLHQFNBSCQIWR1" hidden="1">#REF!</definedName>
    <definedName name="BEx3TJYJRAZTNECEQUO1ODIF1PVP" hidden="1">#REF!</definedName>
    <definedName name="BEx3TZ8T1XBP77LMFD89QTWBVA8Y" hidden="1">#REF!</definedName>
    <definedName name="BEx3U353EE2WFLPHOQT4IRLFUSXE" hidden="1">Data #REF!</definedName>
    <definedName name="BEx3U7XPN1UUCL1QPJQ82YQYOCTD" hidden="1">#REF!</definedName>
    <definedName name="BEx3UAMTKU7EM461LVVQP4ERALVO" hidden="1">#REF!</definedName>
    <definedName name="BEx56XPMUED6NEFAUFRHHF32C4L8" hidden="1">#REF!</definedName>
    <definedName name="BEx572T1G34MSP4IX06G9TJ89GMW" hidden="1">#REF!</definedName>
    <definedName name="BEx57DWASUXVV33KCZ080EATEQ65" hidden="1">#REF!</definedName>
    <definedName name="BEx57IE3SWW65HDJMM8I1WWX0P98" hidden="1">#REF!</definedName>
    <definedName name="BEx57ROKN8JN8VHOB50OQUUHM2PS" hidden="1">Data #REF!</definedName>
    <definedName name="BEx58DV1VFTX127CAKNDGDGF4X72" hidden="1">Data #REF!</definedName>
    <definedName name="BEx58E0C6LOM5KQOHWK5P6TTDFFK" hidden="1">#REF!</definedName>
    <definedName name="BEx58R1RF4J83D558WB5F77OWN2Y" hidden="1">#REF!</definedName>
    <definedName name="BEx58R1T1SV6TRIBYKK2BJBPR3O4" hidden="1">#REF!</definedName>
    <definedName name="BEx58VE5FMJGX7VMIA693KRT3GNS" hidden="1">#REF!</definedName>
    <definedName name="BEx59HQ3012HCBUD0LSA96J1EURG" hidden="1">#REF!</definedName>
    <definedName name="BEx59MD8MGKDE7IKA5HGGLY9V8Y4" hidden="1">#REF!</definedName>
    <definedName name="BEx59MYSRTHR0YN28C28I9J6E1G5" hidden="1">#REF!</definedName>
    <definedName name="BEx5ALKY4092TPRG0MYA6NEIM5T5" hidden="1">#REF!</definedName>
    <definedName name="BEx5BCUSCPPC7V0Y7YIF91Z60P1W" hidden="1">#REF!</definedName>
    <definedName name="BEx5BECPCU1BJDOSCSB2VWVEJ34T" hidden="1">#REF!</definedName>
    <definedName name="BEx5BVQIBM7799NCEV950YKLM9TW" hidden="1">#REF!</definedName>
    <definedName name="BEx5CDV7N75H43JBEJKVWSRCOG74" hidden="1">#REF!</definedName>
    <definedName name="BEx5CN5PTQT0CLMPD6LSVK0HR4EE" hidden="1">#REF!</definedName>
    <definedName name="BEx5DGTVMKJU8FQZ0MS7YHNLPZE6" hidden="1">#REF!</definedName>
    <definedName name="BEx5DGTVZ5RP1ODM18DRQ0D337MD" hidden="1">Data #REF!</definedName>
    <definedName name="BEx5DMO6S3L4ILLIGYB42LY5SGMV" hidden="1">Data #REF!</definedName>
    <definedName name="BEx5DXM2J2QB73UHY89K1JBZPZT0" hidden="1">Data #REF!</definedName>
    <definedName name="BEx5DZPLSXWZG3MZ8QDVVR6S4DAF" hidden="1">#REF!</definedName>
    <definedName name="BEx5E30686KVQ7P1NVBGZ4B3BBWS" hidden="1">#REF!</definedName>
    <definedName name="BEx5EDNA8QZ9YOS1IJMV3K99SWIO" hidden="1">#REF!</definedName>
    <definedName name="BEx5EI5458GCS7Y96VS6IW52QQWH" hidden="1">#REF!</definedName>
    <definedName name="BEx5EMC6QVXV9XJHZT0RTDOMM3BK" hidden="1">#REF!</definedName>
    <definedName name="BEx5EN8JDJGG4UG7NYZ23B9SMQQG" hidden="1">#REF!</definedName>
    <definedName name="BEx5F2YX1L7DTE1V26WRT864I41A" hidden="1">#REF!</definedName>
    <definedName name="BEx5F39PWR40CUK9ZVE3AKHQB922" hidden="1">#REF!</definedName>
    <definedName name="BEx5F9K9HWQQAYB3F2NNXO4PQN4R" hidden="1">#REF!</definedName>
    <definedName name="BEx5FC3XPOOCYJBP7XJ420K2ENLF" hidden="1">#REF!</definedName>
    <definedName name="BEx5FQSL822M586LGWGTU8L80Q54" hidden="1">#REF!</definedName>
    <definedName name="BEx5FWXV53H1WZD0NR8R6PSEA3ZR" hidden="1">#REF!</definedName>
    <definedName name="BEx5FYAIHB95M634JUIM13TJE3JD" hidden="1">#REF!</definedName>
    <definedName name="BEx5G92S6548GHXOIDTDMD7YNMP0" hidden="1">#REF!</definedName>
    <definedName name="BEx5GBRVWVZ2E8XA99S6T36YEIOB" hidden="1">#REF!</definedName>
    <definedName name="BEx5GCZ0XUM7WTSFXZA26PV1N3W6" hidden="1">#REF!</definedName>
    <definedName name="BEx5GERSJFST4HM0MYJ0GWW7XUNT" hidden="1">#REF!</definedName>
    <definedName name="BEx5GM9JVA4D7Y3WPAVAOCYEUFJS" hidden="1">#REF!</definedName>
    <definedName name="BEx5GMV2OUFGWU0P4FWT9JOLWA7Y" hidden="1">#REF!</definedName>
    <definedName name="BEx5GSEMV26SJHPH7VJMQB49RIOP" hidden="1">Data #REF!</definedName>
    <definedName name="BEx5GWWNEKA7E9DEJ3LA1IG9T3N1" hidden="1">Data #REF!</definedName>
    <definedName name="BEx5GXI774CALHQNJ4Q4LPHWBH9Y" hidden="1">#REF!</definedName>
    <definedName name="BEx5HCHP5MKMKZK0J77JQXZN7SUF" hidden="1">#REF!</definedName>
    <definedName name="BEx5HP86Q42IP9C7LUGEMB5QMU9B" hidden="1">#REF!</definedName>
    <definedName name="BEx5I05WGOUJUCDGS5VJ0H7BJ0LN" hidden="1">Data #REF!</definedName>
    <definedName name="BEx5IGSSZ9C5176M748WY77N4DM8" hidden="1">#REF!</definedName>
    <definedName name="BEx5IWZB5USOF5E6V54RYE75FG5F" hidden="1">#REF!</definedName>
    <definedName name="BEx5IZ8BYT6P8Q34R7NOOFNX3MA0" hidden="1">#REF!</definedName>
    <definedName name="BEx5J34KUCXE1PRLQJEN6MMXFUG2" hidden="1">Data #REF!</definedName>
    <definedName name="BEx5JIUYZ9GT3TWWGRH4EIRL9NJR" hidden="1">#REF!</definedName>
    <definedName name="BEx5K039BP1X0IF6BF4B4CYX3TFJ" hidden="1">#REF!</definedName>
    <definedName name="BEx5K08QB5M5GKDI6DRRKXUFMVJP" hidden="1">#REF!</definedName>
    <definedName name="BEx5K0E88BSTIRRLXY0342BFITEI" hidden="1">#REF!</definedName>
    <definedName name="BEx5KBMQY4DTROCUGAC59GMAR7GV" hidden="1">#REF!</definedName>
    <definedName name="BEx5KK0VPUKFCE3CRHBGFMW8FXT5" hidden="1">Data #REF!</definedName>
    <definedName name="BEx5KKX7LM9IJAF6XZAK4I0Y94AX" hidden="1">#REF!</definedName>
    <definedName name="BEx5KLIT7OHMD8X3HGDHH8WS30E1" hidden="1">#REF!</definedName>
    <definedName name="BEx5KUT55I5T6NPJQ09F7DPUN9AP" hidden="1">#REF!</definedName>
    <definedName name="BEx5L0CSOJ4QXGK67O6M0NQI288O" hidden="1">#REF!</definedName>
    <definedName name="BEx5LL1BKTEQ30I0722WZNSPMOTV" hidden="1">#REF!</definedName>
    <definedName name="BEx5LL6LB2HN35Z4NGCUUFVBDQV1" hidden="1">#REF!</definedName>
    <definedName name="BEx5LQKU280WK2VD3HP3HL9RVVJJ" hidden="1">#REF!</definedName>
    <definedName name="BEx5LSTTE1QZ6HT3ZXSEAP42MN31" hidden="1">#REF!</definedName>
    <definedName name="BEx5M12GWADUJV9UGJWP5ZUIQQ21" hidden="1">#REF!</definedName>
    <definedName name="BEx5M3X2A6EWX34OCKT4VEI17BUK" hidden="1">#REF!</definedName>
    <definedName name="BEx5MANQKX9FGFNZAWID7L2SZ6L3" hidden="1">#REF!</definedName>
    <definedName name="BEx5MH93NV0RLPUZ73BRUNCF9R2Z" hidden="1">Data #REF!</definedName>
    <definedName name="BEx5NCKJN117HBYQ9I01ZV3OR3YS" hidden="1">Data #REF!</definedName>
    <definedName name="BEx5NNNS0DR8FKMPCXNT5RK4RQ1Z" hidden="1">Data #REF!</definedName>
    <definedName name="BEx5NY5DXL6JVCKVY21TOH0CBSHC" hidden="1">#REF!</definedName>
    <definedName name="BEx5O4LBZWM5XGMDWQY1PIQCVHZ5" hidden="1">Data #REF!</definedName>
    <definedName name="BEx5O86SYUTAC6FVNC4BP811B7PQ" hidden="1">#REF!</definedName>
    <definedName name="BEx5OT0RD1OY81XEZTK44DODAQ6K" hidden="1">#REF!</definedName>
    <definedName name="BEx5OUIPJMKI0DU0UPZHAFPNZ8IR" hidden="1">#REF!</definedName>
    <definedName name="BEx5PAJVGV2PA40MXVVSJ84XENMS" hidden="1">#REF!</definedName>
    <definedName name="BEx5PICDV7URORBDIZH65M68RE55" hidden="1">#REF!</definedName>
    <definedName name="BEx5PTQDVS3R8XZQYPDXWWUIU5CI" hidden="1">#REF!</definedName>
    <definedName name="BEx5PUXK7OMCA02B5HWZ3CHWBX4S" hidden="1">Data #REF!</definedName>
    <definedName name="BEx5PYTSP5E7Z1DZ52W6B67BVKII" hidden="1">#REF!</definedName>
    <definedName name="BEx5Q5Q0CPAUKNK4JM3HI8KQQGLG" hidden="1">Data #REF!</definedName>
    <definedName name="BEx74F399QHAIJL974P6QYXXU6E8" hidden="1">Data #REF!</definedName>
    <definedName name="BEx74FOU66WPDSHUWXXNAIJR4J4A" hidden="1">#REF!</definedName>
    <definedName name="BEx74FZMRJIEN8ZDX2HVREJC54X5" hidden="1">#REF!</definedName>
    <definedName name="BEx74M4RE7MZCVU9U46NUZHO39SL" hidden="1">#REF!</definedName>
    <definedName name="BEx74RDNQGFTFTVQCDXLELRMWDY9" hidden="1">Data #REF!</definedName>
    <definedName name="BEx74RDNZ7ETQH72NW7XS5WAXKKF" hidden="1">#REF!</definedName>
    <definedName name="BEx75BGJMJGAPDFZLQRIGTEXIWZO" hidden="1">#REF!</definedName>
    <definedName name="BEx75OSNX7A6NGWRF62340JC7F5B" hidden="1">Data #REF!</definedName>
    <definedName name="BEx75S8SOHYHKHPN0B8ZVCXR8YKY" hidden="1">#REF!</definedName>
    <definedName name="BEx76KV3YS3JZWEMLP0YUMIAZJSN" hidden="1">#REF!</definedName>
    <definedName name="BEx76N9GAN08U4UKIX2BOKO863UA" hidden="1">Data #REF!</definedName>
    <definedName name="BEx770G5Z8BQQPIPKOEVWXBVSND9" hidden="1">#REF!</definedName>
    <definedName name="BEx77U9P4GRSPWD0JG1QH63JU7GS" hidden="1">Data #REF!</definedName>
    <definedName name="BEx78697S6VMFCNXH3UEHZS74IZ5" hidden="1">#REF!</definedName>
    <definedName name="BEx78YKTKPRSWKIZIN18O6WTW5DR" hidden="1">Data #REF!</definedName>
    <definedName name="BEx799YS1SWHHPAF1GRK5F53GGZA" hidden="1">#REF!</definedName>
    <definedName name="BEx79SUK8I7PJBW7NAM1APF60S62" hidden="1">#REF!</definedName>
    <definedName name="BEx7AC6EZ4QWHZHGETG2NWV0BSFH" hidden="1">#REF!</definedName>
    <definedName name="BEx7AEQ60XVRMBY2S4Y3PPD3JMOR" hidden="1">#REF!</definedName>
    <definedName name="BEx7B3R140DY36HG31JT2HZZXPYG" hidden="1">#REF!</definedName>
    <definedName name="BEx7BDXWPDII0UHIVWP213N9LB59" hidden="1">#REF!</definedName>
    <definedName name="BEx7BG1G5N42AR0V9P9TG6YV63XM" hidden="1">#REF!</definedName>
    <definedName name="BEx7BHOOXMKHPBGT1TV0T1O837GI" hidden="1">#REF!</definedName>
    <definedName name="BEx7BRFGN9VLN33UCCKX8F6LWBR1" hidden="1">#REF!</definedName>
    <definedName name="BEx7BSH4EQYNL3O31LGKT63LFSUU" hidden="1">#REF!</definedName>
    <definedName name="BEx7C1RLKDQT9PG324XS6QI7GRVR" hidden="1">#REF!</definedName>
    <definedName name="BEx7CLUJ7MFK9HWUPXQA4DP783RN" hidden="1">#REF!</definedName>
    <definedName name="BEx7CWHFHP5W0E3NUAY77CBCTDAC" hidden="1">Data #REF!</definedName>
    <definedName name="BEx7D2MPS6FS22ZY5X7H20U3R8UE" hidden="1">#REF!</definedName>
    <definedName name="BEx7DF2G29AQ9YK9G122I67RHSA6" hidden="1">#REF!</definedName>
    <definedName name="BEx7DH5XLLUHMOTXC3G8GRL3MFQ0" hidden="1">Data #REF!</definedName>
    <definedName name="BEx7DTR2XDG3DJFKI0O72VQ8KWDT" hidden="1">#REF!</definedName>
    <definedName name="BEx7E7OPODBXY9EAJMSNBC9K4FN4" hidden="1">Data #REF!</definedName>
    <definedName name="BEx7EURIFYR11S49NQX0BSQ7BV10" hidden="1">#REF!</definedName>
    <definedName name="BEx7EURJPU8TAUU4ITW0WBTIK91X" hidden="1">Data #REF!</definedName>
    <definedName name="BEx7F5PFXO8LGM2R82YC5UJ50SCH" hidden="1">#REF!</definedName>
    <definedName name="BEx7FDN9VKK2OZI7HPTDJ6CNVX7C" hidden="1">#REF!</definedName>
    <definedName name="BEx7FEJMDQSJJMRKFDJQAHCDOOOX" hidden="1">#REF!</definedName>
    <definedName name="BEx7FL517MJHWI6RJEG8NXL4WM4Y" hidden="1">#REF!</definedName>
    <definedName name="BEx7FPMWBUPOXLJA263ZRW0GXZAU" hidden="1">#REF!</definedName>
    <definedName name="BEx7FW2ROVHD1I1JBDLUQGGKHSSJ" hidden="1">#REF!</definedName>
    <definedName name="BEx7HC2PPTDSMGLRYDJ89JS50ODH" hidden="1">#REF!</definedName>
    <definedName name="BEx7HVUTP36YBUIBZZJMG2VYUE1Q" hidden="1">#REF!</definedName>
    <definedName name="BEx7HXCPZTGP7SGZVGD95HHKA55J" hidden="1">#REF!</definedName>
    <definedName name="BEx7ICN28WRZ27O7UOTDDULBYF5D" hidden="1">#REF!</definedName>
    <definedName name="BEx7IH4VG06VF99ORJIYGBYBVRKW" hidden="1">#REF!</definedName>
    <definedName name="BEx7IQ9UFXJDMWL2OGD6OWXJ1A4C" hidden="1">#REF!</definedName>
    <definedName name="BEx7IR0XF3W8QVUGX4JUXZROH3MH" hidden="1">#REF!</definedName>
    <definedName name="BEx7IW471B53L94RBL5I91HLHORD" hidden="1">Data #REF!</definedName>
    <definedName name="BEx7JDY8ZRYV78AJ6J3PMSO534YA" hidden="1">#REF!</definedName>
    <definedName name="BEx7JE91UQ73SJJCG8S9BNUV5REH" hidden="1">#REF!</definedName>
    <definedName name="BEx7JLW4S15RUGC9OV1O5E9O71OB" hidden="1">#REF!</definedName>
    <definedName name="BEx7JTJBOZ7UYO826GJYCX18R2BQ" hidden="1">#REF!</definedName>
    <definedName name="BEx7JTOMK745H8NKL53UWZCT18U9" hidden="1">#REF!</definedName>
    <definedName name="BEx7KAMBLRP1BZYRHP24O4H3L17R" hidden="1">#REF!</definedName>
    <definedName name="BEx7L98FYYPCK4LH0QXIN5NIJI25" hidden="1">#REF!</definedName>
    <definedName name="BEx7LCDOFXTCTWRZLB8808KK8L2V" hidden="1">#REF!</definedName>
    <definedName name="BEx7M3I78XZJZNYFWBESQ8P56SUR" hidden="1">#REF!</definedName>
    <definedName name="BEx7MC1MYNX1GOG07LQ15LBWR2CM" hidden="1">Data #REF!</definedName>
    <definedName name="BEx7MFCBLV7VZNM9BAL24BST77SZ" hidden="1">#REF!</definedName>
    <definedName name="BEx7MM8HJJJBFSWPL35QMT2POU8C" hidden="1">Data #REF!</definedName>
    <definedName name="BEx7O0VYVXBNFGVK93BQVZH8FNGG" hidden="1">#REF!</definedName>
    <definedName name="BEx8ZHPDWVFNL517HOP1SEMO2Q1O" hidden="1">#REF!</definedName>
    <definedName name="BEx901XN30L63C9BAQ9ZHZI8B8MN" hidden="1">#REF!</definedName>
    <definedName name="BEx902DWR8LH7DNK06I12OUWRM37" hidden="1">#REF!</definedName>
    <definedName name="BEx90S5TXOXFOWO0YNG87OH7G3CX" hidden="1">#REF!</definedName>
    <definedName name="BEx914G79NQRWWOCKIHCF0F6YXIL" hidden="1">#REF!</definedName>
    <definedName name="BEx929CX1AX5WB71IEYWM3R1U1OC" hidden="1">Data #REF!</definedName>
    <definedName name="BEx92DENOH4SPJVRHRGANSXN6VO9" hidden="1">#REF!</definedName>
    <definedName name="BEx92ER3E1HVKR37LQDRCR6CQKXW" hidden="1">#REF!</definedName>
    <definedName name="BEx931OFYCCTB5C7S3FA3JTYBDQU" hidden="1">Data #REF!</definedName>
    <definedName name="BEx937DGFWOPR9H0Z5PLQWMNW87V" hidden="1">#REF!</definedName>
    <definedName name="BEx93CMBYHSSC1I1FZLTNI2JFB3Y" hidden="1">Data #REF!</definedName>
    <definedName name="BEx93SNGOUCR6T77PF5MW7OPWYM9" hidden="1">Data #REF!</definedName>
    <definedName name="BEx93Y70FP1KSVJT07SZAFL1BWZ4" hidden="1">#REF!</definedName>
    <definedName name="BEx93YCI5M2CMZJZEPR0N7XY6127" hidden="1">Data #REF!</definedName>
    <definedName name="BEx94BZCP4NMS7ZAG5K6L1GXRNEA" hidden="1">#REF!</definedName>
    <definedName name="BEx94EJ52Y2VGQ30SOT44M6JM8LW" hidden="1">#REF!</definedName>
    <definedName name="BEx94GRYKCHVWZZWQRWV8MKT27QE" hidden="1">Data #REF!</definedName>
    <definedName name="BEx94L9SY471BTR2YC4XJ0RGTCKJ" hidden="1">#REF!</definedName>
    <definedName name="BEx95HXVT2IVVQL9PZ4I8VWYMQ9F" hidden="1">#REF!</definedName>
    <definedName name="BEx95SVMJPF4LQ9LMW5M63S4KVEV" hidden="1">#REF!</definedName>
    <definedName name="BEx95XOAF1LHNQH8GFR7R59BO8I4" hidden="1">#REF!</definedName>
    <definedName name="BEx95YVEUGDZ2X8VH8SYB01J3QJJ" hidden="1">#REF!</definedName>
    <definedName name="BEx96KWEL272C4GTDBH8TU7CM9AI" hidden="1">#REF!</definedName>
    <definedName name="BEx96OCJ5QSNMV3WNGVZ5QD20REN" hidden="1">#REF!</definedName>
    <definedName name="BEx96OY5G4NFTSS1UIOR5PPF9GTH" hidden="1">#REF!</definedName>
    <definedName name="BEx97CMCOF2NGAX3L67PXBBFLVY8" hidden="1">#REF!</definedName>
    <definedName name="BEx97GISOWP1QQ4J9F8ODFTOV3SU" hidden="1">#REF!</definedName>
    <definedName name="BEx97GYVR6I08F2ILTWYEZ5FQ8KU" hidden="1">#REF!</definedName>
    <definedName name="BEx981HWIM4DSDGKDDOJZOUNE51P" hidden="1">#REF!</definedName>
    <definedName name="BEx984SPU7HFMWOFYLYS84FF80LT" hidden="1">#REF!</definedName>
    <definedName name="BEx98H2Y6WH0WPEBPZYODOC6RSPL" hidden="1">#REF!</definedName>
    <definedName name="BEx98WO0VOE8RVCW2TZ7UT61BJLJ" hidden="1">Data #REF!</definedName>
    <definedName name="BEx99227KKTT0HZHEX7PVJG7PV1Q" hidden="1">#REF!</definedName>
    <definedName name="BEx9963TL2EKLKMEMB84RSJ7KYWC" hidden="1">Data #REF!</definedName>
    <definedName name="BEx9975NLOT54ZN6DL4R8GW3C3P6" hidden="1">#REF!</definedName>
    <definedName name="BEx99IZR09D3VO9IA19OGF44P9GV" hidden="1">#REF!</definedName>
    <definedName name="BEx99R33KPXITKOUQGOBKRGHBRHH" hidden="1">#REF!</definedName>
    <definedName name="BEx99X87O6QA5171PRJOYITAKDMZ" hidden="1">#REF!</definedName>
    <definedName name="BEx9AV8W0KKXL6YMF2CLIVTTNITS" hidden="1">#REF!</definedName>
    <definedName name="BEx9AVZS51SHLTNUTC6TXW9HA8VR" hidden="1">#REF!</definedName>
    <definedName name="BEx9B6HGNAA886CMJ9UZ3QDKDNH0" hidden="1">Data #REF!</definedName>
    <definedName name="BEx9BJDCR3YYOFYLQKPSVLD0ZZ30" hidden="1">#REF!</definedName>
    <definedName name="BEx9BP7VRE9AXCDTN4VUZAXI08HJ" hidden="1">#REF!</definedName>
    <definedName name="BEx9BURDYZJ274BIQAY1YNH5XR56" hidden="1">#REF!</definedName>
    <definedName name="BEx9C11YFIB43KJV8XLJS9VYMR3F" hidden="1">#REF!</definedName>
    <definedName name="BEx9CB3BNHH6IM8CZ2DLRSBVS1A5" hidden="1">#REF!</definedName>
    <definedName name="BEx9DBNNP30LS5VTXGCVHES2YO1K" hidden="1">#REF!</definedName>
    <definedName name="BEx9DUJFOQTBJTOY5XJIMSONJJH2" hidden="1">#REF!</definedName>
    <definedName name="BEx9DXJCZTZOHK7YY5WNTIXAO5MA" hidden="1">#REF!</definedName>
    <definedName name="BEx9ECYWNJAXZOWPQ2O1EIMLJRW6" hidden="1">Data #REF!</definedName>
    <definedName name="BEx9EQWPC5Q2UO6GS16U5YRCJCZK" hidden="1">#REF!</definedName>
    <definedName name="BEx9ESJZK7EYNTFQEN36WICBH8MA" hidden="1">#REF!</definedName>
    <definedName name="BEx9EZG4Q56HYQSQ2ZPVYMU0TDDP" hidden="1">#REF!</definedName>
    <definedName name="BEx9F0N9NWKM1SX6EYW8G6NBL19A" hidden="1">#REF!</definedName>
    <definedName name="BEx9FHQAUCUC6WOA4F9AB7M3GMEC" hidden="1">#REF!</definedName>
    <definedName name="BEx9FMZ19EIC1DRX97MECWY8PJS8" hidden="1">#REF!</definedName>
    <definedName name="BEx9FWV3X1J7GUOFPXE15K89816B" hidden="1">#REF!</definedName>
    <definedName name="BEx9FYYMBR94E9K5OZ64D78Q5E0I" hidden="1">#REF!</definedName>
    <definedName name="BEx9FYYMG0V6LUW5YKQFS6ACQ8AF" hidden="1">#REF!</definedName>
    <definedName name="BEx9G7NIOK6F9UITVO02463CMP2X" hidden="1">Data #REF!</definedName>
    <definedName name="BEx9GFQUWUWUN4BV5VJ59D3DKUIQ" hidden="1">#REF!</definedName>
    <definedName name="BEx9GUQBLPCF3Y7ST06E0RHTLBY6" hidden="1">#REF!</definedName>
    <definedName name="BEx9HZHK2KTHML6DAUH8ES3814FY" hidden="1">#REF!</definedName>
    <definedName name="BEx9J0NHIK0BOV9A98ABT4T3E3ML" hidden="1">Data #REF!</definedName>
    <definedName name="BEx9JGU3EJUEW2CTSN42QG9MQJUM" hidden="1">Data #REF!</definedName>
    <definedName name="BEx9KQOWOK00PPRXFZ2ZFWOXXVTK" hidden="1">Data #REF!</definedName>
    <definedName name="BExAWEPC0402CI9W14UV7VXFNIKD" hidden="1">#REF!</definedName>
    <definedName name="BExAWW36OK2JZ8E7B6TC0NVVFQTK" hidden="1">#REF!</definedName>
    <definedName name="BExAXCPW3W59PCIK7HZ5YENNYBBJ" hidden="1">Data #REF!</definedName>
    <definedName name="BExAXETEDP76BLNFTFGECENTWIUV" hidden="1">#REF!</definedName>
    <definedName name="BExAXPGIYYO97LHX147LFXC5HCY4" hidden="1">#REF!</definedName>
    <definedName name="BExAXT7AO0ENP6V776HG324MJAAB" hidden="1">Data #REF!</definedName>
    <definedName name="BExAXWY9PW7WS3WH0EZPX799JIBE" hidden="1">#REF!</definedName>
    <definedName name="BExAY1G3P5KWOGGL12WJRYOS30EY" hidden="1">#REF!</definedName>
    <definedName name="BExAY4AJV0TWPNFYVT3O4RVHAWO8" hidden="1">#REF!</definedName>
    <definedName name="BExAYJKSNAKSJBQ21S6X2401Q5SQ" hidden="1">#REF!</definedName>
    <definedName name="BExAYS4EDEVT7X51039NGU2ML2XS" hidden="1">#REF!</definedName>
    <definedName name="BExAYV9MJXMTPK7S7WXK8YCRQZBY" hidden="1">#REF!</definedName>
    <definedName name="BExAZ0NSJ8AA3L3W75KL2GVZGC55" hidden="1">#REF!</definedName>
    <definedName name="BExAZGJNJR3S5F73FK65AGY8X9U8" hidden="1">#REF!</definedName>
    <definedName name="BExAZMU2LFAYXN7NP3IXLRREUUJG" hidden="1">#REF!</definedName>
    <definedName name="BExAZRMVVTPYKOYLK29XR4Z8YHDE" hidden="1">#REF!</definedName>
    <definedName name="BExAZWKUDUHL2BKSDYCSQCHQBY8B" hidden="1">#REF!</definedName>
    <definedName name="BExB006AYI15YJ07W5IDD9FQ1Q67" hidden="1">Data #REF!</definedName>
    <definedName name="BExB059QN8IF71F22Q5OFV3S9J0C" hidden="1">#REF!</definedName>
    <definedName name="BExB0B42UYHWY6G5AUEGCUBRPF72" hidden="1">#REF!</definedName>
    <definedName name="BExB0PHZYI1HQD0K4902R0E0Y3WU" hidden="1">#REF!</definedName>
    <definedName name="BExB11XSNGQGPBZEMAZ5HF9X7FPL" hidden="1">#REF!</definedName>
    <definedName name="BExB1QYPCZX5OFCZPO1BIYYD0L5I" hidden="1">#REF!</definedName>
    <definedName name="BExB1UK4SOOKCPPYUP9TK00U2ZX0" hidden="1">#REF!</definedName>
    <definedName name="BExB23JUWNOR2AQ60KSS1C47MIVD" hidden="1">Data #REF!</definedName>
    <definedName name="BExB2JA72AOL30AV2X9F90VKHAPV" hidden="1">#REF!</definedName>
    <definedName name="BExB2M4SEH9YLHF31QHVV0P833EU" hidden="1">#REF!</definedName>
    <definedName name="BExB2M4SPKP5QRHSTZOCAIB2BCAK" hidden="1">#REF!</definedName>
    <definedName name="BExB2ODLVVOG27C86XQU93Q08AQF" hidden="1">#REF!</definedName>
    <definedName name="BExB2U2LSJ8LWMYZVZ8F7CWGNSJK" hidden="1">#REF!</definedName>
    <definedName name="BExB2UDEQGZLH29CN0DWBOXD688E" hidden="1">#REF!</definedName>
    <definedName name="BExB36YKC9N2NDXGQSWK2MINTOHJ" hidden="1">Data #REF!</definedName>
    <definedName name="BExB3APIU3DJCOTJIS51RYYXZY2G" hidden="1">#REF!</definedName>
    <definedName name="BExB4I5WAQIGTMV0QCXHDX5TMTLD" hidden="1">Data #REF!</definedName>
    <definedName name="BExB4QJYJZTB7F3I8LZ5HMF8YQXQ" hidden="1">#REF!</definedName>
    <definedName name="BExB4SYBUMQKE2W0L1CN70OJW7HC" hidden="1">#REF!</definedName>
    <definedName name="BExB5G6FGLCS6OJW733JB5OH2MR3" hidden="1">#REF!</definedName>
    <definedName name="BExB5GH83FOZC9JXN7HN4V19GIW2" hidden="1">#REF!</definedName>
    <definedName name="BExB5IFFUM13NAIL3FRWXMJ6IV52" hidden="1">#REF!</definedName>
    <definedName name="BExB69PANL72YLHHA8D719971FNV" hidden="1">#REF!</definedName>
    <definedName name="BExB6C3FU2WQTPUPW9AAYK88MLXM" hidden="1">Data #REF!</definedName>
    <definedName name="BExB6C3FY4TSRB95FRDWPXGYBBF9" hidden="1">#REF!</definedName>
    <definedName name="BExB6SVOGVZNP3QU70NUDJ7SU5QR" hidden="1">Data #REF!</definedName>
    <definedName name="BExB89H68OI50OM4K68QGA3LY253" hidden="1">#REF!</definedName>
    <definedName name="BExB8GO2RL32X5WUKLKFTBDTPZET" hidden="1">#REF!</definedName>
    <definedName name="BExB8GYW9D8YJEDRN5J1YT8QO6DV" hidden="1">#REF!</definedName>
    <definedName name="BExB8QEOC51AUUG1WV8OL3KPBA24" hidden="1">#REF!</definedName>
    <definedName name="BExB90G92AA77OA39J1VV7IGIKH9" hidden="1">#REF!</definedName>
    <definedName name="BExB9OVHXYFK7KSTZLAJMUII6PEF" hidden="1">#REF!</definedName>
    <definedName name="BExB9PBR5BMS2LKGUAQ4I705Z061" hidden="1">#REF!</definedName>
    <definedName name="BExB9RKMMUBZHFDITEV2HKXJHFN8" hidden="1">#REF!</definedName>
    <definedName name="BExB9ZNWCGJ2KMUW6FOBYE8KFCH0" hidden="1">#REF!</definedName>
    <definedName name="BExBA8NM0FGO5MUDDSV2NER2M873" hidden="1">#REF!</definedName>
    <definedName name="BExBANSF4E9CFV00F04XJSISAC7A" hidden="1">Data #REF!</definedName>
    <definedName name="BExBAO3776JV60X5K0OJA909SHGU" hidden="1">#REF!</definedName>
    <definedName name="BExBB8GWOGM2RQZ6L5F7XZ1STXVV" hidden="1">Data #REF!</definedName>
    <definedName name="BExBBN043DO8JUFSIKY99W5XCCND" hidden="1">#REF!</definedName>
    <definedName name="BExBC1U9Q6DY2N6OZWRRY7HPZQYU" hidden="1">#REF!</definedName>
    <definedName name="BExBC54Z3768FAXXE405T3SH5J3L" hidden="1">#REF!</definedName>
    <definedName name="BExBCIH2IA4FU3B3E5NLQ2SSQG6X" hidden="1">#REF!</definedName>
    <definedName name="BExBCORLP54IRXPRFCSBR9SEW8CM" hidden="1">#REF!</definedName>
    <definedName name="BExBCQ9K19RDFEXZYN4C3LXBDVNN" hidden="1">#REF!</definedName>
    <definedName name="BExBCX5P77HMJXV2Z00UQ45YARM5" hidden="1">#REF!</definedName>
    <definedName name="BExBCYNNUFL01S91CK6WJKJY923W" hidden="1">#REF!</definedName>
    <definedName name="BExBCYNP8CZAN0YW9ZZCENDDC0WZ" hidden="1">#REF!</definedName>
    <definedName name="BExBDLFOY6F6QQHA96NONKXBTF4J" hidden="1">Data #REF!</definedName>
    <definedName name="BExBDMC1E069R6KU95H3L92JS18B" hidden="1">#REF!</definedName>
    <definedName name="BExBDUVG0OE9OL45AR1J7LPTHTEJ" hidden="1">#REF!</definedName>
    <definedName name="BExBDUVGYLPVNH5FSQC0EJ1BGIH7" hidden="1">#REF!</definedName>
    <definedName name="BExBDX9SQ6VHI99ERAS97XT1UVJU" hidden="1">#REF!</definedName>
    <definedName name="BExBF2XL2PQ4I5MS28H1YNFBJ0HE" hidden="1">#REF!</definedName>
    <definedName name="BExBF4FHMEKIQXY9HMA24RQYWP1A" hidden="1">#REF!</definedName>
    <definedName name="BExCR0U0G0ZT0RK64WN9O8JFQJIH" hidden="1">#REF!</definedName>
    <definedName name="BExCS2WBYPYFDWT8OAWB14BM6HLK" hidden="1">#REF!</definedName>
    <definedName name="BExCSDZIEIK094IF7RA8CV10ZPMI" hidden="1">#REF!</definedName>
    <definedName name="BExCSGOMHMY2E9FW9QW8A0Q1QZQC" hidden="1">#REF!</definedName>
    <definedName name="BExCSJZBENLYLUQDHIIK58T9S425" hidden="1">#REF!</definedName>
    <definedName name="BExCSRBLX0F6HISINR6KIHMPVRYY" hidden="1">#REF!</definedName>
    <definedName name="BExCSTKMV35OLRJ0BP2BXWVDUI4P" hidden="1">#REF!</definedName>
    <definedName name="BExCTC02LHXFF4U0STR1FAI3H5DR" hidden="1">#REF!</definedName>
    <definedName name="BExCTC03HI46HHK9J3D77I6YTCXJ" hidden="1">#REF!</definedName>
    <definedName name="BExCTEP6WIIX016Y0H5TDFS3THF2" hidden="1">Data #REF!</definedName>
    <definedName name="BExCU87VBDGCMG5HCVQ9WE81VF9H" hidden="1">Data #REF!</definedName>
    <definedName name="BExCU8TGZZTAIRCX045U6XWFHKFE" hidden="1">#REF!</definedName>
    <definedName name="BExCUDWW7G3BP4J6VKI30GOSJOWN" hidden="1">#REF!</definedName>
    <definedName name="BExCUUZWIQVQGTCOO9TI5RVEG0EM" hidden="1">#REF!</definedName>
    <definedName name="BExCUYLDH21WRZGZRJBR1N5YM3ED" hidden="1">#REF!</definedName>
    <definedName name="BExCUZY0RS0YDPM0DEBZOY9FJ7OK" hidden="1">#REF!</definedName>
    <definedName name="BExCV08MTIWQDPE4CGZMQGSI1QZ8" hidden="1">#REF!</definedName>
    <definedName name="BExCV0ZQBH6HO5C6DFG4BQ0FXZF0" hidden="1">#REF!</definedName>
    <definedName name="BExCV3ZMAK1XGAS57RHWG5S7ZLV5" hidden="1">#REF!</definedName>
    <definedName name="BExCVBS3F1CMSPQ0DH4K7AZ9G7VV" hidden="1">#REF!</definedName>
    <definedName name="BExCVT5X8BYXGMG4UONXZG8DGSAW" hidden="1">#REF!</definedName>
    <definedName name="BExCWDJN14SH66HF6EFVIS41YI2N" hidden="1">#REF!</definedName>
    <definedName name="BExCWYO7000EHMUOEPT8HRGOGGMW" hidden="1">#REF!</definedName>
    <definedName name="BExCX12KBHNOXQVBUR0XEA6WDX3L" hidden="1">#REF!</definedName>
    <definedName name="BExCX9M3DT2UODKEZUF2CJFX92B9" hidden="1">#REF!</definedName>
    <definedName name="BExCXJY9BTRV76D0W9AO5NZKLIDE" hidden="1">#REF!</definedName>
    <definedName name="BExCXQOYUBAOS5ECWLPEJZK6YDQC" hidden="1">#REF!</definedName>
    <definedName name="BExCYEO4MFK15Z91OEKWN4GGGF0X" hidden="1">#REF!</definedName>
    <definedName name="BExCYFKJD9C5EEIK5CXQ2GOV53P4" hidden="1">#REF!</definedName>
    <definedName name="BExCYG0LLVFPWLLST79W202EOGLD" hidden="1">#REF!</definedName>
    <definedName name="BExCYK2CJPPU3DY2Z3377UIEMJ53" hidden="1">#REF!</definedName>
    <definedName name="BExCYYLJKC4SIG6GEEI3OTB8XVCI" hidden="1">#REF!</definedName>
    <definedName name="BExD05WKWYBBE02QK5URGMR90XVJ" hidden="1">#REF!</definedName>
    <definedName name="BExD0LHMLVRIMU61Q8OU0P7WM8L0" hidden="1">#REF!</definedName>
    <definedName name="BExD0NQHCQANUGQ13ZHWCXU3CERK" hidden="1">#REF!</definedName>
    <definedName name="BExD0PU19FCANXIJAQ6RIVX6C5EM" hidden="1">#REF!</definedName>
    <definedName name="BExD16BFPWZJHFF00KURQKU3PHQ7" hidden="1">#REF!</definedName>
    <definedName name="BExD172HCNOQ5ETSQ44SDW91R6RN" hidden="1">Data #REF!</definedName>
    <definedName name="BExD282XMK7PHMTC5V68FJ4HRTUT" hidden="1">Data #REF!</definedName>
    <definedName name="BExD28OINHYE4YMZZW2B1VKLT7NI" hidden="1">#REF!</definedName>
    <definedName name="BExD2B8ATF7DGGWG098W5KZL2MQM" hidden="1">#REF!</definedName>
    <definedName name="BExD2BJ4GJCQNCEX5OL9NC6LZR2K" hidden="1">#REF!</definedName>
    <definedName name="BExD2IF9Q3P72S26BXKEHN4QU29L" hidden="1">#REF!</definedName>
    <definedName name="BExD2IKL0OLZLWM556P96PO4Z6LU" hidden="1">#REF!</definedName>
    <definedName name="BExD31R4ZPTK2E2PPCBF4OPOBSH6" hidden="1">Data #REF!</definedName>
    <definedName name="BExD33UNHMQTTF9KTD2HA24JRWJG" hidden="1">Data #REF!</definedName>
    <definedName name="BExD3DFYDKXR18SEH3UDMHQOM1B1" hidden="1">#REF!</definedName>
    <definedName name="BExD4J3IRAJXOD630L7HJH4KWDGO" hidden="1">#REF!</definedName>
    <definedName name="BExD542SGX1A6VH91ANFOJBOKM24" hidden="1">#REF!</definedName>
    <definedName name="BExD5ADDIZN3827X4XVNFFV4P761" hidden="1">#REF!</definedName>
    <definedName name="BExD5JNTH3G5VXO68JY8R623ROK1" hidden="1">#REF!</definedName>
    <definedName name="BExD5LRE7NVZIY1SP421RB2TPCFC" hidden="1">#REF!</definedName>
    <definedName name="BExD6RKHITHQZZXUGW1SGKATH05I" hidden="1">#REF!</definedName>
    <definedName name="BExD6WYOOSFEB8SD6C8V0OCQHIA8" hidden="1">Data #REF!</definedName>
    <definedName name="BExD6XPQD0WEKFU30G0MFKN952HF" hidden="1">#REF!</definedName>
    <definedName name="BExD7DQW3N7QG0H0CKELVIDCA6PA" hidden="1">#REF!</definedName>
    <definedName name="BExD7GQS5XAQ1BYAYMR7CH1MYCZH" hidden="1">Data #REF!</definedName>
    <definedName name="BExD7KSCJIV7TRIUG2463UIUP92K" hidden="1">#REF!</definedName>
    <definedName name="BExD7MQJHOJY2H9FIYZ2HK1ZGN83" hidden="1">#REF!</definedName>
    <definedName name="BExD7S4SINFT4CRQTHL20HA1QJX2" hidden="1">Data #REF!</definedName>
    <definedName name="BExD7Y9X5QW9TWSO15TFZ22603K2" hidden="1">#REF!</definedName>
    <definedName name="BExD8AV1U97MFCF1YGRPJSVZNCWC" hidden="1">#REF!</definedName>
    <definedName name="BExD8B5VAJLGEJLBXY2BRMH73MQB" hidden="1">#REF!</definedName>
    <definedName name="BExD8PZVWSDV8FL6R8Q77ECH2SZG" hidden="1">#REF!</definedName>
    <definedName name="BExD8TLATHI5PCVAXPY8014EAMU2" hidden="1">#REF!</definedName>
    <definedName name="BExD9IWYZ6R2CRH2JMGBJZMU4CZ7" hidden="1">#REF!</definedName>
    <definedName name="BExD9JO14A172PZMP3SUSR420OZU" hidden="1">#REF!</definedName>
    <definedName name="BExD9NEU4P0RAY02W8E5XFPY1ZP2" hidden="1">#REF!</definedName>
    <definedName name="BExD9QUYQG0QQZZP9LLRED8MOWK7" hidden="1">#REF!</definedName>
    <definedName name="BExD9R0AWTGK8VD3QVGXQOV9U69B" hidden="1">#REF!</definedName>
    <definedName name="BExDA41QFDB7OUAOJAW72VEEOZLQ" hidden="1">#REF!</definedName>
    <definedName name="BExDAASF4MH9V7OWA4B7JH358LJT" hidden="1">Data #REF!</definedName>
    <definedName name="BExDAB8P2G5770SL4V6PV63ZB5NY" hidden="1">#REF!</definedName>
    <definedName name="BExDALA1NT3ODUP4RUYF2P356UF3" hidden="1">Data #REF!</definedName>
    <definedName name="BExDB7GIPE8SR03NVAHPLOE6N6V8" hidden="1">#REF!</definedName>
    <definedName name="BExDC6TNLN8K7PIV0RZ1T3WN99RD" hidden="1">#REF!</definedName>
    <definedName name="BExDCIIHFIFPOD4KOX9Y4IYFX8G1" hidden="1">#REF!</definedName>
    <definedName name="BExENSFSZR9ZXQRYCSCC827HYP1N" hidden="1">#REF!</definedName>
    <definedName name="BExEP84WV8GE5AMLK8P7RXM8GY4C" hidden="1">Data #REF!</definedName>
    <definedName name="BExEQ0WPHCNMLC9GI8KMMH2J8Q1F" hidden="1">Data #REF!</definedName>
    <definedName name="BExEQ65N3ONIRVNFTEFOAREAC0QS" hidden="1">Data #REF!</definedName>
    <definedName name="BExEQWZ709SJTY0KV9LAQMC93WK4" hidden="1">#REF!</definedName>
    <definedName name="BExERCK88ZGOI9NB9Y6W7CT6WIR6" hidden="1">#REF!</definedName>
    <definedName name="BExERKI4K8AHB160XT3SRGYDPP4P" hidden="1">#REF!</definedName>
    <definedName name="BExESSK72QBYL282A79G0SQ27HY5" hidden="1">#REF!</definedName>
    <definedName name="BExESWAZ03O6QKGV1J7GH4W2RQE8" hidden="1">#REF!</definedName>
    <definedName name="BExETFC69CFDAKX4L3BVWFTO4RN6" hidden="1">#REF!</definedName>
    <definedName name="BExEU3GPLC7OCKR263OE3MH5B0H9" hidden="1">#REF!</definedName>
    <definedName name="BExEV9KIQEX9DD57R97RLN0VQFL2" hidden="1">#REF!</definedName>
    <definedName name="BExEVB2IDHFWWJP4UTIG8KCDB2VJ" hidden="1">Data #REF!</definedName>
    <definedName name="BExEVCEZ0C4FQR5H87BF5744FS4X" hidden="1">#REF!</definedName>
    <definedName name="BExEVUUH60IEJQAQI9R0V4YYM8T7" hidden="1">#REF!</definedName>
    <definedName name="BExEWIDIDNZ8SYN16XJFU48SG6CY" hidden="1">Data #REF!</definedName>
    <definedName name="BExEWNBH9K0UYMCN0MA8U11E47DN" hidden="1">Data #REF!</definedName>
    <definedName name="BExEXBW8QQ1696B5BDOI4WW9M960" hidden="1">Data #REF!</definedName>
    <definedName name="BExEXMJ5MK7EKOILL0CTCENXVSRD" hidden="1">#REF!</definedName>
    <definedName name="BExEXVJ13GPN0NXTCB0JKR8NQAVG" hidden="1">#REF!</definedName>
    <definedName name="BExEYBUYXQ3UVVY4II2M8MTKAHRO" hidden="1">#REF!</definedName>
    <definedName name="BExEYQJO54BAPWTYM6MWIXU4DMQ8" hidden="1">#REF!</definedName>
    <definedName name="BExEYZDV9377JO6XNBOZ7DC975JU" hidden="1">#REF!</definedName>
    <definedName name="BExEYZTZCHIWML0PRHI9DYTHODRF" hidden="1">#REF!</definedName>
    <definedName name="BExEZ0FP58B7Z60OUCLULOBAMCWJ" hidden="1">#REF!</definedName>
    <definedName name="BExEZ2DRXRUD7C1G5IRI7SNE9S1A" hidden="1">Data #REF!</definedName>
    <definedName name="BExEZC4CZRHCBP49ZDHDQ9Z8PYPU" hidden="1">#REF!</definedName>
    <definedName name="BExEZKT9B2O43EPC2O2MHG6IC2AO" hidden="1">Data #REF!</definedName>
    <definedName name="BExEZKTELVA49JYFQMF3C6ZJ0CXW" hidden="1">#REF!</definedName>
    <definedName name="BExEZOER0WPRUB2JPN5LHEMS08PR" hidden="1">#REF!</definedName>
    <definedName name="BExEZQ7GXOQFHS3LGCI0W9JQGQNN" hidden="1">#REF!</definedName>
    <definedName name="BExF02CIZPPNV6UUWLNLDGBAR9VF" hidden="1">#REF!</definedName>
    <definedName name="BExF02SMGA4JUGBBLM3LIUJVS1BV" hidden="1">#REF!</definedName>
    <definedName name="BExF08SFRILLJRB8FJE6M688W9J8" hidden="1">#REF!</definedName>
    <definedName name="BExF0BN14C7LRN9JSLZMXKL1WWBW" hidden="1">#REF!</definedName>
    <definedName name="BExF0PVGIE3UB2TQGSL36ELMEIOC" hidden="1">#REF!</definedName>
    <definedName name="BExF1798K3OCM0D3OOQVUE3O0UUV" hidden="1">#REF!</definedName>
    <definedName name="BExF19I2PM3KQPRY4F5GOA3WEIGA" hidden="1">Data #REF!</definedName>
    <definedName name="BExF1A95F6QS47OQVRIWP495NAXH" hidden="1">Data #REF!</definedName>
    <definedName name="BExF1NVZALCZG0PRRJ3P7AHBRU7Y" hidden="1">#REF!</definedName>
    <definedName name="BExF1WKX0GZAU8X8VCOOY8NWFNFV" hidden="1">Data #REF!</definedName>
    <definedName name="BExF272J8RU5KS0XZXA4W74WTBP7" hidden="1">#REF!</definedName>
    <definedName name="BExF2EPK5YJLGEBHLX3JYD3EGSXC" hidden="1">#REF!</definedName>
    <definedName name="BExF2K9AWMR75KI9J7QBKW9NJCEJ" hidden="1">#REF!</definedName>
    <definedName name="BExF2SSO68AGAB2C42OWMWUW4FP2" hidden="1">#REF!</definedName>
    <definedName name="BExF2Y6W20OPSVZCY7ELLQUQKG2M" hidden="1">Data #REF!</definedName>
    <definedName name="BExF30AGFZX3O1GGXPEVW9YBGHRN" hidden="1">#REF!</definedName>
    <definedName name="BExF3PM2NACS33BQ71BY2I7D2ES8" hidden="1">Data #REF!</definedName>
    <definedName name="BExF3Q2BVPXFX11RB89XC674LY4K" hidden="1">#REF!</definedName>
    <definedName name="BExF3WNOVVUG939R6714V94452K9" hidden="1">#REF!</definedName>
    <definedName name="BExF4FDZOMAG3ZVFH9O0C1BV8ZHK" hidden="1">#REF!</definedName>
    <definedName name="BExF4HXR0O5DBH9EPJEENOT4NEC1" hidden="1">#REF!</definedName>
    <definedName name="BExF4KC45Z1PA87UFF85R7SEV02N" hidden="1">#REF!</definedName>
    <definedName name="BExF50D9J5GH8M0C064YXZGOH5WO" hidden="1">Data #REF!</definedName>
    <definedName name="BExF58LXHLVL98IK36D447NLVRY8" hidden="1">#REF!</definedName>
    <definedName name="BExF5AK49SGY3QJ2ANNX7XU7YIC7" hidden="1">#REF!</definedName>
    <definedName name="BExF5DPBHYIULMR0S4TH8KJXGLXU" hidden="1">#REF!</definedName>
    <definedName name="BExF6018XO217RYTYNJUANQGABGA" hidden="1">Data #REF!</definedName>
    <definedName name="BExF69BJIMR45BIGGP09UA0DHUA5" hidden="1">#REF!</definedName>
    <definedName name="BExF7059ZW1F8YRI5HBX16OHHAFK" hidden="1">#REF!</definedName>
    <definedName name="BExF7IA0NWLTSVROBFQ6ALS3U0G0" hidden="1">#REF!</definedName>
    <definedName name="BExF8DG4NYBEU7CQ38KYTAYV2LMA" hidden="1">#REF!</definedName>
    <definedName name="BExF8G56WAHMVYCEA5RZUVY3I47S" hidden="1">#REF!</definedName>
    <definedName name="BExF8V4P7DVSGWT4RZEYRXG5KS29" hidden="1">#REF!</definedName>
    <definedName name="BExF91Q3S3CHRVVJTVJZWE94P2EW" hidden="1">#REF!</definedName>
    <definedName name="BExGLEWUB8MFXOQMJOERXX9QQ32F" hidden="1">Data #REF!</definedName>
    <definedName name="BExGLPEH6L28RDBDR7EBZWSXDFIV" hidden="1">#REF!</definedName>
    <definedName name="BExGLX70FVM781TR8O1XHVD3RJ6J" hidden="1">#REF!</definedName>
    <definedName name="BExGLZLCBB1KELLMKLM3WAOB8JLZ" hidden="1">#REF!</definedName>
    <definedName name="BExGM7TXYC2AY75B6SB0W5VL2A1V" hidden="1">#REF!</definedName>
    <definedName name="BExGMM2IXUNKMR5GC8IPPARCTW8P" hidden="1">#REF!</definedName>
    <definedName name="BExGMPO0M6YIW3X4DMU5ETZ5WH8S" hidden="1">#REF!</definedName>
    <definedName name="BExGMVICW1RBH0VEKUJH3Q58HEPV" hidden="1">Data #REF!</definedName>
    <definedName name="BExGN0AZA99GLW7OKPUY4FOC8MLX" hidden="1">#REF!</definedName>
    <definedName name="BExGNU4H02GNIORKNZYXOQIOQC63" hidden="1">#REF!</definedName>
    <definedName name="BExGNYRRFL2QME3QDB8ZGJV65VIW" hidden="1">#REF!</definedName>
    <definedName name="BExGNZYY2SP6BDZ5OO77YGW73NJO" hidden="1">Data #REF!</definedName>
    <definedName name="BExGO1BF1DSNKBLGE26HX5WT2DY0" hidden="1">#REF!</definedName>
    <definedName name="BExGO828U6GW49VDHD5I346S4ZI3" hidden="1">#REF!</definedName>
    <definedName name="BExGOA5SLYVQIYJRK568HNDLKRA5" hidden="1">#REF!</definedName>
    <definedName name="BExGOCUPHDJQRKT0WQDJ7SVZNCWL" hidden="1">#REF!</definedName>
    <definedName name="BExGPJEV40UD7P3QLBGWTJXJ0O20" hidden="1">#REF!</definedName>
    <definedName name="BExGPMV07P26TFVNQ5AEAKUANIS7" hidden="1">#REF!</definedName>
    <definedName name="BExGPO27NPOLKC2ISX3XI577IONY" hidden="1">#REF!</definedName>
    <definedName name="BExGPXCNV7FH5I14HNVYV3O1ICD5" hidden="1">#REF!</definedName>
    <definedName name="BExGPY3JX4GVK5Y78DZWFXRZGOVT" hidden="1">#REF!</definedName>
    <definedName name="BExGPZLJIWW92M49Q33EG0OFLC9T" hidden="1">Data #REF!</definedName>
    <definedName name="BExGQ66VBZ6MW3HA37M8354G0FXE" hidden="1">#REF!</definedName>
    <definedName name="BExGQCBZYNB5BPGI18RGZKO053C4" hidden="1">#REF!</definedName>
    <definedName name="BExGQRGYAUKCMJAWAHRVUEUF46FD" hidden="1">Data #REF!</definedName>
    <definedName name="BExGQWPP3JTLQHE7MWA5S9LXR0HM" hidden="1">#REF!</definedName>
    <definedName name="BExGQWV6UBKD5VVTGAHBJGGKBTY0" hidden="1">#REF!</definedName>
    <definedName name="BExGROVXG95JMMHLH2ZNEH52I8CQ" hidden="1">#REF!</definedName>
    <definedName name="BExGS34CKX3IU6FKB2IB93RDWFNV" hidden="1">#REF!</definedName>
    <definedName name="BExGSFK67T448FZQS6UZI3L6JSFE" hidden="1">#REF!</definedName>
    <definedName name="BExGSS5CIS3473CAHTU7G2K14TQL" hidden="1">#REF!</definedName>
    <definedName name="BExGSVW5S5Q41BSY3YKGA0JZMX7R" hidden="1">#REF!</definedName>
    <definedName name="BExGT9OFW4ZK2DNKMCG6KZAN1BMX" hidden="1">#REF!</definedName>
    <definedName name="BExGTITN9T9DX0GJDJQALA70LZ02" hidden="1">#REF!</definedName>
    <definedName name="BExGTIYXG2FN8L6RDJKG0XYLMEK3" hidden="1">#REF!</definedName>
    <definedName name="BExGTQGP4AA2XK973X1GIETKLQEA" hidden="1">#REF!</definedName>
    <definedName name="BExGU6723KYJ51Q01LF5WF87J0IO" hidden="1">#REF!</definedName>
    <definedName name="BExGUJOKI06V86A1VOERF04VPK3H" hidden="1">#REF!</definedName>
    <definedName name="BExGUMZ9HSOSX4TJPQR0M470AWPE" hidden="1">#REF!</definedName>
    <definedName name="BExGUMZA6JQ89MFI9SKRFR114MJL" hidden="1">#REF!</definedName>
    <definedName name="BExGUOBQX8NUFL4YFLAN01SMXY0S" hidden="1">#REF!</definedName>
    <definedName name="BExGUTPYNOZNQP2ATFUHKXKAYW2W" hidden="1">#REF!</definedName>
    <definedName name="BExGV8UXTC9PB2I3N8CH024QMF9Z" hidden="1">#REF!</definedName>
    <definedName name="BExGVDI2I9T6H6XYGK211BLTEKMK" hidden="1">#REF!</definedName>
    <definedName name="BExGVI58FDC7G703AP8T3AISG4WJ" hidden="1">#REF!</definedName>
    <definedName name="BExGVVHGXCRT7R9NYKZLOKB2RBFG" hidden="1">#REF!</definedName>
    <definedName name="BExGVY1303R2TTGA4QVL8XKK7SOL" hidden="1">#REF!</definedName>
    <definedName name="BExGW7MDGOVJ8SOI7SZGKX7LH7BH" hidden="1">#REF!</definedName>
    <definedName name="BExGWMGHRP0C6YV8Y2RS796SPM4F" hidden="1">Data #REF!</definedName>
    <definedName name="BExGWN24P4G5IF7PTQ5FN3XMV0VE" hidden="1">#REF!</definedName>
    <definedName name="BExGWNNO0EAWEE472C4OKVLMXECJ" hidden="1">Data #REF!</definedName>
    <definedName name="BExGWYG3C6MXX8NGRZFQ1OCCFH2Q" hidden="1">#REF!</definedName>
    <definedName name="BExGX1G0NHI5INERGQVOA0C7YAIM" hidden="1">#REF!</definedName>
    <definedName name="BExGX339DC55ZSGT4CQNVXKXC41G" hidden="1">#REF!</definedName>
    <definedName name="BExGXN66QJSZVZ0J6LPKYLXUV5R6" hidden="1">#REF!</definedName>
    <definedName name="BExGXQRN2VSYES0ARIGQY1I8P3YM" hidden="1">#REF!</definedName>
    <definedName name="BExGXVKBS3BSRM3GKXDK7SM1CBZ8" hidden="1">#REF!</definedName>
    <definedName name="BExGY5WHIN7FBH68LKAWC3J2FZNO" hidden="1">Data #REF!</definedName>
    <definedName name="BExGYCY2O7121J4AH73UZJY789BQ" hidden="1">#REF!</definedName>
    <definedName name="BExGYEAL6H03T4N0J1VMWTB4HQI6" hidden="1">#REF!</definedName>
    <definedName name="BExGYFSHWZOP9MXZANP6F65TG2BS" hidden="1">#REF!</definedName>
    <definedName name="BExGZQUHL16AQU6UB0UAXCW78KCN" hidden="1">#REF!</definedName>
    <definedName name="BExGZRAK6G56LDBCZQ5RLON21RP6" hidden="1">#REF!</definedName>
    <definedName name="BExGZU56NT7ZVC7AVTJLO3LQZ4RL" hidden="1">Data #REF!</definedName>
    <definedName name="BExGZU56NT7ZVCAVTJLO3LQZ4Ri" hidden="1">Data #REF!</definedName>
    <definedName name="BExGZVCCDIUZM9YV8HB4Q5CKDXU4" hidden="1">#REF!</definedName>
    <definedName name="BExGZZDXZXGMEBTORY9LPUXPJOQ6" hidden="1">#REF!</definedName>
    <definedName name="BExH01XK75RCBMAN68JWMLHEG5BT" hidden="1">#REF!</definedName>
    <definedName name="BExH0DBQ4HV0JVJHVO87ORXI9MHE" hidden="1">#REF!</definedName>
    <definedName name="BExH0LEV4V84XHELSK7H53DL8GXG" hidden="1">#REF!</definedName>
    <definedName name="BExH1GL0CV9TE27K7P7WHPUTUIVL" hidden="1">#REF!</definedName>
    <definedName name="BExH1LOFSN4V2EO3WWO0H609QAFG" hidden="1">#REF!</definedName>
    <definedName name="BExH1NH597DKEHGW9511Q1G5IBMI" hidden="1">#REF!</definedName>
    <definedName name="BExH1UYWFHYYCC1PBIR93R5JR9P0" hidden="1">#REF!</definedName>
    <definedName name="BExH1YKE66RUSNKNVM5HNMUVJW82" hidden="1">Data #REF!</definedName>
    <definedName name="BExH2EAQXSWLIILOYLALUC0XCN1E" hidden="1">#REF!</definedName>
    <definedName name="BExH2LCCK7L281Z5L2UIUGW1PT6H" hidden="1">#REF!</definedName>
    <definedName name="BExH2NFWHC0NRWTGN6EFXE8SO2SC" hidden="1">#REF!</definedName>
    <definedName name="BExH2TA92PKC7JJIDQ74HKRX9278" hidden="1">#REF!</definedName>
    <definedName name="BExH2WFLFP788R9JOCUHQP9PPX2I" hidden="1">Data #REF!</definedName>
    <definedName name="BExH2WVPKSZH5YR8J21AZPVOT4O9" hidden="1">#REF!</definedName>
    <definedName name="BExH41XWMKQQQQK9270TMADM9FH0" hidden="1">#REF!</definedName>
    <definedName name="BExH4E89E9UG2Y3QZGMZL96PQ5O5" hidden="1">#REF!</definedName>
    <definedName name="BExIFMYDYXKY1E88AKEW5FZNDXXV" hidden="1">#REF!</definedName>
    <definedName name="BExIHQ6MC9M8Q78K9SW0RF1RVVIG" hidden="1">#REF!</definedName>
    <definedName name="BExIHWMHS9W7PK8LBUW0TO2N3IQR" hidden="1">Data #REF!</definedName>
    <definedName name="BExIIDPIDTDLJ01NTAJUPPKS83QY" hidden="1">#REF!</definedName>
    <definedName name="BExIIV3C9GGXF8F6M9PY3X1U6KSD" hidden="1">#REF!</definedName>
    <definedName name="BExIIYU412DTISMXQCEG8PXNYVVI" hidden="1">Data #REF!</definedName>
    <definedName name="BExIJ2QET3V0Z0X3L301ZEIUW9W8" hidden="1">#REF!</definedName>
    <definedName name="BExIJCRWLUK52XL53ZTQME1PO8XK" hidden="1">Data #REF!</definedName>
    <definedName name="BExIJDO9IJ2GYP53BAOPZ4Y1C2EF" hidden="1">#REF!</definedName>
    <definedName name="BExIJTPGSEWJC3D6Z7TZP7ORL0HN" hidden="1">#REF!</definedName>
    <definedName name="BExIK1Y2NRHEHAP813AI4NTDRTQU" hidden="1">#REF!</definedName>
    <definedName name="BExIKEOQ8814Y8O3QM6AA3VNL1YM" hidden="1">#REF!</definedName>
    <definedName name="BExIKKOI3LY6S2M7RLQTB5AO3FBE" hidden="1">#REF!</definedName>
    <definedName name="BExIKM101EIG2HHRNTZT3YYQUW6V" hidden="1">#REF!</definedName>
    <definedName name="BExIKOFA29D0CFJLQP4885U7TLHB" hidden="1">#REF!</definedName>
    <definedName name="BExIKYGU2L6OBKGS6BSIOGOKL515" hidden="1">#REF!</definedName>
    <definedName name="BExIL9K2HFMYYMX85S6QOI6TJDO7" hidden="1">#REF!</definedName>
    <definedName name="BExILBSWGYYCDQ65AOBB845ZEST1" hidden="1">#REF!</definedName>
    <definedName name="BExILENCOZ1001Q5O6S4YR0O584F" hidden="1">#REF!</definedName>
    <definedName name="BExILNSIEH5WZ019YEJ79YKWXA07" hidden="1">#REF!</definedName>
    <definedName name="BExILPAFK57HC0IEIQR9EMYEX2GU" hidden="1">#REF!</definedName>
    <definedName name="BExIM0IYCPOJTO3O0WBKSSHQUWWT" hidden="1">#REF!</definedName>
    <definedName name="BExIMV8U5VRD1A2TRXGHA3HW7G00" hidden="1">Data #REF!</definedName>
    <definedName name="BExIMYOY168NMDQN301CCEO9XU9U" hidden="1">#REF!</definedName>
    <definedName name="BExIMYU9RYXSQXTE6SM36I7S0EAG" hidden="1">#REF!</definedName>
    <definedName name="BExIN01H3I9GED79V39Q024NP2LZ" hidden="1">#REF!</definedName>
    <definedName name="BExINJISCQGOGCY1VNKA7WWX47MX" hidden="1">#REF!</definedName>
    <definedName name="BExINZUWUV7MJ32TXUSGT3AHEPCO" hidden="1">#REF!</definedName>
    <definedName name="BExIO3AVHHUBVFMY340YYOJIU7OD" hidden="1">#REF!</definedName>
    <definedName name="BExIO3G6QSOMSF69VKPTXZ8CJIKQ" hidden="1">Data #REF!</definedName>
    <definedName name="BExIOACCZZSHZNTN4P0V7ZNGFTUI" hidden="1">Data #REF!</definedName>
    <definedName name="BExIOBZS0HJBNVJMY5I27VRNETJB" hidden="1">#REF!</definedName>
    <definedName name="BExIOCQU6FIZF2RLOA6QY5DRRXDM" hidden="1">#REF!</definedName>
    <definedName name="BExIOQJ4UOJSB1AAZONQHITVX30F" hidden="1">#REF!</definedName>
    <definedName name="BExIP4GRUFCTPICQ5BW7RLF6N99V" hidden="1">#REF!</definedName>
    <definedName name="BExIP4GTQA0VF3TAO5CGQKK4I5L3" hidden="1">#REF!</definedName>
    <definedName name="BExIP4WXHAUKHXO8YZUBSXE4KAZN" hidden="1">#REF!</definedName>
    <definedName name="BExIP6PNANYLBT5A4DMB0L8KJN5Y" hidden="1">#REF!</definedName>
    <definedName name="BExIP7RI8KNN1YIK5YL5JW40T26A" hidden="1">#REF!</definedName>
    <definedName name="BExIPAGM35SAWFY9I0JNSYPAKGUJ" hidden="1">Data #REF!</definedName>
    <definedName name="BExIPU8JZ1N4QY7DJ9R345C40OOT" hidden="1">#REF!</definedName>
    <definedName name="BExIQQRBEXQX543TSL4U4ZE4Y68A" hidden="1">#REF!</definedName>
    <definedName name="BExIQS99N83IZYCX50BQ1Q4C8GA8" hidden="1">#REF!</definedName>
    <definedName name="BExIR9N2XBD2E8BS2AI5GXORC25J" hidden="1">#REF!</definedName>
    <definedName name="BExIRTVACIJR8WJNCP4HX3HXTDX7" hidden="1">#REF!</definedName>
    <definedName name="BExIS902P65PPPCQP1TZWQ1FOB1T" hidden="1">#REF!</definedName>
    <definedName name="BExISD743Q009SJZ2PNOD2P5G3UI" hidden="1">#REF!</definedName>
    <definedName name="BExISD74YG436V4IIXZMCHQPN9HJ" hidden="1">#REF!</definedName>
    <definedName name="BExISEZUTIO3YO791VQ1IJIQWWUA" hidden="1">#REF!</definedName>
    <definedName name="BExISVHBNZWGOC54SUIKFJC9810B" hidden="1">#REF!</definedName>
    <definedName name="BExISXFDKJ8TGY19BYMZF2T6RS1H" hidden="1">#REF!</definedName>
    <definedName name="BExIT16B3D9207QXDOGMMXKUKQBS" hidden="1">#REF!</definedName>
    <definedName name="BExIT5YY9BBQDI5JCUDBIUPMCBP7" hidden="1">Data #REF!</definedName>
    <definedName name="BExIT6VAE1N7I8NLJ800RFNK47U5" hidden="1">#REF!</definedName>
    <definedName name="BExITBNYJ73J7FRKB6BI2W1G14BU" hidden="1">#REF!</definedName>
    <definedName name="BExITFK81D3MK2G83ERMUY15X52W" hidden="1">#REF!</definedName>
    <definedName name="BExITHI970M26VRKZ2TOTI9EJQQA" hidden="1">#REF!</definedName>
    <definedName name="BExITOEERGP3GOMPZTYYFVW8W04E" hidden="1">#REF!</definedName>
    <definedName name="BExITPR1HWYCV81PKTNAQL2VLNAR" hidden="1">#REF!</definedName>
    <definedName name="BExIUB6FNBBIVCANUR3UDIK0AZ2C" hidden="1">Data #REF!</definedName>
    <definedName name="BExIUZGEHFB6BQIEY11DBQBECBOS" hidden="1">#REF!</definedName>
    <definedName name="BExIV6HUBBR54UKGTSYHPUYHD7J7" hidden="1">#REF!</definedName>
    <definedName name="BExIVDOSPVCY8QWQFPSXFSSU0Z6T" hidden="1">#REF!</definedName>
    <definedName name="BExIVF1ARAGVJJOE9W4NA878SRWM" hidden="1">#REF!</definedName>
    <definedName name="BExIVL6K8BRNWOFLCZIP93GC5AJX" hidden="1">#REF!</definedName>
    <definedName name="BExIVSZ3B7VNGJ5H9Y2WHGA1XBAR" hidden="1">#REF!</definedName>
    <definedName name="BExIVVIW0CFXHLPDOD7593DL1G37" hidden="1">#REF!</definedName>
    <definedName name="BExIW9RAUCAD712AVKG3A36703GW" hidden="1">#REF!</definedName>
    <definedName name="BExIWB99LEMHV5NBKQYNQW9DSVOF" hidden="1">#REF!</definedName>
    <definedName name="BExIWJY5ZPCJR05PR6A25EQRCZC7" hidden="1">Data #REF!</definedName>
    <definedName name="BExIXRJZSC0U26I53A2BKO2JZHYA" hidden="1">#REF!</definedName>
    <definedName name="BExIY21LZZVK0KIX6ZMIYCIFW07P" hidden="1">#REF!</definedName>
    <definedName name="BExIY7ACS23QXBPVAVUGQG70IAC7" hidden="1">#REF!</definedName>
    <definedName name="BExIYV9JB282AL8JPKWF6MTUJ7SA" hidden="1">#REF!</definedName>
    <definedName name="BExIZ13UVBA0LFLCUDJ02FWTGM4D" hidden="1">#REF!</definedName>
    <definedName name="BExIZ1EN0VFAMLID7JVJWJYZL3MP" hidden="1">#REF!</definedName>
    <definedName name="BExIZR17QPKL4IQZ26DBTG5YSBU8" hidden="1">#REF!</definedName>
    <definedName name="BExJ08V3XB94S71LSGWPNDMEQ1K0" hidden="1">#REF!</definedName>
    <definedName name="BExJ0DIF8MCH1WN0TZ8K5HDJD7WO" hidden="1">#REF!</definedName>
    <definedName name="BExJ0XFW8ZOQM61K21IRI0AXWSCR" hidden="1">#REF!</definedName>
    <definedName name="BExKCGNO7K5Y258HACT8R016XHIV" hidden="1">#REF!</definedName>
    <definedName name="BExKD04Z7M35KH4AQG8DCY8DJ2I0" hidden="1">#REF!</definedName>
    <definedName name="BExKD0QL6OU9H5F6OOZYSUZMXJ12" hidden="1">#REF!</definedName>
    <definedName name="BExKDIPYQMBWZRSY4HU04S5VQ27H" hidden="1">Data #REF!</definedName>
    <definedName name="BExKDYB1D9EWM3ORAMO2HN4V7DPQ" hidden="1">Data #REF!</definedName>
    <definedName name="BExKE4LKYF2RQ5J12DJV6RO28OLJ" hidden="1">#REF!</definedName>
    <definedName name="BExKE63IOS75WMF69TUBHROXDYHB" hidden="1">#REF!</definedName>
    <definedName name="BExKEE6VH4ZYX2QQEKZQWG2RQBLW" hidden="1">#REF!</definedName>
    <definedName name="BExKEEHOHF8SKTE26HAZC3UNL95D" hidden="1">#REF!</definedName>
    <definedName name="BExKF3D7B4RFMXXU02G4PN0JD5IX" hidden="1">#REF!</definedName>
    <definedName name="BExKFCI7KPXDTO9HE6B2B10N2F65" hidden="1">Data #REF!</definedName>
    <definedName name="BExKFOXWI5FAV4WRXMDMSA7QN8DS" hidden="1">#REF!</definedName>
    <definedName name="BExKFPUA7FANSV8D7O3DJB11WQ13" hidden="1">#REF!</definedName>
    <definedName name="BExKG7IU5B1X33LHVCMTY71748Q0" hidden="1">#REF!</definedName>
    <definedName name="BExKGMYF0BNE6Y827NI51IITRW5H" hidden="1">#REF!</definedName>
    <definedName name="BExKGZEAVFTU5VHAMDIH0PQP2W3W" hidden="1">#REF!</definedName>
    <definedName name="BExKGZUJVJVHY9N3G2HEHE7277MH" hidden="1">#REF!</definedName>
    <definedName name="BExKH3W4UP7R6C5S8H2UJFU2P207" hidden="1">#REF!</definedName>
    <definedName name="BExKH5JDPVW2UHDEMS1BL0PBT8S6" hidden="1">#REF!</definedName>
    <definedName name="BExKH8JAHZF3J0XYBHJUJB55SECP" hidden="1">#REF!</definedName>
    <definedName name="BExKHKOCZDFARZIZIKW56KTVBHGC" hidden="1">#REF!</definedName>
    <definedName name="BExKHWCZCZMX5JYY79M89KET7FQT" hidden="1">#REF!</definedName>
    <definedName name="BExKHZ28X3FZ5Z9XBGFBCN49PRFS" hidden="1">#REF!</definedName>
    <definedName name="BExKI691E8525XRIERG2NTPZSO88" hidden="1">Data #REF!</definedName>
    <definedName name="BExKI93LM2YMFXJN69K3AV485KTH" hidden="1">#REF!</definedName>
    <definedName name="BExKII3AM5LXW39JQ09TI0YBYU8G" hidden="1">Data #REF!</definedName>
    <definedName name="BExKIMVXEVFQGP275MXPOE41FCXU" hidden="1">#REF!</definedName>
    <definedName name="BExKIROL82RY5RLN8HKGBY8U4EJJ" hidden="1">#REF!</definedName>
    <definedName name="BExKITMNEN3UDT7XAC1QDM44TX0W" hidden="1">#REF!</definedName>
    <definedName name="BExKJ0TL2IK2LWP4KH7W9AQ8LOSX" hidden="1">#REF!</definedName>
    <definedName name="BExKJ4KJSVJF2PZ5ZIZIQM9MKEH5" hidden="1">#REF!</definedName>
    <definedName name="BExKJHWMBYCJQ4O5GN25XH05G7RX" hidden="1">#REF!</definedName>
    <definedName name="BExKJMZZKCQ3MU2Z7HGG3B2XHLNH" hidden="1">#REF!</definedName>
    <definedName name="BExKKCBO0AP4CGNM2AD4AIE8FZ9X" hidden="1">#REF!</definedName>
    <definedName name="BExKKWEKWV7937UKGYH3LJAP4TO7" hidden="1">#REF!</definedName>
    <definedName name="BExKKYCSWKSQMMFM70GH2PGP5KJN" hidden="1">#REF!</definedName>
    <definedName name="BExKLL4NXKQM57SUU3FHOFJ1K17G" hidden="1">#REF!</definedName>
    <definedName name="BExKLLKW70LR6CHG6MNILM6TZJ49" hidden="1">#REF!</definedName>
    <definedName name="BExKM4RESRFXRX7258ADX4K1L5J7" hidden="1">#REF!</definedName>
    <definedName name="BExKMH758E0J0DZ1JJG1EXQ6FGO1" hidden="1">#REF!</definedName>
    <definedName name="BExKMMG0ZQ3VR9JPWF4P87M04VEO" hidden="1">#REF!</definedName>
    <definedName name="BExKMN6X7EHMIR8ZNB6Z5VUCGXD1" hidden="1">#REF!</definedName>
    <definedName name="BExKMOZOBPIBDCXNF33JPK3O940K" hidden="1">Data #REF!</definedName>
    <definedName name="BExKNF2CZEBED4RRU9NPPHHTQ2IW" hidden="1">#REF!</definedName>
    <definedName name="BExKNJUTW71CJL3C34XJ2TULY2W5" hidden="1">Data #REF!</definedName>
    <definedName name="BExKO5QGPYXSFJBTWD2QPHDVP3H6" hidden="1">#REF!</definedName>
    <definedName name="BExKOA30RAQ6LHR117QDY0992WZF" hidden="1">#REF!</definedName>
    <definedName name="BExKOF156IN4HIXF8WYWZ6HQC4L1" hidden="1">#REF!</definedName>
    <definedName name="BExKOWPJ4UOXN7WFCQ0WBYEL456M" hidden="1">#REF!</definedName>
    <definedName name="BExKOXLW01IRSD5V2RGGNFANSPTV" hidden="1">#REF!</definedName>
    <definedName name="BExKP1I6VA6ZGC47YVUW3ORUVQ94" hidden="1">#REF!</definedName>
    <definedName name="BExKP3G92PA1CFBGQKPI7CCD2AT3" hidden="1">#REF!</definedName>
    <definedName name="BExKP9G617BOSJHKSVVWR6LH6NDD" hidden="1">#REF!</definedName>
    <definedName name="BExKPOQF6HMJ69MVSOFXKVAGLWLD" hidden="1">#REF!</definedName>
    <definedName name="BExKPWOAIYESUC3ZRAIMI2RHZNRV" hidden="1">#REF!</definedName>
    <definedName name="BExKQDB2DZJLHRGPUQRHWTC5WT4P" hidden="1">#REF!</definedName>
    <definedName name="BExKQT6X71I3UNUAA4CQDKYUM9OQ" hidden="1">#REF!</definedName>
    <definedName name="BExKQYFMKJ8TEW4L58YTA51FCSWY" hidden="1">Data #REF!</definedName>
    <definedName name="BExKR7FC5INKTY06IA5B2OUYR941" hidden="1">#REF!</definedName>
    <definedName name="BExKRCYZZFDA970TQT5JYCXA0G7Z" hidden="1">#REF!</definedName>
    <definedName name="BExKRYEDLEP612KGAQYA027SOZCI" hidden="1">Data #REF!</definedName>
    <definedName name="BExKS0HYJVCXC1UUU77ZCICCKKEC" hidden="1">#REF!</definedName>
    <definedName name="BExKS3CCD15HRUN9Z5YJIR03GR84" hidden="1">#REF!</definedName>
    <definedName name="BExKSD33A35L43H9AURN8UK5JWLI" hidden="1">#REF!</definedName>
    <definedName name="BExKSI173RAGMRNBN0JYNGQQ0CCG" hidden="1">#REF!</definedName>
    <definedName name="BExKSLRZ1RMU6ADQ3W7CURWLBDZE" hidden="1">#REF!</definedName>
    <definedName name="BExKSMZ5IKTJ09WX8H31YSIKNDM6" hidden="1">#REF!</definedName>
    <definedName name="BExKSO0TXQJ4DNTMN0YM1BNZMX8W" hidden="1">Data #REF!</definedName>
    <definedName name="BExKT1D2A67SCD2ZSSBP2R3V3D5G" hidden="1">#REF!</definedName>
    <definedName name="BExKT30ALQ7U460AJCD1D6884IU3" hidden="1">#REF!</definedName>
    <definedName name="BExKTO524GXTO2VMA6E4EGT607NQ" hidden="1">#REF!</definedName>
    <definedName name="BExKTSMROATH7531IH4DK0YRCZ6P" hidden="1">#REF!</definedName>
    <definedName name="BExKTZ2SSJNPY10WJ66AOQTIAI2V" hidden="1">Data #REF!</definedName>
    <definedName name="BExKU22P9JS8P21A2PK8WPTX1JX0" hidden="1">#REF!</definedName>
    <definedName name="BExKU4BILTTZWGPHXTAT2F71RBN1" hidden="1">Data #REF!</definedName>
    <definedName name="BExKU4X590K6H3KKCIMVLP2HECMO" hidden="1">#REF!</definedName>
    <definedName name="BExKUDGOZVBIMIM42NGU0QQBUMHZ" hidden="1">#REF!</definedName>
    <definedName name="BExKV7A8CZZR2U6OHZR45ZP2Y4E6" hidden="1">#REF!</definedName>
    <definedName name="BExKVC2U0R09XQJ1XXX2ZXZNLHUK" hidden="1">Data #REF!</definedName>
    <definedName name="BExKVSK9EB8HAACYLJKMHHQ6EES5" hidden="1">#REF!</definedName>
    <definedName name="BExKWD8QN2HH7CTQTI1V2GTGKVFY" hidden="1">#REF!</definedName>
    <definedName name="BExKWIXQ9OZBO4OP9I3JGOL5W6A4" hidden="1">#REF!</definedName>
    <definedName name="BExM94D50GYNIBOLM2WX3TCCIJNR" hidden="1">#REF!</definedName>
    <definedName name="BExM98UYLFOBC4DYJ1CJVSNRW0DE" hidden="1">#REF!</definedName>
    <definedName name="BExM9NJNZNQD4ASX48MOYA1DJR34" hidden="1">#REF!</definedName>
    <definedName name="BExM9V1EUUW1DQ46B5OIZ2CTV6N1" hidden="1">#REF!</definedName>
    <definedName name="BExMACF6FHXPVLB5YOQN3U1EKZ0T" hidden="1">#REF!</definedName>
    <definedName name="BExMAX3Q28QSS01OS6FDW4R2XZK6" hidden="1">Data #REF!</definedName>
    <definedName name="BExMBITUIF0819R365JCDHX9422N" hidden="1">#REF!</definedName>
    <definedName name="BExMBODIPRM4BFEUWFFCA5FVTM5I" hidden="1">#REF!</definedName>
    <definedName name="BExMC4PIQC0TS0Z0WCELYQB8F64V" hidden="1">#REF!</definedName>
    <definedName name="BExMC7EMTVS09VCRL50I5FLLH2MU" hidden="1">#REF!</definedName>
    <definedName name="BExMCE5H3BJWGJ782WI6WSBT5KNS" hidden="1">#REF!</definedName>
    <definedName name="BExMCME3KNBIU271FOOUJ9PTYBKY" hidden="1">Data #REF!</definedName>
    <definedName name="BExMCUS6SOOE4CA78VHFE4TRC7NM" hidden="1">Data #REF!</definedName>
    <definedName name="BExMCVTV7MODN7EGTI1PMOEWFBNG" hidden="1">#REF!</definedName>
    <definedName name="BExMD8VC5E3BZ85MI072G8FJDYTW" hidden="1">#REF!</definedName>
    <definedName name="BExMDCWW3EVAPPBOT8DYS91UMDK9" hidden="1">#REF!</definedName>
    <definedName name="BExMDDII6R8JPVHP0RC6HXHL0TWV" hidden="1">Data #REF!</definedName>
    <definedName name="BExMDK9B2WNXC49XZS463FU6MXB0" hidden="1">Data #REF!</definedName>
    <definedName name="BExMDUQSY4J2T4LSMKH2FAU18497" hidden="1">#REF!</definedName>
    <definedName name="BExMDVHV4X8W8CZK93CDTMTY4STA" hidden="1">#REF!</definedName>
    <definedName name="BExMDZ3D7ZKARI5C1NFF93NTRIM9" hidden="1">#REF!</definedName>
    <definedName name="BExME1CCDU88YD1DJXQT8PITYNGF" hidden="1">#REF!</definedName>
    <definedName name="BExMEI9WCAPC7AZDUJ5RR94UTV5L" hidden="1">#REF!</definedName>
    <definedName name="BExMEKIQTBVED3N0MB42ZPM7JXPK" hidden="1">#REF!</definedName>
    <definedName name="BExMELVDSYFSVDSNLFMRCMDQUTRP" hidden="1">#REF!</definedName>
    <definedName name="BExMF5NAL5LG1DQP351ZI2YVQTVE" hidden="1">#REF!</definedName>
    <definedName name="BExMFDW435K3NSEAIHQPBS5MHI9W" hidden="1">Data #REF!</definedName>
    <definedName name="BExMFFE2DD2TU8FXNHT39DRL3F54" hidden="1">#REF!</definedName>
    <definedName name="BExMFODRX2DZJH5U3K98HX2EZYMS" hidden="1">#REF!</definedName>
    <definedName name="BExMFRZ6TJULVVW86UCASOIH7EXG" hidden="1">Data #REF!</definedName>
    <definedName name="BExMG2GUI4MLAZUSD6G9E4Y04VI4" hidden="1">#REF!</definedName>
    <definedName name="BExMGBR6CYT0UD61Z1XQ58NQ4G1Q" hidden="1">#REF!</definedName>
    <definedName name="BExMGF7CFMPBKQTR681EN0W1E7Y8" hidden="1">Data #REF!</definedName>
    <definedName name="BExMHG7S2HNM3DYEU7AM5TV4KGKZ" hidden="1">#REF!</definedName>
    <definedName name="BExMHPI9HIG2BNQ26W0QNIYTV1UC" hidden="1">#REF!</definedName>
    <definedName name="BExMHR5OGAQ36XVOY9XEY84J94A7" hidden="1">#REF!</definedName>
    <definedName name="BExMI6AHH9ZSG88TQ6GBO0W4MGGS" hidden="1">#REF!</definedName>
    <definedName name="BExMI8DYXFB62IB8F7ICVY5D6O38" hidden="1">#REF!</definedName>
    <definedName name="BExMIDS7NXT2PFW1MK9L6XAUXY3M" hidden="1">Data #REF!</definedName>
    <definedName name="BExMIVRM2LEM5L0DMEOSXCA8X3IU" hidden="1">#REF!</definedName>
    <definedName name="BExMJ33ULH1A33AWGLE1XW1JJW8J" hidden="1">#REF!</definedName>
    <definedName name="BExMK5M9SMMJPSVRTV3086Y7U4BK" hidden="1">#REF!</definedName>
    <definedName name="BExMK8BDCC0URQQG4XS4Q9602XZU" hidden="1">#REF!</definedName>
    <definedName name="BExMKII7TSQ17QL04YMNQT9P5WHZ" hidden="1">#REF!</definedName>
    <definedName name="BExMKUSL7OPQKI3KNMGC6DV6WDVU" hidden="1">#REF!</definedName>
    <definedName name="BExMKV3DUYEU0YPKA8NBH9461761" hidden="1">#REF!</definedName>
    <definedName name="BExML1DYDM03PTEYXTAYBY6XN7W8" hidden="1">#REF!</definedName>
    <definedName name="BExML7OJ6Q0K0XGHRL0LPG0A7O8Q" hidden="1">#REF!</definedName>
    <definedName name="BExMLYSXE3XZ63PVCXSXRNLPC4VT" hidden="1">#REF!</definedName>
    <definedName name="BExMM6W85X2N8YLC13EBAC8IZJME" hidden="1">#REF!</definedName>
    <definedName name="BExMMBJK9THI1GYJY1NBGQAU5RHH" hidden="1">#REF!</definedName>
    <definedName name="BExMMC54WGLGSMU1AIVTKB24AK6F" hidden="1">#REF!</definedName>
    <definedName name="BExMMQ81THXAZV8ZKIW2D6QAN2X5" hidden="1">#REF!</definedName>
    <definedName name="BExMMSH2RCZ4ZKY7NMGPK0OXQIAZ" hidden="1">#REF!</definedName>
    <definedName name="BExMNK1LVLAFXN68RHCBDP9ZU2OV" hidden="1">#REF!</definedName>
    <definedName name="BExMOAF17A7OW1MTTTIYN34MEZF0" hidden="1">Data #REF!</definedName>
    <definedName name="BExMOQ5F9MLBPEUUA2AGVFGICA8E" hidden="1">#REF!</definedName>
    <definedName name="BExMOWWA29OULN7D8VLMA2BEYGAI" hidden="1">#REF!</definedName>
    <definedName name="BExMOX726C39OEEFZAPYMNZ50PA5" hidden="1">#REF!</definedName>
    <definedName name="BExMPB4WM46A528PWGFGTWNUCUQY" hidden="1">#REF!</definedName>
    <definedName name="BExMPMIUSBJGX67XO7KQKXOJX64Q" hidden="1">#REF!</definedName>
    <definedName name="BExMPV2CBRANGD506V9UCFG5J76O" hidden="1">Data #REF!</definedName>
    <definedName name="BExMQVMHVVWIERVIQJSPI7F25W7R" hidden="1">#REF!</definedName>
    <definedName name="BExMR3KHGYDIYEPUUA38VVTZ2F5Z" hidden="1">#REF!</definedName>
    <definedName name="BExMRF9B8WFX5RBJS9S8DF3KR4RE" hidden="1">#REF!</definedName>
    <definedName name="BExMRQ1PX7UTT9S6OEUE1NZGGM4W" hidden="1">#REF!</definedName>
    <definedName name="BExMRRE6YD5V3OU7O001HX3XS451" hidden="1">Data #REF!</definedName>
    <definedName name="BExMT01TS77NGI02YO4WKHU4EC4P" hidden="1">#REF!</definedName>
    <definedName name="BExO5DJDRF3WXS4WJYYYBHD7WY8T" hidden="1">#REF!</definedName>
    <definedName name="BExO5XMAS996BN5ZONAAN3PJS8F0" hidden="1">#REF!</definedName>
    <definedName name="BExO5Y2ER6AXRYNP87DLEEWQ9IMV" hidden="1">#REF!</definedName>
    <definedName name="BExO6EP9FTAO0BJGRIONF5QHYJI7" hidden="1">#REF!</definedName>
    <definedName name="BExO70A5E465J5SWM6GETBFAQX5R" hidden="1">Data #REF!</definedName>
    <definedName name="BExO72DOVVJZCGLHF1FPDY1UE7S9" hidden="1">#REF!</definedName>
    <definedName name="BExO73KUCML6VJNOMPPJUOQ30N8W" hidden="1">#REF!</definedName>
    <definedName name="BExO74H7OGK4LLQ5Y0YUKU2IX1K9" hidden="1">#REF!</definedName>
    <definedName name="BExO77RWJK1NOFAXMFZ76EPZ6GJS" hidden="1">#REF!</definedName>
    <definedName name="BExO7NT1WY5O43PYK7C1MDL0R0OR" hidden="1">#REF!</definedName>
    <definedName name="BExO874X4N5Y5D3R2TZT6DQPSJ0I" hidden="1">#REF!</definedName>
    <definedName name="BExO8EBV7VNOZWROXIMBQIOPA854" hidden="1">#REF!</definedName>
    <definedName name="BExO8U2DD9Z7608XH6FA0VW0RH9B" hidden="1">#REF!</definedName>
    <definedName name="BExO8Z5PBRCJS8126XGF1PHX2621" hidden="1">#REF!</definedName>
    <definedName name="BExO93SZSK0KLPDDUNGN4WFATN7L" hidden="1">Data #REF!</definedName>
    <definedName name="BExO9AUHFQYKODC13ZO3Z58F4QVV" hidden="1">#REF!</definedName>
    <definedName name="BExO9GJGIBGEV7W9A23PMSKTM22M" hidden="1">#REF!</definedName>
    <definedName name="BExO9V84ECFWUZAS9YSED7UFX8HT" hidden="1">Data #REF!</definedName>
    <definedName name="BExOA2PWAGGSG3F24PQ9TQRQHIZ8" hidden="1">#REF!</definedName>
    <definedName name="BExOABET2U583KZHRYSI1EPVBQY7" hidden="1">Data #REF!</definedName>
    <definedName name="BExOAIAYOKBYFHONT0CGCS46XLGG" hidden="1">Data #REF!</definedName>
    <definedName name="BExOBHTG8OLL1KRFD4QC6CANTBTN" hidden="1">#REF!</definedName>
    <definedName name="BExOBMGR22H0F6AOEEDRFTMWQZZF" hidden="1">#REF!</definedName>
    <definedName name="BExOCE6QHNAG30BVYNMR1IYW6MOS" hidden="1">#REF!</definedName>
    <definedName name="BExOCFZHOIHO7QKFLGVFK58T0GGW" hidden="1">#REF!</definedName>
    <definedName name="BExOCLOHPV17RHGIS34FQ0DNT34F" hidden="1">#REF!</definedName>
    <definedName name="BExOCY45PKWS2P1MUE191NQ9FG3Y" hidden="1">#REF!</definedName>
    <definedName name="BExOCYEYZGSY2RB297XTI5Y60W4T" hidden="1">#REF!</definedName>
    <definedName name="BExOD07OVTH1VRV0BU2M90ZNDUVZ" hidden="1">#REF!</definedName>
    <definedName name="BExOD55TFQEKRMANMB40NXME4MHL" hidden="1">#REF!</definedName>
    <definedName name="BExOD7PEV85HFLCADO9IAP7EYMGW" hidden="1">#REF!</definedName>
    <definedName name="BExODGP4WN0DO8BMK9EP9E1EPW07" hidden="1">#REF!</definedName>
    <definedName name="BExOE6BJSOWGAV8MZ1TU9M7P1N2F" hidden="1">#REF!</definedName>
    <definedName name="BExOE6X5Z8HA6HBZSJ96T74XMH1L" hidden="1">#REF!</definedName>
    <definedName name="BExOEB46UL00RFUPGO8LS7A0SBBJ" hidden="1">#REF!</definedName>
    <definedName name="BExOEBKGPF48XQE2KNEKZ25Q50ON" hidden="1">#REF!</definedName>
    <definedName name="BExOEE9KF3L8BLGVGD95KZQGGZN7" hidden="1">#REF!</definedName>
    <definedName name="BExOEHV182Q0EECRTGOODA0YHWG2" hidden="1">Data #REF!</definedName>
    <definedName name="BExOEK3USW1NO9S9R0WRT0X50NJP" hidden="1">#REF!</definedName>
    <definedName name="BExOEQP91V0V4J2EQ329FH1AA71X" hidden="1">#REF!</definedName>
    <definedName name="BExOEXALWH8F4LY47LF5Z89KBT6F" hidden="1">#REF!</definedName>
    <definedName name="BExOF9VT55WD8LFLS7BX7SHVWGT8" hidden="1">#REF!</definedName>
    <definedName name="BExOFL9RQIMYKGJ36K62FD17K7XV" hidden="1">Data #REF!</definedName>
    <definedName name="BExOFWIBUVQC7PXYYCXSNZMQUD5U" hidden="1">#REF!</definedName>
    <definedName name="BExOFZT0E12DX6L1VZXPPHLBY5P7" hidden="1">Data #REF!</definedName>
    <definedName name="BExOG6ZYK930RAT5H2GPCETAV9PE" hidden="1">#REF!</definedName>
    <definedName name="BExOGF8KNA7QK1UNC4TH0K4CRLAQ" hidden="1">#REF!</definedName>
    <definedName name="BExOH0O59AQP0VGYRAK8XNAZRY20" hidden="1">Data #REF!</definedName>
    <definedName name="BExOH19KZFU48GLWY0ZDQX79SICC" hidden="1">#REF!</definedName>
    <definedName name="BExOH1KIPEAPVBGWVZ7EB9ES4D9P" hidden="1">#REF!</definedName>
    <definedName name="BExOH50HTB62X2RXZMKCWXZ7PG2B" hidden="1">#REF!</definedName>
    <definedName name="BExOH67MUP57XCH3CAXKWOE8IYUM" hidden="1">#REF!</definedName>
    <definedName name="BExOHBGE53Z5G5AGZMG559AOJ899" hidden="1">Data #REF!</definedName>
    <definedName name="BExOHG3PKOOB4AFLQRU2TY1GUSKG" hidden="1">#REF!</definedName>
    <definedName name="BExOHZVUYB900QGZ89CXRFVNP9N2" hidden="1">#REF!</definedName>
    <definedName name="BExOI4DNZ091VK0Y4ZZ1O312RZ1I" hidden="1">#REF!</definedName>
    <definedName name="BExOI6XAWWQRKKK9CITP4LHK5XCP" hidden="1">#REF!</definedName>
    <definedName name="BExOIE49E0H3T3FNPICNKKZ4F6W7" hidden="1">#REF!</definedName>
    <definedName name="BExOIE4A0MOJKGE13BL01Q2KEF94" hidden="1">#REF!</definedName>
    <definedName name="BExOIGILFMNE996UTZDVK2X99XTK" hidden="1">Data #REF!</definedName>
    <definedName name="BExOIJYRMCJBA0T4IPPR7L5VV8JP" hidden="1">#REF!</definedName>
    <definedName name="BExOJ0WB9A73XS5PZI4R4TZBNO09" hidden="1">#REF!</definedName>
    <definedName name="BExOJ28QYULWBP14Z7XPJ5YFXBQ4" hidden="1">#REF!</definedName>
    <definedName name="BExOJMMH7861IO0RZ2Q965QLHB9G" hidden="1">#REF!</definedName>
    <definedName name="BExOJPH117OLD9YQB34HMIFUXKIG" hidden="1">#REF!</definedName>
    <definedName name="BExOJRVBII06D6CXUYEXJK3755WV" hidden="1">#REF!</definedName>
    <definedName name="BExOJSRQNEPQN926PZYIX9H2TJWQ" hidden="1">#REF!</definedName>
    <definedName name="BExOK75GG1DBW5542V3ALXTIGK5J" hidden="1">#REF!</definedName>
    <definedName name="BExOK8I3TJ85PP0PBNY00489GT75" hidden="1">#REF!</definedName>
    <definedName name="BExOKBCNNQEU3EHPHH8URDEI30RM" hidden="1">#REF!</definedName>
    <definedName name="BExOKDWBIX55U41ZKKAHGDRTAQZZ" hidden="1">#REF!</definedName>
    <definedName name="BExOKE1MEKELB939C3BYNQ0RC55Q" hidden="1">#REF!</definedName>
    <definedName name="BExOKLJCO7ROIOUN8IHOWBB740TL" hidden="1">#REF!</definedName>
    <definedName name="BExOKZBO4MPC4RNK2AL15DS3IF47" hidden="1">Data #REF!</definedName>
    <definedName name="BExOLAKEJF7Z3P3TGPTORPZRBMZL" hidden="1">#REF!</definedName>
    <definedName name="BExOLE5VEJ67671EWDTS14KRKNVS" hidden="1">Data #REF!</definedName>
    <definedName name="BExOM3HHDPNW4KY44ANKVYI6M829" hidden="1">#REF!</definedName>
    <definedName name="BExOM3HI3YHY87PUWD0OCTCOVH6D" hidden="1">#REF!</definedName>
    <definedName name="BExOMDOCRTMOP4ZP1TCKX9SCNGN4" hidden="1">Data #REF!</definedName>
    <definedName name="BExOMPYPHDY8IZBJZIWCCTN6F07D" hidden="1">#REF!</definedName>
    <definedName name="BExON6QXHD5GJUQ5SCK6EVQMFJU5" hidden="1">#REF!</definedName>
    <definedName name="BExONACEZ3CM02E3LXDSSNMHF566" hidden="1">Data #REF!</definedName>
    <definedName name="BExONCQK60DWWH5SD08SKK4DGVFT" hidden="1">#REF!</definedName>
    <definedName name="BExONDC5VP555DZYPHUTLLVRLWRG" hidden="1">#REF!</definedName>
    <definedName name="BExONDSEA1O2W9FXR2V03D20313F" hidden="1">#REF!</definedName>
    <definedName name="BExONFQGYBMDI9OXQ4W256VGIWAZ" hidden="1">#REF!</definedName>
    <definedName name="BExONWIPZFDKBO5Y99BLLNZ8M9ZA" hidden="1">Data #REF!</definedName>
    <definedName name="BExOOI3JP2RDPFI2NZ9RHEIP3OKE" hidden="1">#REF!</definedName>
    <definedName name="BExOON1OILBSTY05RKNY773ES7PV" hidden="1">Data #REF!</definedName>
    <definedName name="BExOOQN4XWV92B1LBDB1RKXMMIEP" hidden="1">#REF!</definedName>
    <definedName name="BExQ1TR3MKL2ZW20WGJLKTG6QX9M" hidden="1">#REF!</definedName>
    <definedName name="BExQ2EFMABMK23J8XKTQE9B1MUI1" hidden="1">Data #REF!</definedName>
    <definedName name="BExQ2MTOTLZ5BATCVBTG27X724Y9" hidden="1">#REF!</definedName>
    <definedName name="BExQ2QQ06ZKEPG1LSSG6RV1P1C1P" hidden="1">Data #REF!</definedName>
    <definedName name="BExQ2W472AG67NVBHAYT7W9T35QU" hidden="1">Data #REF!</definedName>
    <definedName name="BExQ353U8N7R8E6XWZ4OPJC2YKZ7" hidden="1">#REF!</definedName>
    <definedName name="BExQ35US2CZ5KI84E0YHCQL1H9OR" hidden="1">#REF!</definedName>
    <definedName name="BExQ3JHS3POUZ0OHIU6PU7HXK97S" hidden="1">#REF!</definedName>
    <definedName name="BExQ3SS2CATJXCRO58NH32W23BQE" hidden="1">#REF!</definedName>
    <definedName name="BExQ3U4Q5SRRVYEKWMOAXLI9LF3M" hidden="1">#REF!</definedName>
    <definedName name="BExQ42Z3DKY7CS181GHVEVCX771K" hidden="1">#REF!</definedName>
    <definedName name="BExQ4SQUNOTDMLFS3UEQ8YQ8O5AO" hidden="1">Data #REF!</definedName>
    <definedName name="BExQ50ZMIL2O4ZLNW0965UWPEYTT" hidden="1">Data #REF!</definedName>
    <definedName name="BExQ538GT7SYIZ17CIDIU4CGX0IL" hidden="1">#REF!</definedName>
    <definedName name="BExQ58MONAQK3M30Z8PUZBC6IEMC" hidden="1">#REF!</definedName>
    <definedName name="BExQ5AA4L2RNZ0JZUPDJYYVQ4G68" hidden="1">#REF!</definedName>
    <definedName name="BExQ5DA12I8OQVNSLO1J9HKGW1LR" hidden="1">#REF!</definedName>
    <definedName name="BExQ5NGOVVYCGAJ865VE4O9222OR" hidden="1">#REF!</definedName>
    <definedName name="BExQ5ZAZMNIJU7BBNN1TT0RK18AD" hidden="1">#REF!</definedName>
    <definedName name="BExQ60SXI4ZQPH0JEOZAMFUY8DIQ" hidden="1">#REF!</definedName>
    <definedName name="BExQ64P7EDX7DBSOP9TUF4ANL97Q" hidden="1">#REF!</definedName>
    <definedName name="BExQ760GCMLAC9FQ9E16KSFRNELU" hidden="1">#REF!</definedName>
    <definedName name="BExQ77NO98VEUR5T8MP0LNWNK5Q2" hidden="1">#REF!</definedName>
    <definedName name="BExQ7F044YJNCNQIUEEN6H22W61M" hidden="1">#REF!</definedName>
    <definedName name="BExQ7FAX5O5XO1N0N67231YXOSTV" hidden="1">#REF!</definedName>
    <definedName name="BExQ7VHJXO6J9W88BRM8VMQZMRL6" hidden="1">#REF!</definedName>
    <definedName name="BExQ7YBZ277ERPG0VDW5XMDETUAJ" hidden="1">Data #REF!</definedName>
    <definedName name="BExQ89F6NLMMHJ2PHS9CWECW6273" hidden="1">#REF!</definedName>
    <definedName name="BExQ8F9NQ460R3WXUXXU3PUOU0Z3" hidden="1">#REF!</definedName>
    <definedName name="BExQ8QCQSGIZVY29P22MZ0HM961T" hidden="1">#REF!</definedName>
    <definedName name="BExQ8REKC83WTKGZTVUNY34FAA17" hidden="1">Data #REF!</definedName>
    <definedName name="BExQ8VWE8XBQCMI8QAMMMMEVEZ4Q" hidden="1">#REF!</definedName>
    <definedName name="BExQ8W75QL6F5R7G2YD9E8MS8ULD" hidden="1">#REF!</definedName>
    <definedName name="BExQ8XECWKQIDIT5FMEDIW2JD0T0" hidden="1">#REF!</definedName>
    <definedName name="BExQ9DFHNKAGE3JM2CJ3G8VSWCP8" hidden="1">Data #REF!</definedName>
    <definedName name="BExQ9UTB2K8RW96FOHU506DLCRNR" hidden="1">Data #REF!</definedName>
    <definedName name="BExQ9Z0CT27GBWZP26OHQY5QKTG9" hidden="1">#REF!</definedName>
    <definedName name="BExQ9Z5NQU9LD97XWIF8HHO79PIX" hidden="1">#REF!</definedName>
    <definedName name="BExQACCFWMEGCE7KZX3H69FJVFNN" hidden="1">#REF!</definedName>
    <definedName name="BExQADZV6PTSA7N5VKT9MJKTTV9G" hidden="1">#REF!</definedName>
    <definedName name="BExQAELFO0VLRMMZIP9BAII3XNIH" hidden="1">#REF!</definedName>
    <definedName name="BExQAG8P8DY86BKHGNO1NRRQ5I1A" hidden="1">#REF!</definedName>
    <definedName name="BExQAJ3AH5MT3EA1DTGUPA3YQFVN" hidden="1">#REF!</definedName>
    <definedName name="BExQAKL88L6SPOCP578KMPPS622X" hidden="1">#REF!</definedName>
    <definedName name="BExQAO17UMXQBNNYHF18L3IXLGNO" hidden="1">Data #REF!</definedName>
    <definedName name="BExQBGYDBNX95OGZEQHJPIJDZIDO" hidden="1">#REF!</definedName>
    <definedName name="BExQC3L1UQOWB4FV9G18BH3G4I4J" hidden="1">#REF!</definedName>
    <definedName name="BExQC3VUBLXS1L1I5597B0FXRXOQ" hidden="1">Data #REF!</definedName>
    <definedName name="BExQCA0Y1MTMTYXG3KQJQ6XF6E7O" hidden="1">Data #REF!</definedName>
    <definedName name="BExQCJ63TWTN3XEYS85DVDRP1ZSJ" hidden="1">#REF!</definedName>
    <definedName name="BExQCJM8KS345DIYFRZO3IAOKJLR" hidden="1">Data #REF!</definedName>
    <definedName name="BExQCU3UTIBJ1BLTXLHO3IZYSJOM" hidden="1">Data #REF!</definedName>
    <definedName name="BExQCZI20RDR03T6EL3IMFYSMPUJ" hidden="1">#REF!</definedName>
    <definedName name="BExQD2765DJ97RO9SUWSWNF14O3Y" hidden="1">#REF!</definedName>
    <definedName name="BExQDDAD5FUX7W27CVWQWZ19YFJ1" hidden="1">#REF!</definedName>
    <definedName name="BExQDYPR657NP1TUVGL41C43YHNB" hidden="1">Data #REF!</definedName>
    <definedName name="BExQE7EOPMF7RVYPRIWVMBEOGI9N" hidden="1">#REF!</definedName>
    <definedName name="BExQEEG4KLAYUW6XMD5XGN2MG2VZ" hidden="1">#REF!</definedName>
    <definedName name="BExQELCBAFILN0TNCQRMUVZMTXHE" hidden="1">#REF!</definedName>
    <definedName name="BExQETL3FZTU8GXY7VXODVSK0F7E" hidden="1">#REF!</definedName>
    <definedName name="BExQEZQ833C1OHJS4R7UZLDF3276" hidden="1">Data #REF!</definedName>
    <definedName name="BExQFH9H49FDJJXFIJWKQF8QXU2U" hidden="1">#REF!</definedName>
    <definedName name="BExQFILZ7LO743YV2WWRDLUI6VUV" hidden="1">#REF!</definedName>
    <definedName name="BExQFR01B3LURDCYTICZI23CXL1I" hidden="1">Data #REF!</definedName>
    <definedName name="BExQFRGCCTOQZVNNXNN5PGJ8ONBJ" hidden="1">#REF!</definedName>
    <definedName name="BExQGBJ3Q2AE2Z1HB8FZCQ5OPE96" hidden="1">#REF!</definedName>
    <definedName name="BExQGX98NIQROEL860WE617FOM29" hidden="1">Data #REF!</definedName>
    <definedName name="BExQHEN28HSASZ3WT29DV76LDPSF" hidden="1">#REF!</definedName>
    <definedName name="BExQHMQECQKUX8YAVJTT1YZ8CVTJ" hidden="1">#REF!</definedName>
    <definedName name="BExQHZH15GK8DZFDQOY35B2Y8ZME" hidden="1">#REF!</definedName>
    <definedName name="BExQI444Y6788NICTY2IB1MLTCDI" hidden="1">#REF!</definedName>
    <definedName name="BExQIM8TRM780IXRXYZFDY9DNFRX" hidden="1">#REF!</definedName>
    <definedName name="BExQIMJN00DB5U7CTUL8HRDR6OFR" hidden="1">#REF!</definedName>
    <definedName name="BExQION5RYAVU36H26T5HLKKS5QT" hidden="1">#REF!</definedName>
    <definedName name="BExQIQFWPUVDF3PIYWSGH05JGALR" hidden="1">#REF!</definedName>
    <definedName name="BExQISZPD2A4UJWJM22FJS8UQ01Z" hidden="1">#REF!</definedName>
    <definedName name="BExQJ0BZ9FYJDDCBB9S14YDPAZQT" hidden="1">#REF!</definedName>
    <definedName name="BExQJ0XK9YCLQQNJ84GC6CS23LCU" hidden="1">#REF!</definedName>
    <definedName name="BExQJ2A64EFPYDYPCSH6AIDCIYQ5" hidden="1">#REF!</definedName>
    <definedName name="BExQJ96CZSEGX1WL3UO3J4JNVF1H" hidden="1">#REF!</definedName>
    <definedName name="BExQJXR4DYVYYGVXUVH8TXNVDACR" hidden="1">Data #REF!</definedName>
    <definedName name="BExQKFL0XDFBQ97DMXZIQN0QDN5C" hidden="1">Data #REF!</definedName>
    <definedName name="BExQKGHCB0861Z9TOA2SU7ZGEUZ8" hidden="1">#REF!</definedName>
    <definedName name="BExQKO9WDJ4G4JJV2I4IU3GJ1KCB" hidden="1">Data #REF!</definedName>
    <definedName name="BExQKWNYX14S8OYX3FRKEY1RVYOG" hidden="1">#REF!</definedName>
    <definedName name="BExRYS8ZXGGNQQYU69P108ULPE5A" hidden="1">#REF!</definedName>
    <definedName name="BExRZATYV4LN3KY1RH9PW25AEL3R" hidden="1">#REF!</definedName>
    <definedName name="BExRZQ47SY3UJQX3IYX2YBMBRTGY" hidden="1">#REF!</definedName>
    <definedName name="BExRZRM64FO9S9HWEFUXVJANWKX7" hidden="1">#REF!</definedName>
    <definedName name="BExS06AV8MP9GDM2C3NXJ4FUQ0RI" hidden="1">#REF!</definedName>
    <definedName name="BExS0GXTAI582FIYKH0NOXTO36RB" hidden="1">#REF!</definedName>
    <definedName name="BExS0VXAGUF3AVIBIEEMHMEGABFJ" hidden="1">#REF!</definedName>
    <definedName name="BExS19PMLDCIN7686Z3RIMT237VR" hidden="1">#REF!</definedName>
    <definedName name="BExS1NHYGPZEWPIA6FCYHC32XGKH" hidden="1">#REF!</definedName>
    <definedName name="BExS1QN4LUCVOMNF3SXIIVFM4DMO" hidden="1">#REF!</definedName>
    <definedName name="BExS1UOWMAZ3HTARQX5LJSVVBFVG" hidden="1">#REF!</definedName>
    <definedName name="BExS1WHNE0RBI9DO9UJDFXA5J5NT" hidden="1">#REF!</definedName>
    <definedName name="BExS29TPNHVX4PZ7BBBMYLD9QYZQ" hidden="1">#REF!</definedName>
    <definedName name="BExS2EBK95SX65B0SQCPZP9QNA0C" hidden="1">Data #REF!</definedName>
    <definedName name="BExS2Q0B7YWN5RTS7PYAGPVO93YJ" hidden="1">#REF!</definedName>
    <definedName name="BExS2XCLOTYUM5ZJSK0X2P192AV1" hidden="1">#REF!</definedName>
    <definedName name="BExS3077HNPF7BLB5OV991MI4LJD" hidden="1">#REF!</definedName>
    <definedName name="BExS3FXK0B8WUCULWGC2TUY29LPJ" hidden="1">Data #REF!</definedName>
    <definedName name="BExS3GZ9NUN511VB2X6P24739NX7" hidden="1">#REF!</definedName>
    <definedName name="BExS3IHC9FP2WQMPODYHJXWJJATF" hidden="1">Data #REF!</definedName>
    <definedName name="BExS3MDM3Z7YIKWZI4I3MFJEVQ5Y" hidden="1">#REF!</definedName>
    <definedName name="BExS3NFBVZWVO6X3XMTKQ83XK4GG" hidden="1">#REF!</definedName>
    <definedName name="BExS47SZZ4UUU55830BDGPRDNU15" hidden="1">#REF!</definedName>
    <definedName name="BExS49R2H0C8IEC6ZSW3YHVDEM1Z" hidden="1">Data #REF!</definedName>
    <definedName name="BExS5DWUX2NK28BK0ZAH2SSIRDVF" hidden="1">#REF!</definedName>
    <definedName name="BExS5DWVFULO52A6QQI1XJ63B078" hidden="1">#REF!</definedName>
    <definedName name="BExS5SLJZZLIO8XGJ6Z2HM2TW3UV" hidden="1">#REF!</definedName>
    <definedName name="BExS5Z6YAGDBYU4FKWSD4DE0O6UM" hidden="1">#REF!</definedName>
    <definedName name="BExS69TVFOKW78TQOCMUXP8OB71Z" hidden="1">#REF!</definedName>
    <definedName name="BExS6FZ695HVZWHXGML60CIORKL3" hidden="1">#REF!</definedName>
    <definedName name="BExS6KBJOQREZFH8K2BYSTN2EBOI" hidden="1">#REF!</definedName>
    <definedName name="BExS6TGHHKHTIL9RM2ZYT8ZD3Q85" hidden="1">Data #REF!</definedName>
    <definedName name="BExS6V3XFK72ZDGQC6XDXL8CRRJA" hidden="1">#REF!</definedName>
    <definedName name="BExS6ZB11WU16GGNUSQW4E43Q8IZ" hidden="1">#REF!</definedName>
    <definedName name="BExS70YFJ79GCEBXH346318VHNH0" hidden="1">#REF!</definedName>
    <definedName name="BExS7O6F1OJBTOBRXSFLXWS5C6HG" hidden="1">#REF!</definedName>
    <definedName name="BExS7R0ZSIZZ3AHQ0Z7CEI2XWSCA" hidden="1">#REF!</definedName>
    <definedName name="BExS80GR64E21ENRPINV50KAHRMX" hidden="1">#REF!</definedName>
    <definedName name="BExS8CB0OXL0ONF9NQG99D052IQ5" hidden="1">#REF!</definedName>
    <definedName name="BExS8RQL801ZICACWCFPA3L44P5T" hidden="1">#REF!</definedName>
    <definedName name="BExS8YMS53GZZGDUDDS95MNPFC8R" hidden="1">#REF!</definedName>
    <definedName name="BExS9FPTL5CZKYRP0BDNVC7YDJAS" hidden="1">#REF!</definedName>
    <definedName name="BExS9R3TRWDFUPPG5MVR0FBJFJQM" hidden="1">Data #REF!</definedName>
    <definedName name="BExS9X3LXBBNFUOYIMRJKD0LXONK" hidden="1">#REF!</definedName>
    <definedName name="BExSADKZSW6Y7PXWWEHQT9RGDT0Q" hidden="1">Data #REF!</definedName>
    <definedName name="BExSANX6ZXO1F7PP2TY35ZA994K8" hidden="1">#REF!</definedName>
    <definedName name="BExSAS48GU0TGRE4BNW0ENECETGU" hidden="1">#REF!</definedName>
    <definedName name="BExSAT0KJ7T6MPMYQU951DCHAMAE" hidden="1">#REF!</definedName>
    <definedName name="BExSAV44B7X3FYILRS4F2ZMH3JW8" hidden="1">#REF!</definedName>
    <definedName name="BExSB5063PHB732OS2LWXLGTUU14" hidden="1">#REF!</definedName>
    <definedName name="BExSB506JX9O3G58WSUBOX24CU8B" hidden="1">Data #REF!</definedName>
    <definedName name="BExSB9Y4YYH6P4TQN83W631DZTFN" hidden="1">Data #REF!</definedName>
    <definedName name="BExSBA8X01BX2S7ZQTCSMYYOX0EZ" hidden="1">#REF!</definedName>
    <definedName name="BExSBU12RJ7ET746VGZPJ9WE1Y2V" hidden="1">#REF!</definedName>
    <definedName name="BExSC6RJHIATJZ8Q3O4U1LXL8JZ7" hidden="1">#REF!</definedName>
    <definedName name="BExSCF5T5B3OEA5D7055UA6GB753" hidden="1">#REF!</definedName>
    <definedName name="BExSCGI9JMIGSCW24ZLBEU2I016W" hidden="1">#REF!</definedName>
    <definedName name="BExSCGIB219DGN4VQYPIMQ5NLD34" hidden="1">Data #REF!</definedName>
    <definedName name="BExSD235IZTR1HUQDJXTQJIAIYEB" hidden="1">#REF!</definedName>
    <definedName name="BExSD4BZT77T4M9PQOSL03BT3JZ4" hidden="1">#REF!</definedName>
    <definedName name="BExSDDX8ESFNZDEQWW5HPXDXGAW1" hidden="1">#REF!</definedName>
    <definedName name="BExSDHDECC02DPT6FATZB3IM804L" hidden="1">#REF!</definedName>
    <definedName name="BExSDHYZ9FGZJT4MDKOMKHIP2D52" hidden="1">Data #REF!</definedName>
    <definedName name="BExSDMM3GNGLXF40UDRRZ3124G42" hidden="1">#REF!</definedName>
    <definedName name="BExSDPGKJSZJ8ZLLTLAMWVHP4UIK" hidden="1">Data #REF!</definedName>
    <definedName name="BExSDZSUO2XS94YSK4UKTL3IBILG" hidden="1">Data #REF!</definedName>
    <definedName name="BExSE3JUTV4C396D0DPD2RBS0813" hidden="1">#REF!</definedName>
    <definedName name="BExSE6JQBVHYDAV9TJJJ2S8XW4KM" hidden="1">#REF!</definedName>
    <definedName name="BExSEKHDBEMPMCDJYLWN3RM703FB" hidden="1">#REF!</definedName>
    <definedName name="BExSEOIXQA8OPYH3B8MFRFIOQ91D" hidden="1">#REF!</definedName>
    <definedName name="BExSEV4AQ0SWEDUA4U4MZWZZGLPQ" hidden="1">#REF!</definedName>
    <definedName name="BExSF440DCOR6B6IB1EHTPKQJP8M" hidden="1">#REF!</definedName>
    <definedName name="BExSFJP1WB1RV0EEVNB3HJLBPK2R" hidden="1">#REF!</definedName>
    <definedName name="BExSFOC6WBZW4KYIJ4DBTTFCM679" hidden="1">#REF!</definedName>
    <definedName name="BExSGDTD025XFY9AG4WK2U9W6NHO" hidden="1">#REF!</definedName>
    <definedName name="BExSGOWKTS5UVHSJNNBW2XJ623HU" hidden="1">#REF!</definedName>
    <definedName name="BExSH1SIPEL054D8ST41AG0YIFHR" hidden="1">#REF!</definedName>
    <definedName name="BExTTUKBNAOBSUT8V1CCX5526ZRG" hidden="1">#REF!</definedName>
    <definedName name="BExTUNMXVOB5QUE4FNORDZ2CHVYR" hidden="1">Data #REF!</definedName>
    <definedName name="BExTUQXMK5PZCUG2L743RIDLX500" hidden="1">#REF!</definedName>
    <definedName name="BExTVD41AQTVYVNWOI3C7GQZC22F" hidden="1">#REF!</definedName>
    <definedName name="BExTVNLOFWMRZUY1AJHU0RGXVC9O" hidden="1">#REF!</definedName>
    <definedName name="BExTVR770OGIBXWHM0E0QPQULNLC" hidden="1">Data #REF!</definedName>
    <definedName name="BExTVRHYLYWSPZM8Y5KGOK803OS6" hidden="1">#REF!</definedName>
    <definedName name="BExTVTFZZIN7UDUBXQR3OESCHRBX" hidden="1">#REF!</definedName>
    <definedName name="BExTW01DNSJG5SQ36YM2ZR5VI2I1" hidden="1">#REF!</definedName>
    <definedName name="BExTWG2IP0S50TTZ3Z3Q8HG2VID9" hidden="1">Data #REF!</definedName>
    <definedName name="BExTWM2BI4C4P0QX9A5VJ712QKL8" hidden="1">#REF!</definedName>
    <definedName name="BExTWMILXNJOGKN11FS3HRNFI47B" hidden="1">#REF!</definedName>
    <definedName name="BExTWOGMHBVST8TK7ZXVF7TBY5TK" hidden="1">#REF!</definedName>
    <definedName name="BExTXE8JX6594VEOVPQ2WOVTWVFE" hidden="1">Data #REF!</definedName>
    <definedName name="BExTXGSCRF2K7IAU4GTI4DAX01KD" hidden="1">#REF!</definedName>
    <definedName name="BExTXIQEJOR8GN814JN6XALF35DG" hidden="1">#REF!</definedName>
    <definedName name="BExTXQODZMXLBYU0VC5NL18RJ2U7" hidden="1">#REF!</definedName>
    <definedName name="BExTXTDCYSGJFFV8JUNTF1YNB5NG" hidden="1">#REF!</definedName>
    <definedName name="BExTY87JV90JB0ER07OJA15DBBN4" hidden="1">Data #REF!</definedName>
    <definedName name="BExTYD05ZN609YGYU11DDWU9W4QH" hidden="1">#REF!</definedName>
    <definedName name="BExTYOU92OVZZ1GCJHSAV7ZZ8YQA" hidden="1">#REF!</definedName>
    <definedName name="BExTYP51647Z6FH13KL338JRDHIC" hidden="1">#REF!</definedName>
    <definedName name="BExTYVVX15Z4ELTPJJG1XVX267DI" hidden="1">#REF!</definedName>
    <definedName name="BExTZU78OYH0A83LB2PLCAYFA26E" hidden="1">Data #REF!</definedName>
    <definedName name="BExU0HVM3U3Y3Y12W83KYE6IZRNO" hidden="1">#REF!</definedName>
    <definedName name="BExU0TPQKT94R1KPX6R2DLW9PODX" hidden="1">Data #REF!</definedName>
    <definedName name="BExU0U0HV09OUSIKBTPKF4973Z9Q" hidden="1">#REF!</definedName>
    <definedName name="BExU18ZZEKS2Z3KM9IMBX0RRSRGC" hidden="1">#REF!</definedName>
    <definedName name="BExU19QVIEY9JVCTJWMF8ZK68R0L" hidden="1">#REF!</definedName>
    <definedName name="BExU1G6XSHBTKUQG0EGO64KNCLUK" hidden="1">#REF!</definedName>
    <definedName name="BExU1JC5T0Y2P65J98KPMYTNLJDK" hidden="1">#REF!</definedName>
    <definedName name="BExU209UGQA8RD90G6F6PUZWTYJF" hidden="1">#REF!</definedName>
    <definedName name="BExU2BNQQM2L66LJK6W2ZCAMBLN0" hidden="1">#REF!</definedName>
    <definedName name="BExU2K1TU64C58S91331X8SP51JT" hidden="1">#REF!</definedName>
    <definedName name="BExU2NY9CY6YDL3SXUG1OKG1KW4T" hidden="1">#REF!</definedName>
    <definedName name="BExU34A26FWS8HW26DZWIGHLAEI2" hidden="1">#REF!</definedName>
    <definedName name="BExU3ITDNK8KNYH3K3JRVSLPWRK3" hidden="1">Data #REF!</definedName>
    <definedName name="BExU3MEV5PR8FXNCFZQHC5VNOE43" hidden="1">#REF!</definedName>
    <definedName name="BExU418W8LPMG5YE747Y4TRA527Y" hidden="1">#REF!</definedName>
    <definedName name="BExU43HVO9PNZRX4NC3OMM9EG8HC" hidden="1">#REF!</definedName>
    <definedName name="BExU4EQEBI6CPH5Q593AA2MP3LF9" hidden="1">#REF!</definedName>
    <definedName name="BExU583SAAKRNJYA9QMEC5KFKACK" hidden="1">Data #REF!</definedName>
    <definedName name="BExU5NE3AKST60KO2HA4G6G1QC2T" hidden="1">#REF!</definedName>
    <definedName name="BExU5UL15HPLSLWPD9ACDIKFY8WI" hidden="1">#REF!</definedName>
    <definedName name="BExU682E6K4YS7MQPW89IL67P7AW" hidden="1">#REF!</definedName>
    <definedName name="BExU6HT5XP8G2323FN6MN3890E1A" hidden="1">#REF!</definedName>
    <definedName name="BExU6U8VITCUURB8WPBAEDY0KXUX" hidden="1">#REF!</definedName>
    <definedName name="BExU6VQSB1HQL22VJVWGRAUPF0ER" hidden="1">#REF!</definedName>
    <definedName name="BExU75MTHZ8TORVOUI0EAOG99YKY" hidden="1">#REF!</definedName>
    <definedName name="BExU78BY30UQQXUGV92HRKKVQ9AS" hidden="1">#REF!</definedName>
    <definedName name="BExU7K0R4AQO646YB4KLJSVW95MY" hidden="1">#REF!</definedName>
    <definedName name="BExU7MPV3KVLMA8TJFOY4RFSFL3H" hidden="1">#REF!</definedName>
    <definedName name="BExU7OTDX88QL7ZJC44LZYVOTQRS" hidden="1">#REF!</definedName>
    <definedName name="BExU8BFXAF0QC1UGNHTEUT9XII03" hidden="1">#REF!</definedName>
    <definedName name="BExU8J8G2FG0C1UFOUZKRGIGEYVV" hidden="1">#REF!</definedName>
    <definedName name="BExU8LS884YMRNLDOYHSZVNM59FA" hidden="1">#REF!</definedName>
    <definedName name="BExU8R0ZUPLZCU8TP6Q8E2Q69RCL" hidden="1">#REF!</definedName>
    <definedName name="BExU8RMKNJI72P9NWR8UIX9ERWTV" hidden="1">#REF!</definedName>
    <definedName name="BExU95KCALZS8E376KVAPWM3KR1V" hidden="1">#REF!</definedName>
    <definedName name="BExU9KECXA69LDPCGDSUONI330KP" hidden="1">#REF!</definedName>
    <definedName name="BExU9ZONB5VR2FJPJK5IVCMWEFZL" hidden="1">#REF!</definedName>
    <definedName name="BExUAP5LRT9QUDBKM5JW05OIMGS5" hidden="1">#REF!</definedName>
    <definedName name="BExUAVLNK63AGI705ND66KY5BP22" hidden="1">#REF!</definedName>
    <definedName name="BExUBGVQ1YZPIWY0EQTP1GQTCFVC" hidden="1">#REF!</definedName>
    <definedName name="BExUBMQ1KAWIAFAFW4T1DGNIVVOO" hidden="1">Data #REF!</definedName>
    <definedName name="BExUBT63HS20IMDQ7VVY779USCL9" hidden="1">#REF!</definedName>
    <definedName name="BExUCA940JPZXW1141LFPDSGS09D" hidden="1">#REF!</definedName>
    <definedName name="BExUCD3JMKLBD8XU5FD8GB2Q7ZDM" hidden="1">#REF!</definedName>
    <definedName name="BExUCKLAXK5RRQQNGXCIWO7WI3WL" hidden="1">#REF!</definedName>
    <definedName name="BExUCOC3DX3ZF34MTK3SIO4BSTMR" hidden="1">#REF!</definedName>
    <definedName name="BExUCZF9H4JHVO384NHK7VGVHNKM" hidden="1">Data #REF!</definedName>
    <definedName name="BExUDIWLOA3EN0133I055GP0F2XB" hidden="1">#REF!</definedName>
    <definedName name="BExUDM7ADTVZ5ND0Q9MA6BVPY1DR" hidden="1">#REF!</definedName>
    <definedName name="BExUDXQRM6907WJQRZK7U93TRS59" hidden="1">#REF!</definedName>
    <definedName name="BExUEBDM6YXVMJ6N5VQRTJHX5I9D" hidden="1">#REF!</definedName>
    <definedName name="BExUEKYWJI3URL8K9BSUGQC4TQPH" hidden="1">Data #REF!</definedName>
    <definedName name="BExVPOLMTCSUMUB59RFMQIRTF86H" hidden="1">#REF!</definedName>
    <definedName name="BExVSJPABUQ2E7EJ4Y7LG2GCWF2O" hidden="1">#REF!</definedName>
    <definedName name="BExVSX6N467AU2CIBN82SEBGNWJ3" hidden="1">#REF!</definedName>
    <definedName name="BExVSXMWAGZMBK669LHQUD5F2VSC" hidden="1">Data #REF!</definedName>
    <definedName name="BExVSYZCPN4B9K4JJ8HFP77IZTYR" hidden="1">#REF!</definedName>
    <definedName name="BExVTDD9LAGMZNPJNKGZ4SBA1AA5" hidden="1">#REF!</definedName>
    <definedName name="BExVTHKBC0594DKV2104DR8PA4VM" hidden="1">#REF!</definedName>
    <definedName name="BExVTRB2GJ0LF4V6YTWPMZJJPK02" hidden="1">#REF!</definedName>
    <definedName name="BExVTTELFQ3YIRXWWYSAP81VXVJ7" hidden="1">#REF!</definedName>
    <definedName name="BExVTZUGYPWO6BFHU7B6C4Y9K3NM" hidden="1">#REF!</definedName>
    <definedName name="BExVUFQCS1Q09LOPHA50GK2CKYNC" hidden="1">#REF!</definedName>
    <definedName name="BExVUGH8V8SXNLN60D6MPGC2QEYS" hidden="1">#REF!</definedName>
    <definedName name="BExVUP0TYQWEBQ2HAHQUFXF8C0C2" hidden="1">#REF!</definedName>
    <definedName name="BExVUV0LVEX0I4ZGAM9WYFNNFYS6" hidden="1">#REF!</definedName>
    <definedName name="BExVWFIEZXYJJSAB6LPI1DQYXKMH" hidden="1">#REF!</definedName>
    <definedName name="BExVWPUKDH9FQVPM8ZIC3215EIZT" hidden="1">#REF!</definedName>
    <definedName name="BExVX5FLXI1FE2JH3FBCJ56AW1DR" hidden="1">#REF!</definedName>
    <definedName name="BExVXG2L2MT7IRHSRNJ2QZ6LD0DT" hidden="1">#REF!</definedName>
    <definedName name="BExVXGDCGVRYKKSTU16P9FTSZZUT" hidden="1">#REF!</definedName>
    <definedName name="BExVXOGOW0BIF4NZN4HBD7XM8WIM" hidden="1">#REF!</definedName>
    <definedName name="BExVXPD71KEB9MG2SU8PL58ZZJEO" hidden="1">Data #REF!</definedName>
    <definedName name="BExVXU0D7MJRE7L1QWU00X9NROPS" hidden="1">Data #REF!</definedName>
    <definedName name="BExVY53EC76JQKPNVPFDBYJUJSG6" hidden="1">#REF!</definedName>
    <definedName name="BExVYFAA8VDDZDYLKOOP4JHWGKMM" hidden="1">#REF!</definedName>
    <definedName name="BExVYG6M94ETJCJEEBI51AOXE1KO" hidden="1">#REF!</definedName>
    <definedName name="BExVYJ18WO8L5796F5GUPWRRWZ5O" hidden="1">Data #REF!</definedName>
    <definedName name="BExVYJMT8N8CJPFD16BSVO0AAHAO" hidden="1">#REF!</definedName>
    <definedName name="BExVYKTZ9O08XOJDV4NW2MHNHXV4" hidden="1">#REF!</definedName>
    <definedName name="BExVYW7XZ2Q48ZXMAJAFFEIYVJYZ" hidden="1">#REF!</definedName>
    <definedName name="BExVZ2NUOJ4MF7VN72W8SLGKF98M" hidden="1">Data #REF!</definedName>
    <definedName name="BExVZOJI25E8U9LREJJFLP7JYRSP" hidden="1">Data #REF!</definedName>
    <definedName name="BExW0A4CVWV3OQEUZDHIW4CVHNHQ" hidden="1">Data #REF!</definedName>
    <definedName name="BExW0RI6AP4W8AARC56BGUNOIOG3" hidden="1">#REF!</definedName>
    <definedName name="BExW0VP6NWQB7MFWSK0Q53S45RZ3" hidden="1">#REF!</definedName>
    <definedName name="BExW1UM3ZOL6L2YGF40P75HY6JVF" hidden="1">#REF!</definedName>
    <definedName name="BExW1YIE3M1J47O82B8X940X82OD" hidden="1">#REF!</definedName>
    <definedName name="BExW2B8V5BLU5739C9MEM90G2MXF" hidden="1">#REF!</definedName>
    <definedName name="BExW33KDNN20OE96R3EV1O0GLC0Z" hidden="1">#REF!</definedName>
    <definedName name="BExW34X0Y5DZQ4AYLGRA1NKA0AQB" hidden="1">#REF!</definedName>
    <definedName name="BExW3B7LU1845DP45WJGUXXYQKHG" hidden="1">#REF!</definedName>
    <definedName name="BExW3IPDJ3SU2FPNQWLNMM0CNAFZ" hidden="1">#REF!</definedName>
    <definedName name="BExW3ZMX0A2IF5MDGZHS3HHBU18G" hidden="1">#REF!</definedName>
    <definedName name="BExW4A4JZ1F5NV0K3PCDLY2B0LJK" hidden="1">#REF!</definedName>
    <definedName name="BExW4SPH9E4SDZZM95YNBDBMN992" hidden="1">Data #REF!</definedName>
    <definedName name="BExW4XI5OZZGMP78DUIF49SPVZTD" hidden="1">#REF!</definedName>
    <definedName name="BExW5MIYG01OQPMR3DNVTS3UFR15" hidden="1">#REF!</definedName>
    <definedName name="BExW6VS6T4EMHFJE6WQW1TDG3KUP" hidden="1">Data #REF!</definedName>
    <definedName name="BExW7465SCE95AIL89CZX3AE3AZF" hidden="1">#REF!</definedName>
    <definedName name="BExW7E2DETYFBRH94V3K31RFYCVJ" hidden="1">#REF!</definedName>
    <definedName name="BExW7VAQRFY1Q39OWSVB763XZEB6" hidden="1">#REF!</definedName>
    <definedName name="BExW8KMCGDRQ41ZR1UZVUS039N59" hidden="1">#REF!</definedName>
    <definedName name="BExW937AS2Q4M8MKETD7NVJ6Y89Y" hidden="1">Data #REF!</definedName>
    <definedName name="BExW9JDYJA4DPGQP5U6IBDJ0ZHS0" hidden="1">#REF!</definedName>
    <definedName name="BExW9NL0FJICOE4IBXQ9SI250MRD" hidden="1">#REF!</definedName>
    <definedName name="BExWAI5K1HEXGISCAFVADSAB6KG7" hidden="1">#REF!</definedName>
    <definedName name="BExWAMCMCGSMKNYDUSQREO47IB7D" hidden="1">#REF!</definedName>
    <definedName name="BExXLBW86OPDP30LS48V8OCS8PRS" hidden="1">#REF!</definedName>
    <definedName name="BExXMSXZAYQ5WASD282ORLDIIO3T" hidden="1">#REF!</definedName>
    <definedName name="BExXNDH1D4JKK6KA1JET0E0DDZ53" hidden="1">#REF!</definedName>
    <definedName name="BExXNHIQOXISO65II8IGUL48YJO6" hidden="1">#REF!</definedName>
    <definedName name="BExXNPGKHA422RZ46TIY8GHGNY51" hidden="1">#REF!</definedName>
    <definedName name="BExXO4W522208JNMSIVSLFQI8747" hidden="1">Data #REF!</definedName>
    <definedName name="BExXOCU6DN5B74CNJOULE63DS4XP" hidden="1">Data #REF!</definedName>
    <definedName name="BExXOUYW8N3311O041EGRWT9E2EN" hidden="1">#REF!</definedName>
    <definedName name="BExXP3CZRCHRZSPV8TUQGTYZ0JYB" hidden="1">#REF!</definedName>
    <definedName name="BExXP9NKLQLBSI3UTPR85330Q6Q8" hidden="1">#REF!</definedName>
    <definedName name="BExXPBWKG4L86UK9E2URM1STZHHI" hidden="1">#REF!</definedName>
    <definedName name="BExXPJ8UPY5XIRB9ITYC4Q1H9WBJ" hidden="1">#REF!</definedName>
    <definedName name="BExXPLCCD4ZRAGFPKZLY5D3SLN6K" hidden="1">Data #REF!</definedName>
    <definedName name="BExXPT4WI824OYNR4V9T846X5U3V" hidden="1">#REF!</definedName>
    <definedName name="BExXPTFOV1EXFKE3GN142Y1JHYKY" hidden="1">Data #REF!</definedName>
    <definedName name="BExXPUXNA5JYEGF9E94S77HLQAHU" hidden="1">#REF!</definedName>
    <definedName name="BExXQ1TTT5ZXKBI621BEDDFA025H" hidden="1">Data #REF!</definedName>
    <definedName name="BExXQ6BNHRBXK0HK9INOIERY5JOX" hidden="1">#REF!</definedName>
    <definedName name="BExXQ968C8D25ESDATA9PHK23OCL" hidden="1">Data #REF!</definedName>
    <definedName name="BExXR88G42P132U3XQPJSZNBPIHE" hidden="1">#REF!</definedName>
    <definedName name="BExXRAS8K0Y8AFPQAUJS2GZ2QFQ1" hidden="1">#REF!</definedName>
    <definedName name="BExXRQ2C6EQJQVQAEF6P8MCT0ZEW" hidden="1">#REF!</definedName>
    <definedName name="BExXS0JYX276X2T8DF6QEBPTDFFV" hidden="1">#REF!</definedName>
    <definedName name="BExXS5Y6JVYTU4DIMNWA4PGNHVH6" hidden="1">#REF!</definedName>
    <definedName name="BExXS75CVSGOA796XOLVDDP4LN6G" hidden="1">#REF!</definedName>
    <definedName name="BExXSB1NVARWC60PYDYKO6Z01OXY" hidden="1">#REF!</definedName>
    <definedName name="BExXSHC6VZ0GFVUDZEQ07VHDMTOA" hidden="1">#REF!</definedName>
    <definedName name="BExXSPA2049IRXELU3BM0UDJUOWZ" hidden="1">#REF!</definedName>
    <definedName name="BExXT2X2S53RJJM1UUBKK7UJAE4E" hidden="1">#REF!</definedName>
    <definedName name="BExXT8WUDHZXC1IDVYX077X8RLAS" hidden="1">#REF!</definedName>
    <definedName name="BExXTUN0LWBN947U9OJIK1S3JTQB" hidden="1">Data #REF!</definedName>
    <definedName name="BExXU0186DLEPMLEM98JZ7KYNCC2" hidden="1">#REF!</definedName>
    <definedName name="BExXU4TU9HP08TV0ORC83EUK50YE" hidden="1">Data #REF!</definedName>
    <definedName name="BExXU9H138H22SXQM00QSCSX26U9" hidden="1">Data #REF!</definedName>
    <definedName name="BExXUCX7CQ7MWT0SBF14RO2YJSD7" hidden="1">#REF!</definedName>
    <definedName name="BExXUD7YVVTIIVOW4WYQ2KBJEEJF" hidden="1">Data #REF!</definedName>
    <definedName name="BExXUMT92VAFB1VNF5ODVHYX7XY7" hidden="1">#REF!</definedName>
    <definedName name="BExXV8E3QNOKGDJ76T2LM2A77TNG" hidden="1">Data #REF!</definedName>
    <definedName name="BExXV8E426GCCXGQ2MS2JJOODH6B" hidden="1">#REF!</definedName>
    <definedName name="BExXW707V3SCJTTVN6QX3C9ABV6H" hidden="1">#REF!</definedName>
    <definedName name="BExXWALPER24UQ266IQKSML3VAXI" hidden="1">#REF!</definedName>
    <definedName name="BExXWDASBEVCYIPNH8WVZH26H1NJ" hidden="1">#REF!</definedName>
    <definedName name="BExXXE0GXW6GAOZY2UVMG68TY2YY" hidden="1">Data #REF!</definedName>
    <definedName name="BExXXR1PMTA3GBNE0FJT6MKPUBWD" hidden="1">#REF!</definedName>
    <definedName name="BExXXV3GVR0U4PP6DEQ79168RU2E" hidden="1">#REF!</definedName>
    <definedName name="BExXYS270TXKNUXBERRUJ11AK15F" hidden="1">#REF!</definedName>
    <definedName name="BExXYXLV5EO2JTI2STQJ8AXL01IN" hidden="1">#REF!</definedName>
    <definedName name="BExXYY7GHFTT1160C28O4BEXYJHT" hidden="1">#REF!</definedName>
    <definedName name="BExXYY7H2ZO59VOVOAWK6YFBTAED" hidden="1">#REF!</definedName>
    <definedName name="BExXYZELNQHW2G92CYPO8G78N5PZ" hidden="1">#REF!</definedName>
    <definedName name="BExXZJHIHJ5SHRA23PYW9UHYYK86" hidden="1">#REF!</definedName>
    <definedName name="BExY0OUB2WUEO6F9M9ECIHBF2R51" hidden="1">#REF!</definedName>
    <definedName name="BExY0QSCEJF92EE3GZD9F14LOGXN" hidden="1">#REF!</definedName>
    <definedName name="BExY0ROWWSZIF3W6BQXS81LGG1LO" hidden="1">#REF!</definedName>
    <definedName name="BExY0YFLU620M6H8TNJUNZ99YLZZ" hidden="1">Data #REF!</definedName>
    <definedName name="BExY0ZMQK8X9FU1KO2FALAVHQ3A0" hidden="1">#REF!</definedName>
    <definedName name="BExY12XEY9YECVG8LAG3VCZXK4GA" hidden="1">#REF!</definedName>
    <definedName name="BExY1JUYZAKO4KS6QBE00O12295P" hidden="1">#REF!</definedName>
    <definedName name="BExY1UCMBX74I5YO3PKCM4HHC6FB" hidden="1">#REF!</definedName>
    <definedName name="BExY1UNDBNUCDD0K5MDQ6MO89FS0" hidden="1">#REF!</definedName>
    <definedName name="BExY284WXED2AEPG2AFV3KK4C6IT" hidden="1">#REF!</definedName>
    <definedName name="BExY2AJ8C6MAOABIUEWA7ZAJKNPK" hidden="1">#REF!</definedName>
    <definedName name="BExY2DONDM69XE1SWHORPQ44L51Q" hidden="1">#REF!</definedName>
    <definedName name="BExY2EFHQXQB95IUSM391Y76U0M5" hidden="1">#REF!</definedName>
    <definedName name="BExY2K4JM034O8HGQHS5NM4AZ5IR" hidden="1">#REF!</definedName>
    <definedName name="BExY2UM5RQSAIBPAQWIZGFTRZTS7" hidden="1">#REF!</definedName>
    <definedName name="BExY2X0GM9D5KXXEA7OUHMBC5B9U" hidden="1">#REF!</definedName>
    <definedName name="BExY2YNQEIN3XM935PH6C8A8MKAN" hidden="1">#REF!</definedName>
    <definedName name="BExY37I3UEO70IS5I5JYC9IYSTZQ" hidden="1">#REF!</definedName>
    <definedName name="BExY3A77M7XRJZSWWGE321P44351" hidden="1">Data #REF!</definedName>
    <definedName name="BExY3PXLG12GBTT8TIKA6BI2WCBB" hidden="1">Data #REF!</definedName>
    <definedName name="BExY3V11HCQAI41TYWMLPSGBUO5P" hidden="1">#REF!</definedName>
    <definedName name="BExY40F844CSKNWG7FJQ80298IE6" hidden="1">#REF!</definedName>
    <definedName name="BExY48D80HXQ29DP1IJ1SFAREZYU" hidden="1">#REF!</definedName>
    <definedName name="BExY4BIGGU0623WM68PTGWIZ7NZ9" hidden="1">#REF!</definedName>
    <definedName name="BExY4ET47TFRGY6BW0E1WLWQDTKQ" hidden="1">Data #REF!</definedName>
    <definedName name="BExY4THT7YIBZP44OZXG9C4VB5NL" hidden="1">#REF!</definedName>
    <definedName name="BExY5B6FR3042SU27CTTUIG335BR" hidden="1">Data #REF!</definedName>
    <definedName name="BExY5EBMSUM3MYEPW6N3IK1VL8AZ" hidden="1">Data #REF!</definedName>
    <definedName name="BExY64EAODGM8FBDBL2J0WT1HYXD" hidden="1">#REF!</definedName>
    <definedName name="BExY67ZSU7MK0QR4IID7K7I7UDR3" hidden="1">#REF!</definedName>
    <definedName name="BExZHWLST9GVP29MC09IN9WNDNT4" hidden="1">#REF!</definedName>
    <definedName name="BExZIBW2P09M2QICBHQZXYWE7H80" hidden="1">#REF!</definedName>
    <definedName name="BExZIFHJH4NVQ5M737KXR5Z95EYP" hidden="1">#REF!</definedName>
    <definedName name="BExZIO6GFWS1HARGXSO1HE95QN1N" hidden="1">#REF!</definedName>
    <definedName name="BExZISZ2NPUW0AJVUBNSDW7YDVTX" hidden="1">#REF!</definedName>
    <definedName name="BExZJBK17Y16KWJ3Z21PVZHXHG0I" hidden="1">#REF!</definedName>
    <definedName name="BExZJFATQ0G6Q8OPF55T3ZWTPQPY" hidden="1">#REF!</definedName>
    <definedName name="BExZJI5DKUP0HZXYRR2F7CTGI2EM" hidden="1">#REF!</definedName>
    <definedName name="BExZJRQNSH7E2BZHXJEMKJ6JJP2L" hidden="1">#REF!</definedName>
    <definedName name="BExZKA0U5V5LAKMR0Z7KJJ8TOV3A" hidden="1">#REF!</definedName>
    <definedName name="BExZKFPVJV12OEZLMXD8CB748VCO" hidden="1">#REF!</definedName>
    <definedName name="BExZKJGM5V39CE004A520X34HK92" hidden="1">#REF!</definedName>
    <definedName name="BExZKQCSQKZ7ZS6AZ4FNFVO8CIJ2" hidden="1">#REF!</definedName>
    <definedName name="BExZL1G02DRE5JDCEBSP07IYEYJB" hidden="1">#REF!</definedName>
    <definedName name="BExZL8XR4U3MY0C8CUKCEBLLBGF2" hidden="1">Data #REF!</definedName>
    <definedName name="BExZLIJ1D3OG2RU432BK24IEDXEG" hidden="1">#REF!</definedName>
    <definedName name="BExZLL85CDSQQOA4I1RJEXYNLC8M" hidden="1">#REF!</definedName>
    <definedName name="BExZLYV04UZ4NCGPVRZDBDNLOKWQ" hidden="1">#REF!</definedName>
    <definedName name="BExZMX6FOO07OILF7FG98QDT151F" hidden="1">#REF!</definedName>
    <definedName name="BExZMY2NF8WIYWKZEYMCQGYGARBM" hidden="1">#REF!</definedName>
    <definedName name="BExZN60P7H515MPR8E07E9UPFG42" hidden="1">Data #REF!</definedName>
    <definedName name="BExZNF0E3A621FHO0MPGD4ZWCKRC" hidden="1">#REF!</definedName>
    <definedName name="BExZNS74H9LEJZELYWNOXK38N8SD" hidden="1">#REF!</definedName>
    <definedName name="BExZO235ZIGGVOO5RSA214U9SYTE" hidden="1">#REF!</definedName>
    <definedName name="BExZO2376TRXAL4GROBYJOC0BBWA" hidden="1">#REF!</definedName>
    <definedName name="BExZPIZCAVM0GI6S17NU7A8DY645" hidden="1">Data #REF!</definedName>
    <definedName name="BExZQ4ETSNS4H5FCBM3FS9I2C5EE" hidden="1">#REF!</definedName>
    <definedName name="BExZQG8YDWL6SQSH3M6UOFCOOA01" hidden="1">#REF!</definedName>
    <definedName name="BExZQW4T2H8OY2KNW6ESNW31YP3U" hidden="1">Data #REF!</definedName>
    <definedName name="BExZR187BSIXSTGH980KI7F2TRXQ" hidden="1">#REF!</definedName>
    <definedName name="BExZRS75OOPZBRAMI50FQX37IF6T" hidden="1">#REF!</definedName>
    <definedName name="BExZRXWB19A6JE5MR98RL96RPSN7" hidden="1">#REF!</definedName>
    <definedName name="BExZRY1N8P38K8E4IBK9OP6QEE2R" hidden="1">#REF!</definedName>
    <definedName name="BExZRZ3HPJBB0HMDE9HKI7E1YD5J" hidden="1">#REF!</definedName>
    <definedName name="BExZS1N2QAZHDQ3B6RDBBWDPXZVO" hidden="1">#REF!</definedName>
    <definedName name="BExZSCFI35S15K7YWBGLQ9XYU2XH" hidden="1">#REF!</definedName>
    <definedName name="BExZSDMPJTFFD7YYC1BQMKITAIEX" hidden="1">#REF!</definedName>
    <definedName name="BExZSVGL0LMVI5K3LL0RPE7OZJCP" hidden="1">#REF!</definedName>
    <definedName name="BExZSZCUUPS30EB35W6VOD1OPX8R" hidden="1">#REF!</definedName>
    <definedName name="BExZT1LVB2XUW60V1B33E19900NS" hidden="1">Data #REF!</definedName>
    <definedName name="BExZT9UI15NUS2ZSET7QBRSSPB0P" hidden="1">#REF!</definedName>
    <definedName name="BExZTAG3I3IKI6VR7JS5LN3NJK96" hidden="1">#REF!</definedName>
    <definedName name="BExZTI8KOHXNL7KZGRDGUONX0Q1Z" hidden="1">#REF!</definedName>
    <definedName name="BExZTKXOZXWF54X3FTBRORACPSHY" hidden="1">Data #REF!</definedName>
    <definedName name="BExZU7K8MIN2CF5D4QJU04BGAQH9" hidden="1">#REF!</definedName>
    <definedName name="BExZUBM0SQNF2IKSNJDUICTWUZ1O" hidden="1">#REF!</definedName>
    <definedName name="BExZUG94QCYXGK4T8BV4XH72FDN5" hidden="1">Data #REF!</definedName>
    <definedName name="BExZUYZFYO4ZYSRB4HD0UKRILYJ5" hidden="1">#REF!</definedName>
    <definedName name="BExZV1ZGWLJ7IELD2HE8E8T2PIOY" hidden="1">Data #REF!</definedName>
    <definedName name="BExZVS212AOB21XVREFQZP6ZCERE" hidden="1">#REF!</definedName>
    <definedName name="BExZVULTFH1COCTGL6LCWC4CO2UM" hidden="1">#REF!</definedName>
    <definedName name="BExZW4N5JRHRUUHO4TMTKOD1N8O5" hidden="1">#REF!</definedName>
    <definedName name="BExZW7XUCIIPNJ916EW5TXWXZQAT" hidden="1">Data #REF!</definedName>
    <definedName name="BExZWDMVKR0OR98OPXFOCNC26HIE" hidden="1">#REF!</definedName>
    <definedName name="BExZWHTXEVKHLWQHSMEXPBN1KNH1" hidden="1">#REF!</definedName>
    <definedName name="BExZWIVLKNACHGJJ8UF6S01SOXLC" hidden="1">Data #REF!</definedName>
    <definedName name="BExZWWD5T01KLDP4SCWT8NSN1MTS" hidden="1">#REF!</definedName>
    <definedName name="BExZX6URTEQ0YG6MIT6TUYMEPYI8" hidden="1">#REF!</definedName>
    <definedName name="BExZX93SH1250HZZRK5XG74KK9D2" hidden="1">#REF!</definedName>
    <definedName name="BExZX9PCZTWSP0M3K9I5D5GQJFR9" hidden="1">#REF!</definedName>
    <definedName name="BExZY4Q01HHOLJEYM2JXF87YKWN4" hidden="1">#REF!</definedName>
    <definedName name="BExZY8GZ3KZY9EDL5QU4S1N9N8NB" hidden="1">#REF!</definedName>
    <definedName name="BExZYAV4D9V9VU16DTU6TNIBJH6R" hidden="1">#REF!</definedName>
    <definedName name="BExZYJ97NVF9EVTP3XUG2XMCT7PO" hidden="1">#REF!</definedName>
    <definedName name="BExZYOY8C1TM28QPXMXKKLQYKKTY" hidden="1">#REF!</definedName>
    <definedName name="BExZYZQNMK4DPUV5VZPY27D1L7XA" hidden="1">Data #REF!</definedName>
    <definedName name="BExZZ8FJ35793MXXJBQC2J61KUFK" hidden="1">#REF!</definedName>
    <definedName name="BExZZI0UTLRCG9HZW0F9JP3Q0L0I" hidden="1">#REF!</definedName>
    <definedName name="BExZZV23SRMRZ2TLTWKDFK77QULH" hidden="1">#REF!</definedName>
    <definedName name="BExZZVCV8XO97VPVC38DJLDLVGWW" hidden="1">#REF!</definedName>
    <definedName name="BExZZZPERWURAXICV5L4BS4L9GFL" hidden="1">#REF!</definedName>
    <definedName name="campo" localSheetId="1">#REF!</definedName>
    <definedName name="campo" localSheetId="0">#REF!</definedName>
    <definedName name="campo">#REF!</definedName>
    <definedName name="Campo_Listagem" localSheetId="1">#REF!</definedName>
    <definedName name="Campo_Listagem" localSheetId="0">#REF!</definedName>
    <definedName name="Campo_Listagem" comment="Nomes camp seleção">#REF!</definedName>
    <definedName name="Conteúdo">#REF!</definedName>
    <definedName name="FX_BRLEUR">#REF!</definedName>
    <definedName name="g" hidden="1">Data #REF!</definedName>
    <definedName name="hdgdjd" hidden="1">Data #REF!</definedName>
    <definedName name="hj" comment="Nomes camp seleção">#REF!</definedName>
    <definedName name="j">#REF!</definedName>
    <definedName name="kajsdlñkfjalñskdfjasklñdfjlñaskdfjlñkasj" hidden="1">Data #REF!</definedName>
    <definedName name="ladsfadfadfa" hidden="1">Data #REF!</definedName>
    <definedName name="periodo_selecionado">#REF!</definedName>
    <definedName name="PeriodoInPlanejado">#REF!=MEDIAN(#REF!,#REF!,#REF!+#REF!-1)</definedName>
    <definedName name="PeriodoInReal">#REF!=MEDIAN(#REF!,#REF!,#REF!+#REF!-1)</definedName>
    <definedName name="Plano">PeriodoInPlanejado*(#REF!&gt;0)</definedName>
    <definedName name="PorcentagemConcluída">PorcentagemConcluídaPosterior*PeriodoInPlanejado</definedName>
    <definedName name="PorcentagemConcluídaPosterior">(#REF!=MEDIAN(#REF!,#REF!,#REF!+#REF!)*(#REF!&gt;0))*((#REF!&lt;(INT(#REF!+#REF!*#REF!)))+(#REF!=#REF!))*(#REF!&gt;0)</definedName>
    <definedName name="prova" hidden="1">InstHook</definedName>
    <definedName name="Real">(PeriodoInReal*(#REF!&gt;0))*PeriodoInPlanejado</definedName>
    <definedName name="RealPosterior">PeriodoInReal*(#REF!&gt;0)</definedName>
    <definedName name="Resuumo" comment="Nomes camp seleção">#REF!</definedName>
    <definedName name="SAPBEXhrIndnt" hidden="1">"Wide"</definedName>
    <definedName name="SAPBEXnonsense" hidden="1">305</definedName>
    <definedName name="SAPBEXrevision" hidden="1">145</definedName>
    <definedName name="SAPBEXsysID" hidden="1">"PBC"</definedName>
    <definedName name="SAPBEXwbID" hidden="1">"3Z2ET4AJ9AEVOX0QJ6I3GA5UA"</definedName>
    <definedName name="SAPsysID" hidden="1">"708C5W7SBKP804JT78WJ0JNKI"</definedName>
    <definedName name="SAPwbID" hidden="1">"ARS"</definedName>
    <definedName name="Status">#REF!</definedName>
    <definedName name="tes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27" i="4" l="1"/>
  <c r="H16" i="4" l="1"/>
  <c r="I4" i="4"/>
  <c r="I5" i="4"/>
  <c r="I6" i="4"/>
  <c r="I7" i="4"/>
  <c r="I8" i="4"/>
  <c r="I9" i="4"/>
  <c r="I10" i="4"/>
  <c r="I11" i="4"/>
  <c r="I3" i="4"/>
  <c r="H45" i="4"/>
  <c r="L45" i="4" s="1"/>
  <c r="Z45" i="4"/>
  <c r="AD45" i="4"/>
  <c r="AE45" i="4"/>
  <c r="AF45" i="4"/>
  <c r="AI45" i="4" s="1"/>
  <c r="H46" i="4"/>
  <c r="L46" i="4"/>
  <c r="W46" i="4"/>
  <c r="Z46" i="4"/>
  <c r="AD46" i="4"/>
  <c r="AE46" i="4"/>
  <c r="AF46" i="4"/>
  <c r="AH46" i="4" s="1"/>
  <c r="AN46" i="4" s="1"/>
  <c r="AJ46" i="4" s="1"/>
  <c r="AI46" i="4"/>
  <c r="H47" i="4"/>
  <c r="L47" i="4" s="1"/>
  <c r="Z47" i="4"/>
  <c r="AD47" i="4"/>
  <c r="AE47" i="4"/>
  <c r="AF47" i="4"/>
  <c r="AI47" i="4" s="1"/>
  <c r="H48" i="4"/>
  <c r="W48" i="4" s="1"/>
  <c r="L48" i="4"/>
  <c r="Z48" i="4"/>
  <c r="AD48" i="4"/>
  <c r="AE48" i="4"/>
  <c r="AF48" i="4"/>
  <c r="AI48" i="4" s="1"/>
  <c r="H49" i="4"/>
  <c r="L49" i="4"/>
  <c r="W49" i="4"/>
  <c r="Y49" i="4"/>
  <c r="Z49" i="4"/>
  <c r="AD49" i="4"/>
  <c r="AE49" i="4"/>
  <c r="AF49" i="4"/>
  <c r="AH49" i="4" s="1"/>
  <c r="AN49" i="4" s="1"/>
  <c r="H50" i="4"/>
  <c r="W50" i="4" s="1"/>
  <c r="L50" i="4"/>
  <c r="Z50" i="4"/>
  <c r="AD50" i="4"/>
  <c r="AE50" i="4"/>
  <c r="AF50" i="4"/>
  <c r="AI50" i="4" s="1"/>
  <c r="H51" i="4"/>
  <c r="W51" i="4" s="1"/>
  <c r="Y51" i="4" s="1"/>
  <c r="K51" i="4"/>
  <c r="Z51" i="4"/>
  <c r="AD51" i="4"/>
  <c r="AE51" i="4"/>
  <c r="AF51" i="4"/>
  <c r="AI51" i="4"/>
  <c r="H52" i="4"/>
  <c r="K52" i="4" s="1"/>
  <c r="Z52" i="4"/>
  <c r="AD52" i="4"/>
  <c r="AE52" i="4"/>
  <c r="AF52" i="4"/>
  <c r="AI52" i="4" s="1"/>
  <c r="H53" i="4"/>
  <c r="K53" i="4" s="1"/>
  <c r="Z53" i="4"/>
  <c r="AD53" i="4"/>
  <c r="AE53" i="4"/>
  <c r="AF53" i="4"/>
  <c r="AI53" i="4" s="1"/>
  <c r="H54" i="4"/>
  <c r="K54" i="4" s="1"/>
  <c r="Z54" i="4"/>
  <c r="AD54" i="4"/>
  <c r="AE54" i="4"/>
  <c r="AF54" i="4"/>
  <c r="AH54" i="4" s="1"/>
  <c r="AN54" i="4" s="1"/>
  <c r="H57" i="4"/>
  <c r="W57" i="4" s="1"/>
  <c r="Z57" i="4"/>
  <c r="AD57" i="4"/>
  <c r="AE57" i="4"/>
  <c r="AF57" i="4"/>
  <c r="AI57" i="4" s="1"/>
  <c r="AH57" i="4"/>
  <c r="AN57" i="4" s="1"/>
  <c r="AJ57" i="4" s="1"/>
  <c r="H58" i="4"/>
  <c r="W58" i="4" s="1"/>
  <c r="Z58" i="4"/>
  <c r="AD58" i="4"/>
  <c r="AE58" i="4"/>
  <c r="AF58" i="4"/>
  <c r="AH58" i="4" s="1"/>
  <c r="AN58" i="4" s="1"/>
  <c r="H59" i="4"/>
  <c r="W59" i="4" s="1"/>
  <c r="L59" i="4"/>
  <c r="Z59" i="4"/>
  <c r="AD59" i="4"/>
  <c r="AE59" i="4"/>
  <c r="AF59" i="4"/>
  <c r="AH59" i="4"/>
  <c r="AN59" i="4" s="1"/>
  <c r="AJ59" i="4" s="1"/>
  <c r="AI59" i="4"/>
  <c r="H60" i="4"/>
  <c r="L60" i="4" s="1"/>
  <c r="Z60" i="4"/>
  <c r="AD60" i="4"/>
  <c r="AE60" i="4"/>
  <c r="AF60" i="4"/>
  <c r="AI60" i="4"/>
  <c r="H61" i="4"/>
  <c r="W61" i="4" s="1"/>
  <c r="Z61" i="4"/>
  <c r="AD61" i="4"/>
  <c r="AE61" i="4"/>
  <c r="AF61" i="4"/>
  <c r="AI61" i="4" s="1"/>
  <c r="H62" i="4"/>
  <c r="L62" i="4" s="1"/>
  <c r="Z62" i="4"/>
  <c r="AD62" i="4"/>
  <c r="AE62" i="4"/>
  <c r="AF62" i="4"/>
  <c r="AI62" i="4" s="1"/>
  <c r="H63" i="4"/>
  <c r="L63" i="4" s="1"/>
  <c r="Z63" i="4"/>
  <c r="AD63" i="4"/>
  <c r="AE63" i="4"/>
  <c r="AF63" i="4"/>
  <c r="AI63" i="4" s="1"/>
  <c r="H64" i="4"/>
  <c r="L64" i="4"/>
  <c r="W64" i="4"/>
  <c r="Y64" i="4" s="1"/>
  <c r="Z64" i="4"/>
  <c r="AD64" i="4"/>
  <c r="AE64" i="4"/>
  <c r="AF64" i="4"/>
  <c r="AH64" i="4" s="1"/>
  <c r="AN64" i="4" s="1"/>
  <c r="AJ64" i="4" s="1"/>
  <c r="AI64" i="4"/>
  <c r="H65" i="4"/>
  <c r="W65" i="4" s="1"/>
  <c r="Z65" i="4"/>
  <c r="AD65" i="4"/>
  <c r="AE65" i="4"/>
  <c r="AF65" i="4"/>
  <c r="AI65" i="4" s="1"/>
  <c r="H66" i="4"/>
  <c r="W66" i="4" s="1"/>
  <c r="L66" i="4"/>
  <c r="Z66" i="4"/>
  <c r="AD66" i="4"/>
  <c r="AE66" i="4"/>
  <c r="AF66" i="4"/>
  <c r="AI66" i="4"/>
  <c r="H67" i="4"/>
  <c r="L67" i="4" s="1"/>
  <c r="Z67" i="4"/>
  <c r="AD67" i="4"/>
  <c r="AE67" i="4"/>
  <c r="AF67" i="4"/>
  <c r="AI67" i="4" s="1"/>
  <c r="H68" i="4"/>
  <c r="AH68" i="4" s="1"/>
  <c r="AN68" i="4" s="1"/>
  <c r="AJ68" i="4" s="1"/>
  <c r="L68" i="4"/>
  <c r="W68" i="4"/>
  <c r="Y68" i="4" s="1"/>
  <c r="Z68" i="4"/>
  <c r="AD68" i="4"/>
  <c r="AE68" i="4"/>
  <c r="AF68" i="4"/>
  <c r="AI68" i="4"/>
  <c r="H71" i="4"/>
  <c r="L71" i="4" s="1"/>
  <c r="Z71" i="4"/>
  <c r="AD71" i="4"/>
  <c r="AE71" i="4"/>
  <c r="AF71" i="4"/>
  <c r="AI71" i="4" s="1"/>
  <c r="H72" i="4"/>
  <c r="AH72" i="4" s="1"/>
  <c r="AN72" i="4" s="1"/>
  <c r="Z72" i="4"/>
  <c r="AD72" i="4"/>
  <c r="AE72" i="4"/>
  <c r="AF72" i="4"/>
  <c r="AI72" i="4" s="1"/>
  <c r="H73" i="4"/>
  <c r="W73" i="4" s="1"/>
  <c r="L73" i="4"/>
  <c r="Z73" i="4"/>
  <c r="AD73" i="4"/>
  <c r="AE73" i="4"/>
  <c r="AF73" i="4"/>
  <c r="AH73" i="4"/>
  <c r="AN73" i="4" s="1"/>
  <c r="AJ73" i="4" s="1"/>
  <c r="AI73" i="4"/>
  <c r="H74" i="4"/>
  <c r="L74" i="4" s="1"/>
  <c r="Z74" i="4"/>
  <c r="AD74" i="4"/>
  <c r="AE74" i="4"/>
  <c r="AF74" i="4"/>
  <c r="AI74" i="4" s="1"/>
  <c r="H76" i="4"/>
  <c r="L76" i="4" s="1"/>
  <c r="Z76" i="4"/>
  <c r="AD76" i="4"/>
  <c r="AE76" i="4"/>
  <c r="AF76" i="4"/>
  <c r="AI76" i="4" s="1"/>
  <c r="H77" i="4"/>
  <c r="L77" i="4" s="1"/>
  <c r="Z77" i="4"/>
  <c r="AD77" i="4"/>
  <c r="AE77" i="4"/>
  <c r="AF77" i="4"/>
  <c r="H78" i="4"/>
  <c r="L78" i="4" s="1"/>
  <c r="Z78" i="4"/>
  <c r="AD78" i="4"/>
  <c r="AE78" i="4"/>
  <c r="AF78" i="4"/>
  <c r="AI78" i="4" s="1"/>
  <c r="H79" i="4"/>
  <c r="W79" i="4" s="1"/>
  <c r="Z79" i="4"/>
  <c r="AD79" i="4"/>
  <c r="AE79" i="4"/>
  <c r="AF79" i="4"/>
  <c r="AI79" i="4" s="1"/>
  <c r="H80" i="4"/>
  <c r="L80" i="4" s="1"/>
  <c r="Z80" i="4"/>
  <c r="AD80" i="4"/>
  <c r="AE80" i="4"/>
  <c r="AF80" i="4"/>
  <c r="AI80" i="4" s="1"/>
  <c r="H81" i="4"/>
  <c r="W81" i="4" s="1"/>
  <c r="Z81" i="4"/>
  <c r="AD81" i="4"/>
  <c r="AE81" i="4"/>
  <c r="AF81" i="4"/>
  <c r="AI81" i="4" s="1"/>
  <c r="H84" i="4"/>
  <c r="L84" i="4" s="1"/>
  <c r="Z84" i="4"/>
  <c r="AD84" i="4"/>
  <c r="AE84" i="4"/>
  <c r="AF84" i="4"/>
  <c r="AI84" i="4" s="1"/>
  <c r="H85" i="4"/>
  <c r="L85" i="4" s="1"/>
  <c r="Z85" i="4"/>
  <c r="AD85" i="4"/>
  <c r="AE85" i="4"/>
  <c r="AF85" i="4"/>
  <c r="AI85" i="4" s="1"/>
  <c r="H86" i="4"/>
  <c r="W86" i="4" s="1"/>
  <c r="Y86" i="4" s="1"/>
  <c r="L86" i="4"/>
  <c r="Z86" i="4"/>
  <c r="AD86" i="4"/>
  <c r="AE86" i="4"/>
  <c r="AF86" i="4"/>
  <c r="AI86" i="4"/>
  <c r="H87" i="4"/>
  <c r="L87" i="4" s="1"/>
  <c r="Z87" i="4"/>
  <c r="AD87" i="4"/>
  <c r="AE87" i="4"/>
  <c r="AF87" i="4"/>
  <c r="AI87" i="4" s="1"/>
  <c r="H88" i="4"/>
  <c r="L88" i="4" s="1"/>
  <c r="Z88" i="4"/>
  <c r="AD88" i="4"/>
  <c r="AE88" i="4"/>
  <c r="AF88" i="4"/>
  <c r="AI88" i="4" s="1"/>
  <c r="H89" i="4"/>
  <c r="L89" i="4" s="1"/>
  <c r="Z89" i="4"/>
  <c r="AD89" i="4"/>
  <c r="AE89" i="4"/>
  <c r="AF89" i="4"/>
  <c r="AI89" i="4"/>
  <c r="H90" i="4"/>
  <c r="W90" i="4" s="1"/>
  <c r="Z90" i="4"/>
  <c r="AD90" i="4"/>
  <c r="AE90" i="4"/>
  <c r="AF90" i="4"/>
  <c r="AI90" i="4" s="1"/>
  <c r="H91" i="4"/>
  <c r="W91" i="4" s="1"/>
  <c r="Z91" i="4"/>
  <c r="AD91" i="4"/>
  <c r="AE91" i="4"/>
  <c r="AF91" i="4"/>
  <c r="AI91" i="4" s="1"/>
  <c r="H92" i="4"/>
  <c r="W92" i="4" s="1"/>
  <c r="Z92" i="4"/>
  <c r="AD92" i="4"/>
  <c r="AE92" i="4"/>
  <c r="AF92" i="4"/>
  <c r="AI92" i="4" s="1"/>
  <c r="H93" i="4"/>
  <c r="W93" i="4" s="1"/>
  <c r="L93" i="4"/>
  <c r="Z93" i="4"/>
  <c r="AD93" i="4"/>
  <c r="AE93" i="4"/>
  <c r="AF93" i="4"/>
  <c r="H94" i="4"/>
  <c r="W94" i="4" s="1"/>
  <c r="Y94" i="4" s="1"/>
  <c r="L94" i="4"/>
  <c r="Z94" i="4"/>
  <c r="AD94" i="4"/>
  <c r="AE94" i="4"/>
  <c r="AF94" i="4"/>
  <c r="AI94" i="4" s="1"/>
  <c r="H95" i="4"/>
  <c r="L95" i="4" s="1"/>
  <c r="W95" i="4"/>
  <c r="Y95" i="4" s="1"/>
  <c r="Z95" i="4"/>
  <c r="AD95" i="4"/>
  <c r="AE95" i="4"/>
  <c r="AF95" i="4"/>
  <c r="AI95" i="4" s="1"/>
  <c r="H96" i="4"/>
  <c r="L96" i="4" s="1"/>
  <c r="Z96" i="4"/>
  <c r="AD96" i="4"/>
  <c r="AE96" i="4"/>
  <c r="AF96" i="4"/>
  <c r="AI96" i="4" s="1"/>
  <c r="Y73" i="4" l="1"/>
  <c r="AA73" i="4" s="1"/>
  <c r="Y59" i="4"/>
  <c r="AA59" i="4" s="1"/>
  <c r="AJ49" i="4"/>
  <c r="AH61" i="4"/>
  <c r="AN61" i="4" s="1"/>
  <c r="AJ61" i="4" s="1"/>
  <c r="AH51" i="4"/>
  <c r="AN51" i="4" s="1"/>
  <c r="AJ51" i="4" s="1"/>
  <c r="AA49" i="4"/>
  <c r="W72" i="4"/>
  <c r="Y72" i="4" s="1"/>
  <c r="AH50" i="4"/>
  <c r="AN50" i="4" s="1"/>
  <c r="AJ50" i="4" s="1"/>
  <c r="AI49" i="4"/>
  <c r="AA46" i="4"/>
  <c r="L92" i="4"/>
  <c r="L72" i="4"/>
  <c r="AA64" i="4"/>
  <c r="AH77" i="4"/>
  <c r="AN77" i="4" s="1"/>
  <c r="W54" i="4"/>
  <c r="AH48" i="4"/>
  <c r="AN48" i="4" s="1"/>
  <c r="AJ48" i="4" s="1"/>
  <c r="L58" i="4"/>
  <c r="AI54" i="4"/>
  <c r="AJ54" i="4" s="1"/>
  <c r="W52" i="4"/>
  <c r="AH63" i="4"/>
  <c r="AN63" i="4" s="1"/>
  <c r="AJ63" i="4" s="1"/>
  <c r="L61" i="4"/>
  <c r="AH52" i="4"/>
  <c r="AN52" i="4" s="1"/>
  <c r="AJ52" i="4" s="1"/>
  <c r="Y46" i="4"/>
  <c r="Y58" i="4"/>
  <c r="AA58" i="4" s="1"/>
  <c r="Y61" i="4"/>
  <c r="AA61" i="4" s="1"/>
  <c r="Y50" i="4"/>
  <c r="AA50" i="4" s="1"/>
  <c r="Y48" i="4"/>
  <c r="AA48" i="4" s="1"/>
  <c r="Y66" i="4"/>
  <c r="AA66" i="4" s="1"/>
  <c r="AH60" i="4"/>
  <c r="AN60" i="4" s="1"/>
  <c r="AJ60" i="4" s="1"/>
  <c r="AH71" i="4"/>
  <c r="AN71" i="4" s="1"/>
  <c r="AJ71" i="4" s="1"/>
  <c r="W67" i="4"/>
  <c r="W63" i="4"/>
  <c r="W47" i="4"/>
  <c r="AH67" i="4"/>
  <c r="AN67" i="4" s="1"/>
  <c r="AJ67" i="4" s="1"/>
  <c r="L57" i="4"/>
  <c r="AA51" i="4"/>
  <c r="AH47" i="4"/>
  <c r="AN47" i="4" s="1"/>
  <c r="AJ47" i="4" s="1"/>
  <c r="AH66" i="4"/>
  <c r="AN66" i="4" s="1"/>
  <c r="AJ66" i="4" s="1"/>
  <c r="AH65" i="4"/>
  <c r="AN65" i="4" s="1"/>
  <c r="AJ65" i="4" s="1"/>
  <c r="W60" i="4"/>
  <c r="Y60" i="4" s="1"/>
  <c r="AI58" i="4"/>
  <c r="AJ58" i="4" s="1"/>
  <c r="W53" i="4"/>
  <c r="W45" i="4"/>
  <c r="L65" i="4"/>
  <c r="AH53" i="4"/>
  <c r="AN53" i="4" s="1"/>
  <c r="AJ53" i="4" s="1"/>
  <c r="AH45" i="4"/>
  <c r="AN45" i="4" s="1"/>
  <c r="AJ45" i="4" s="1"/>
  <c r="AJ72" i="4"/>
  <c r="Y57" i="4"/>
  <c r="AA57" i="4" s="1"/>
  <c r="Y65" i="4"/>
  <c r="AA65" i="4" s="1"/>
  <c r="AH85" i="4"/>
  <c r="AN85" i="4" s="1"/>
  <c r="AJ85" i="4" s="1"/>
  <c r="AA68" i="4"/>
  <c r="AH79" i="4"/>
  <c r="AN79" i="4" s="1"/>
  <c r="AJ79" i="4" s="1"/>
  <c r="W77" i="4"/>
  <c r="Y77" i="4" s="1"/>
  <c r="W62" i="4"/>
  <c r="L81" i="4"/>
  <c r="AH62" i="4"/>
  <c r="AN62" i="4" s="1"/>
  <c r="AJ62" i="4" s="1"/>
  <c r="AH94" i="4"/>
  <c r="AN94" i="4" s="1"/>
  <c r="AJ94" i="4" s="1"/>
  <c r="AH92" i="4"/>
  <c r="AN92" i="4" s="1"/>
  <c r="AJ92" i="4" s="1"/>
  <c r="AI77" i="4"/>
  <c r="AJ77" i="4" s="1"/>
  <c r="AA72" i="4"/>
  <c r="W71" i="4"/>
  <c r="AH90" i="4"/>
  <c r="AN90" i="4" s="1"/>
  <c r="AJ90" i="4" s="1"/>
  <c r="AH95" i="4"/>
  <c r="AN95" i="4" s="1"/>
  <c r="AJ95" i="4" s="1"/>
  <c r="AH93" i="4"/>
  <c r="AN93" i="4" s="1"/>
  <c r="W89" i="4"/>
  <c r="Y89" i="4" s="1"/>
  <c r="W80" i="4"/>
  <c r="L79" i="4"/>
  <c r="W74" i="4"/>
  <c r="AH80" i="4"/>
  <c r="AN80" i="4" s="1"/>
  <c r="AJ80" i="4" s="1"/>
  <c r="AH91" i="4"/>
  <c r="AN91" i="4" s="1"/>
  <c r="AJ91" i="4" s="1"/>
  <c r="L90" i="4"/>
  <c r="W85" i="4"/>
  <c r="Y85" i="4" s="1"/>
  <c r="AH81" i="4"/>
  <c r="AN81" i="4" s="1"/>
  <c r="AJ81" i="4" s="1"/>
  <c r="AH74" i="4"/>
  <c r="AN74" i="4" s="1"/>
  <c r="AJ74" i="4" s="1"/>
  <c r="Y93" i="4"/>
  <c r="AA93" i="4" s="1"/>
  <c r="Y81" i="4"/>
  <c r="AA81" i="4" s="1"/>
  <c r="Y79" i="4"/>
  <c r="AA79" i="4" s="1"/>
  <c r="Y90" i="4"/>
  <c r="AA90" i="4"/>
  <c r="W78" i="4"/>
  <c r="L91" i="4"/>
  <c r="AH84" i="4"/>
  <c r="AN84" i="4" s="1"/>
  <c r="AJ84" i="4" s="1"/>
  <c r="AH78" i="4"/>
  <c r="AN78" i="4" s="1"/>
  <c r="AJ78" i="4" s="1"/>
  <c r="AA95" i="4"/>
  <c r="AH87" i="4"/>
  <c r="AN87" i="4" s="1"/>
  <c r="AJ87" i="4" s="1"/>
  <c r="AH86" i="4"/>
  <c r="AN86" i="4" s="1"/>
  <c r="AJ86" i="4" s="1"/>
  <c r="AI93" i="4"/>
  <c r="W87" i="4"/>
  <c r="Y87" i="4" s="1"/>
  <c r="AA87" i="4" s="1"/>
  <c r="W76" i="4"/>
  <c r="AH76" i="4"/>
  <c r="AN76" i="4" s="1"/>
  <c r="AJ76" i="4" s="1"/>
  <c r="Y91" i="4"/>
  <c r="AA91" i="4"/>
  <c r="Y92" i="4"/>
  <c r="AA92" i="4" s="1"/>
  <c r="W88" i="4"/>
  <c r="AA94" i="4"/>
  <c r="AA86" i="4"/>
  <c r="W96" i="4"/>
  <c r="AH96" i="4"/>
  <c r="AN96" i="4" s="1"/>
  <c r="AJ96" i="4" s="1"/>
  <c r="AH88" i="4"/>
  <c r="AN88" i="4" s="1"/>
  <c r="AJ88" i="4" s="1"/>
  <c r="AH89" i="4"/>
  <c r="AN89" i="4" s="1"/>
  <c r="AJ89" i="4" s="1"/>
  <c r="W84" i="4"/>
  <c r="Y52" i="4" l="1"/>
  <c r="AA52" i="4"/>
  <c r="Y54" i="4"/>
  <c r="AA54" i="4" s="1"/>
  <c r="AA60" i="4"/>
  <c r="Y63" i="4"/>
  <c r="AA63" i="4" s="1"/>
  <c r="Y47" i="4"/>
  <c r="AA47" i="4"/>
  <c r="Y67" i="4"/>
  <c r="AA67" i="4"/>
  <c r="Y45" i="4"/>
  <c r="AA45" i="4" s="1"/>
  <c r="Y53" i="4"/>
  <c r="AA53" i="4" s="1"/>
  <c r="Y62" i="4"/>
  <c r="AA62" i="4"/>
  <c r="AJ93" i="4"/>
  <c r="AA77" i="4"/>
  <c r="AA85" i="4"/>
  <c r="Y71" i="4"/>
  <c r="AA71" i="4" s="1"/>
  <c r="Y80" i="4"/>
  <c r="AA80" i="4" s="1"/>
  <c r="AA89" i="4"/>
  <c r="Y74" i="4"/>
  <c r="AA74" i="4" s="1"/>
  <c r="Y76" i="4"/>
  <c r="AA76" i="4" s="1"/>
  <c r="Y78" i="4"/>
  <c r="AA78" i="4" s="1"/>
  <c r="Y96" i="4"/>
  <c r="AA96" i="4" s="1"/>
  <c r="Y84" i="4"/>
  <c r="AA84" i="4" s="1"/>
  <c r="Y88" i="4"/>
  <c r="AA88" i="4" s="1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D8" i="6"/>
  <c r="N121" i="5" l="1"/>
  <c r="N120" i="5"/>
  <c r="N119" i="5"/>
  <c r="N118" i="5"/>
  <c r="N122" i="5" s="1"/>
  <c r="N68" i="5"/>
  <c r="N67" i="5"/>
  <c r="N66" i="5"/>
  <c r="N65" i="5"/>
  <c r="N69" i="5" s="1"/>
  <c r="N57" i="5"/>
  <c r="N56" i="5"/>
  <c r="N55" i="5"/>
  <c r="N54" i="5"/>
  <c r="V421" i="4"/>
  <c r="U421" i="4"/>
  <c r="L15" i="4"/>
  <c r="L406" i="4" s="1"/>
  <c r="M110" i="5"/>
  <c r="L110" i="5"/>
  <c r="K110" i="5"/>
  <c r="J110" i="5"/>
  <c r="I110" i="5"/>
  <c r="H110" i="5"/>
  <c r="G110" i="5"/>
  <c r="F110" i="5"/>
  <c r="E110" i="5"/>
  <c r="D110" i="5"/>
  <c r="C110" i="5"/>
  <c r="N109" i="5"/>
  <c r="N108" i="5"/>
  <c r="N107" i="5"/>
  <c r="N106" i="5"/>
  <c r="N105" i="5"/>
  <c r="N104" i="5"/>
  <c r="L161" i="4" l="1"/>
  <c r="L191" i="4"/>
  <c r="L372" i="4"/>
  <c r="L381" i="4"/>
  <c r="L313" i="4"/>
  <c r="L43" i="4"/>
  <c r="L271" i="4"/>
  <c r="L55" i="4"/>
  <c r="L82" i="4"/>
  <c r="L317" i="4"/>
  <c r="L100" i="4"/>
  <c r="L319" i="4"/>
  <c r="L149" i="4"/>
  <c r="L355" i="4"/>
  <c r="L26" i="4"/>
  <c r="L206" i="4"/>
  <c r="L424" i="4"/>
  <c r="N58" i="5"/>
  <c r="N110" i="5"/>
  <c r="AG421" i="4"/>
  <c r="M96" i="5" l="1"/>
  <c r="L96" i="5"/>
  <c r="K96" i="5"/>
  <c r="J96" i="5"/>
  <c r="I96" i="5"/>
  <c r="H96" i="5"/>
  <c r="G96" i="5"/>
  <c r="F96" i="5"/>
  <c r="E96" i="5"/>
  <c r="D96" i="5"/>
  <c r="C96" i="5"/>
  <c r="N95" i="5"/>
  <c r="N94" i="5"/>
  <c r="N93" i="5"/>
  <c r="N92" i="5"/>
  <c r="N91" i="5"/>
  <c r="N90" i="5"/>
  <c r="C82" i="5"/>
  <c r="D82" i="5"/>
  <c r="E82" i="5"/>
  <c r="F82" i="5"/>
  <c r="G82" i="5"/>
  <c r="H82" i="5"/>
  <c r="I82" i="5"/>
  <c r="J82" i="5"/>
  <c r="K82" i="5"/>
  <c r="L82" i="5"/>
  <c r="M82" i="5"/>
  <c r="N80" i="5"/>
  <c r="N79" i="5"/>
  <c r="N81" i="5"/>
  <c r="N78" i="5"/>
  <c r="N77" i="5"/>
  <c r="N76" i="5"/>
  <c r="N47" i="5"/>
  <c r="N46" i="5"/>
  <c r="N45" i="5"/>
  <c r="N44" i="5"/>
  <c r="N36" i="5"/>
  <c r="N35" i="5"/>
  <c r="N34" i="5"/>
  <c r="N33" i="5"/>
  <c r="N25" i="5"/>
  <c r="N24" i="5"/>
  <c r="N23" i="5"/>
  <c r="N22" i="5"/>
  <c r="N26" i="5" s="1"/>
  <c r="N11" i="5"/>
  <c r="N12" i="5"/>
  <c r="N13" i="5"/>
  <c r="N14" i="5"/>
  <c r="N82" i="5" l="1"/>
  <c r="E412" i="4" s="1"/>
  <c r="N15" i="5"/>
  <c r="N37" i="5"/>
  <c r="N96" i="5"/>
  <c r="E307" i="4" s="1"/>
  <c r="N48" i="5"/>
  <c r="Z25" i="4"/>
  <c r="Z16" i="4"/>
  <c r="I422" i="4"/>
  <c r="AE38" i="4"/>
  <c r="AD38" i="4"/>
  <c r="AE44" i="4"/>
  <c r="AD44" i="4"/>
  <c r="AE417" i="4"/>
  <c r="AD417" i="4"/>
  <c r="AE416" i="4"/>
  <c r="AD416" i="4"/>
  <c r="AE366" i="4"/>
  <c r="AD366" i="4"/>
  <c r="AE419" i="4" l="1"/>
  <c r="AD419" i="4"/>
  <c r="AE418" i="4"/>
  <c r="AD418" i="4"/>
  <c r="AE415" i="4"/>
  <c r="AD415" i="4"/>
  <c r="AE414" i="4"/>
  <c r="AD414" i="4"/>
  <c r="AE407" i="4"/>
  <c r="AD407" i="4"/>
  <c r="AE405" i="4"/>
  <c r="AD405" i="4"/>
  <c r="AE404" i="4"/>
  <c r="AD404" i="4"/>
  <c r="AE403" i="4"/>
  <c r="AD403" i="4"/>
  <c r="AE402" i="4"/>
  <c r="AD402" i="4"/>
  <c r="AE401" i="4"/>
  <c r="AD401" i="4"/>
  <c r="AE400" i="4"/>
  <c r="AD400" i="4"/>
  <c r="AE399" i="4"/>
  <c r="AD399" i="4"/>
  <c r="AE398" i="4"/>
  <c r="AD398" i="4"/>
  <c r="AE397" i="4"/>
  <c r="AD397" i="4"/>
  <c r="AE396" i="4"/>
  <c r="AD396" i="4"/>
  <c r="AE395" i="4"/>
  <c r="AD395" i="4"/>
  <c r="AE394" i="4"/>
  <c r="AD394" i="4"/>
  <c r="AE393" i="4"/>
  <c r="AD393" i="4"/>
  <c r="AE392" i="4"/>
  <c r="AD392" i="4"/>
  <c r="AE391" i="4"/>
  <c r="AD391" i="4"/>
  <c r="AE390" i="4"/>
  <c r="AD390" i="4"/>
  <c r="AE389" i="4"/>
  <c r="AD389" i="4"/>
  <c r="AE388" i="4"/>
  <c r="AD388" i="4"/>
  <c r="AE387" i="4"/>
  <c r="AD387" i="4"/>
  <c r="AE386" i="4"/>
  <c r="AD386" i="4"/>
  <c r="AE385" i="4"/>
  <c r="AD385" i="4"/>
  <c r="AE384" i="4"/>
  <c r="AD384" i="4"/>
  <c r="AE383" i="4"/>
  <c r="AD383" i="4"/>
  <c r="AE382" i="4"/>
  <c r="AD382" i="4"/>
  <c r="AE380" i="4"/>
  <c r="AD380" i="4"/>
  <c r="AE379" i="4"/>
  <c r="AD379" i="4"/>
  <c r="AE378" i="4"/>
  <c r="AD378" i="4"/>
  <c r="AE377" i="4"/>
  <c r="AD377" i="4"/>
  <c r="AE376" i="4"/>
  <c r="AD376" i="4"/>
  <c r="AE375" i="4"/>
  <c r="AD375" i="4"/>
  <c r="AE374" i="4"/>
  <c r="AD374" i="4"/>
  <c r="AE411" i="4"/>
  <c r="AD411" i="4"/>
  <c r="AE410" i="4"/>
  <c r="AD410" i="4"/>
  <c r="AE373" i="4"/>
  <c r="AD373" i="4"/>
  <c r="AF371" i="4"/>
  <c r="AI371" i="4" s="1"/>
  <c r="AD371" i="4"/>
  <c r="AE409" i="4"/>
  <c r="AD409" i="4"/>
  <c r="AE408" i="4"/>
  <c r="AD408" i="4"/>
  <c r="AE369" i="4"/>
  <c r="AD369" i="4"/>
  <c r="AE368" i="4"/>
  <c r="AD368" i="4"/>
  <c r="AE367" i="4"/>
  <c r="AD367" i="4"/>
  <c r="AE365" i="4"/>
  <c r="AD365" i="4"/>
  <c r="AE364" i="4"/>
  <c r="AD364" i="4"/>
  <c r="AE363" i="4"/>
  <c r="AD363" i="4"/>
  <c r="AE362" i="4"/>
  <c r="AD362" i="4"/>
  <c r="AE361" i="4"/>
  <c r="AD361" i="4"/>
  <c r="AE360" i="4"/>
  <c r="AD360" i="4"/>
  <c r="AE359" i="4"/>
  <c r="AD359" i="4"/>
  <c r="AE358" i="4"/>
  <c r="AD358" i="4"/>
  <c r="AE357" i="4"/>
  <c r="AD357" i="4"/>
  <c r="AE354" i="4"/>
  <c r="AD354" i="4"/>
  <c r="AE353" i="4"/>
  <c r="AD353" i="4"/>
  <c r="AE352" i="4"/>
  <c r="AD352" i="4"/>
  <c r="AE351" i="4"/>
  <c r="AD351" i="4"/>
  <c r="AE350" i="4"/>
  <c r="AD350" i="4"/>
  <c r="AE349" i="4"/>
  <c r="AD349" i="4"/>
  <c r="AE348" i="4"/>
  <c r="AD348" i="4"/>
  <c r="AE347" i="4"/>
  <c r="AD347" i="4"/>
  <c r="AE346" i="4"/>
  <c r="AD346" i="4"/>
  <c r="AE345" i="4"/>
  <c r="AD345" i="4"/>
  <c r="AE344" i="4"/>
  <c r="AD344" i="4"/>
  <c r="AE343" i="4"/>
  <c r="AD343" i="4"/>
  <c r="AE342" i="4"/>
  <c r="AD342" i="4"/>
  <c r="AE341" i="4"/>
  <c r="AD341" i="4"/>
  <c r="AE340" i="4"/>
  <c r="AD340" i="4"/>
  <c r="AE339" i="4"/>
  <c r="AD339" i="4"/>
  <c r="AE338" i="4"/>
  <c r="AD338" i="4"/>
  <c r="AE337" i="4"/>
  <c r="AD337" i="4"/>
  <c r="AE336" i="4"/>
  <c r="AD336" i="4"/>
  <c r="AE335" i="4"/>
  <c r="AD335" i="4"/>
  <c r="AE334" i="4"/>
  <c r="AD334" i="4"/>
  <c r="AE333" i="4"/>
  <c r="AD333" i="4"/>
  <c r="AE332" i="4"/>
  <c r="AD332" i="4"/>
  <c r="AE331" i="4"/>
  <c r="AD331" i="4"/>
  <c r="AE330" i="4"/>
  <c r="AD330" i="4"/>
  <c r="AE329" i="4"/>
  <c r="AD329" i="4"/>
  <c r="AE328" i="4"/>
  <c r="AD328" i="4"/>
  <c r="AE327" i="4"/>
  <c r="AD327" i="4"/>
  <c r="AE326" i="4"/>
  <c r="AD326" i="4"/>
  <c r="AE325" i="4"/>
  <c r="AD325" i="4"/>
  <c r="AE324" i="4"/>
  <c r="AD324" i="4"/>
  <c r="AE323" i="4"/>
  <c r="AD323" i="4"/>
  <c r="AE322" i="4"/>
  <c r="AD322" i="4"/>
  <c r="AE321" i="4"/>
  <c r="AD321" i="4"/>
  <c r="AE320" i="4"/>
  <c r="AD320" i="4"/>
  <c r="AE318" i="4"/>
  <c r="AD318" i="4"/>
  <c r="AE316" i="4"/>
  <c r="AD316" i="4"/>
  <c r="AE315" i="4"/>
  <c r="AD315" i="4"/>
  <c r="AE314" i="4"/>
  <c r="AD314" i="4"/>
  <c r="AE312" i="4"/>
  <c r="AD312" i="4"/>
  <c r="AE311" i="4"/>
  <c r="AD311" i="4"/>
  <c r="AE310" i="4"/>
  <c r="AD310" i="4"/>
  <c r="AE309" i="4"/>
  <c r="AD309" i="4"/>
  <c r="AE308" i="4"/>
  <c r="AD308" i="4"/>
  <c r="AE307" i="4"/>
  <c r="AD307" i="4"/>
  <c r="AE306" i="4"/>
  <c r="AD306" i="4"/>
  <c r="AE305" i="4"/>
  <c r="AD305" i="4"/>
  <c r="AE304" i="4"/>
  <c r="AD304" i="4"/>
  <c r="AE303" i="4"/>
  <c r="AD303" i="4"/>
  <c r="AE302" i="4"/>
  <c r="AD302" i="4"/>
  <c r="AE301" i="4"/>
  <c r="AD301" i="4"/>
  <c r="AE300" i="4"/>
  <c r="AD300" i="4"/>
  <c r="AE299" i="4"/>
  <c r="AD299" i="4"/>
  <c r="AE298" i="4"/>
  <c r="AD298" i="4"/>
  <c r="AE297" i="4"/>
  <c r="AD297" i="4"/>
  <c r="AE296" i="4"/>
  <c r="AD296" i="4"/>
  <c r="AE295" i="4"/>
  <c r="AD295" i="4"/>
  <c r="AE294" i="4"/>
  <c r="AD294" i="4"/>
  <c r="AE293" i="4"/>
  <c r="AD293" i="4"/>
  <c r="AE292" i="4"/>
  <c r="AD292" i="4"/>
  <c r="AE291" i="4"/>
  <c r="AD291" i="4"/>
  <c r="AE290" i="4"/>
  <c r="AD290" i="4"/>
  <c r="AE289" i="4"/>
  <c r="AD289" i="4"/>
  <c r="AE288" i="4"/>
  <c r="AD288" i="4"/>
  <c r="AE287" i="4"/>
  <c r="AD287" i="4"/>
  <c r="AE286" i="4"/>
  <c r="AD286" i="4"/>
  <c r="AE285" i="4"/>
  <c r="AD285" i="4"/>
  <c r="AE284" i="4"/>
  <c r="AD284" i="4"/>
  <c r="AE283" i="4"/>
  <c r="AD283" i="4"/>
  <c r="AE282" i="4"/>
  <c r="AD282" i="4"/>
  <c r="AE281" i="4"/>
  <c r="AD281" i="4"/>
  <c r="AE280" i="4"/>
  <c r="AD280" i="4"/>
  <c r="AE279" i="4"/>
  <c r="AD279" i="4"/>
  <c r="AE278" i="4"/>
  <c r="AD278" i="4"/>
  <c r="AE277" i="4"/>
  <c r="AD277" i="4"/>
  <c r="AE276" i="4"/>
  <c r="AD276" i="4"/>
  <c r="AE275" i="4"/>
  <c r="AD275" i="4"/>
  <c r="AE274" i="4"/>
  <c r="AD274" i="4"/>
  <c r="AE273" i="4"/>
  <c r="AD273" i="4"/>
  <c r="AE272" i="4"/>
  <c r="AD272" i="4"/>
  <c r="AE270" i="4"/>
  <c r="AD270" i="4"/>
  <c r="AE269" i="4"/>
  <c r="AD269" i="4"/>
  <c r="AE268" i="4"/>
  <c r="AD268" i="4"/>
  <c r="AE267" i="4"/>
  <c r="AD267" i="4"/>
  <c r="AE266" i="4"/>
  <c r="AD266" i="4"/>
  <c r="AE265" i="4"/>
  <c r="AD265" i="4"/>
  <c r="AE264" i="4"/>
  <c r="AD264" i="4"/>
  <c r="AE263" i="4"/>
  <c r="AD263" i="4"/>
  <c r="AE262" i="4"/>
  <c r="AD262" i="4"/>
  <c r="AE261" i="4"/>
  <c r="AD261" i="4"/>
  <c r="AE260" i="4"/>
  <c r="AD260" i="4"/>
  <c r="AE259" i="4"/>
  <c r="AD259" i="4"/>
  <c r="AE258" i="4"/>
  <c r="AD258" i="4"/>
  <c r="AE257" i="4"/>
  <c r="AD257" i="4"/>
  <c r="AE256" i="4"/>
  <c r="AD256" i="4"/>
  <c r="AE255" i="4"/>
  <c r="AD255" i="4"/>
  <c r="AE254" i="4"/>
  <c r="AD254" i="4"/>
  <c r="AE253" i="4"/>
  <c r="AD253" i="4"/>
  <c r="AE252" i="4"/>
  <c r="AD252" i="4"/>
  <c r="AE251" i="4"/>
  <c r="AD251" i="4"/>
  <c r="AE250" i="4"/>
  <c r="AD250" i="4"/>
  <c r="AE249" i="4"/>
  <c r="AD249" i="4"/>
  <c r="AE248" i="4"/>
  <c r="AD248" i="4"/>
  <c r="AE247" i="4"/>
  <c r="AD247" i="4"/>
  <c r="AE246" i="4"/>
  <c r="AD246" i="4"/>
  <c r="AE245" i="4"/>
  <c r="AD245" i="4"/>
  <c r="AE244" i="4"/>
  <c r="AD244" i="4"/>
  <c r="AE243" i="4"/>
  <c r="AD243" i="4"/>
  <c r="AE242" i="4"/>
  <c r="AD242" i="4"/>
  <c r="AE241" i="4"/>
  <c r="AD241" i="4"/>
  <c r="AE240" i="4"/>
  <c r="AD240" i="4"/>
  <c r="AE239" i="4"/>
  <c r="AD239" i="4"/>
  <c r="AE238" i="4"/>
  <c r="AD238" i="4"/>
  <c r="AE237" i="4"/>
  <c r="AD237" i="4"/>
  <c r="AE236" i="4"/>
  <c r="AD236" i="4"/>
  <c r="AE235" i="4"/>
  <c r="AD235" i="4"/>
  <c r="AE234" i="4"/>
  <c r="AD234" i="4"/>
  <c r="AE233" i="4"/>
  <c r="AD233" i="4"/>
  <c r="AE232" i="4"/>
  <c r="AD232" i="4"/>
  <c r="AE231" i="4"/>
  <c r="AD231" i="4"/>
  <c r="AE230" i="4"/>
  <c r="AD230" i="4"/>
  <c r="AE229" i="4"/>
  <c r="AD229" i="4"/>
  <c r="AE228" i="4"/>
  <c r="AD228" i="4"/>
  <c r="AE227" i="4"/>
  <c r="AD227" i="4"/>
  <c r="AE226" i="4"/>
  <c r="AD226" i="4"/>
  <c r="AE225" i="4"/>
  <c r="AD225" i="4"/>
  <c r="AE224" i="4"/>
  <c r="AD224" i="4"/>
  <c r="AE223" i="4"/>
  <c r="AD223" i="4"/>
  <c r="AE222" i="4"/>
  <c r="AD222" i="4"/>
  <c r="AE221" i="4"/>
  <c r="AD221" i="4"/>
  <c r="AE220" i="4"/>
  <c r="AD220" i="4"/>
  <c r="AE219" i="4"/>
  <c r="AD219" i="4"/>
  <c r="AE218" i="4"/>
  <c r="AD218" i="4"/>
  <c r="AE217" i="4"/>
  <c r="AD217" i="4"/>
  <c r="AE216" i="4"/>
  <c r="AD216" i="4"/>
  <c r="AE215" i="4"/>
  <c r="AD215" i="4"/>
  <c r="AE214" i="4"/>
  <c r="AD214" i="4"/>
  <c r="AE213" i="4"/>
  <c r="AD213" i="4"/>
  <c r="AE212" i="4"/>
  <c r="AD212" i="4"/>
  <c r="AE211" i="4"/>
  <c r="AD211" i="4"/>
  <c r="AE210" i="4"/>
  <c r="AD210" i="4"/>
  <c r="AE209" i="4"/>
  <c r="AD209" i="4"/>
  <c r="AE208" i="4"/>
  <c r="AD208" i="4"/>
  <c r="AE207" i="4"/>
  <c r="AD207" i="4"/>
  <c r="AE205" i="4"/>
  <c r="AD205" i="4"/>
  <c r="AE413" i="4"/>
  <c r="AD413" i="4"/>
  <c r="AE204" i="4"/>
  <c r="AD204" i="4"/>
  <c r="AE203" i="4"/>
  <c r="AD203" i="4"/>
  <c r="AE202" i="4"/>
  <c r="AD202" i="4"/>
  <c r="AE201" i="4"/>
  <c r="AD201" i="4"/>
  <c r="AE412" i="4"/>
  <c r="AD412" i="4"/>
  <c r="AE200" i="4"/>
  <c r="AD200" i="4"/>
  <c r="AE199" i="4"/>
  <c r="AD199" i="4"/>
  <c r="AE198" i="4"/>
  <c r="AD198" i="4"/>
  <c r="AE197" i="4"/>
  <c r="AD197" i="4"/>
  <c r="AE196" i="4"/>
  <c r="AD196" i="4"/>
  <c r="AE195" i="4"/>
  <c r="AD195" i="4"/>
  <c r="AE194" i="4"/>
  <c r="AD194" i="4"/>
  <c r="AE193" i="4"/>
  <c r="AD193" i="4"/>
  <c r="AE192" i="4"/>
  <c r="AD192" i="4"/>
  <c r="AE190" i="4"/>
  <c r="AD190" i="4"/>
  <c r="AE189" i="4"/>
  <c r="AD189" i="4"/>
  <c r="AE188" i="4"/>
  <c r="AD188" i="4"/>
  <c r="AE187" i="4"/>
  <c r="AD187" i="4"/>
  <c r="AE185" i="4"/>
  <c r="AD185" i="4"/>
  <c r="AE184" i="4"/>
  <c r="AD184" i="4"/>
  <c r="AE183" i="4"/>
  <c r="AD183" i="4"/>
  <c r="AE182" i="4"/>
  <c r="AD182" i="4"/>
  <c r="AE181" i="4"/>
  <c r="AD181" i="4"/>
  <c r="AE179" i="4"/>
  <c r="AD179" i="4"/>
  <c r="AE178" i="4"/>
  <c r="AD178" i="4"/>
  <c r="AE177" i="4"/>
  <c r="AD177" i="4"/>
  <c r="AE176" i="4"/>
  <c r="AD176" i="4"/>
  <c r="AE175" i="4"/>
  <c r="AD175" i="4"/>
  <c r="AE173" i="4"/>
  <c r="AD173" i="4"/>
  <c r="AE172" i="4"/>
  <c r="AD172" i="4"/>
  <c r="AE170" i="4"/>
  <c r="AD170" i="4"/>
  <c r="AE169" i="4"/>
  <c r="AD169" i="4"/>
  <c r="AE167" i="4"/>
  <c r="AD167" i="4"/>
  <c r="AE166" i="4"/>
  <c r="AD166" i="4"/>
  <c r="AE165" i="4"/>
  <c r="AD165" i="4"/>
  <c r="AE164" i="4"/>
  <c r="AD164" i="4"/>
  <c r="AE163" i="4"/>
  <c r="AD163" i="4"/>
  <c r="AE160" i="4"/>
  <c r="AD160" i="4"/>
  <c r="AE159" i="4"/>
  <c r="AD159" i="4"/>
  <c r="AE158" i="4"/>
  <c r="AD158" i="4"/>
  <c r="AE157" i="4"/>
  <c r="AD157" i="4"/>
  <c r="AE156" i="4"/>
  <c r="AD156" i="4"/>
  <c r="AE155" i="4"/>
  <c r="AD155" i="4"/>
  <c r="AE154" i="4"/>
  <c r="AD154" i="4"/>
  <c r="AE153" i="4"/>
  <c r="AD153" i="4"/>
  <c r="AE152" i="4"/>
  <c r="AD152" i="4"/>
  <c r="AE151" i="4"/>
  <c r="AD151" i="4"/>
  <c r="AF150" i="4"/>
  <c r="AI150" i="4" s="1"/>
  <c r="AD150" i="4"/>
  <c r="AE148" i="4"/>
  <c r="AD148" i="4"/>
  <c r="AE147" i="4"/>
  <c r="AD147" i="4"/>
  <c r="AE146" i="4"/>
  <c r="AD146" i="4"/>
  <c r="AE145" i="4"/>
  <c r="AD145" i="4"/>
  <c r="AE144" i="4"/>
  <c r="AD144" i="4"/>
  <c r="AE143" i="4"/>
  <c r="AD143" i="4"/>
  <c r="AE142" i="4"/>
  <c r="AD142" i="4"/>
  <c r="AE141" i="4"/>
  <c r="AD141" i="4"/>
  <c r="AE140" i="4"/>
  <c r="AD140" i="4"/>
  <c r="AE139" i="4"/>
  <c r="AD139" i="4"/>
  <c r="AE138" i="4"/>
  <c r="AD138" i="4"/>
  <c r="AE137" i="4"/>
  <c r="AD137" i="4"/>
  <c r="AE136" i="4"/>
  <c r="AD136" i="4"/>
  <c r="AE135" i="4"/>
  <c r="AD135" i="4"/>
  <c r="AE134" i="4"/>
  <c r="AD134" i="4"/>
  <c r="AE133" i="4"/>
  <c r="AD133" i="4"/>
  <c r="AE132" i="4"/>
  <c r="AD132" i="4"/>
  <c r="AE131" i="4"/>
  <c r="AD131" i="4"/>
  <c r="AE130" i="4"/>
  <c r="AD130" i="4"/>
  <c r="AE129" i="4"/>
  <c r="AD129" i="4"/>
  <c r="AE128" i="4"/>
  <c r="AD128" i="4"/>
  <c r="AE127" i="4"/>
  <c r="AD127" i="4"/>
  <c r="AE126" i="4"/>
  <c r="AD126" i="4"/>
  <c r="AE125" i="4"/>
  <c r="AD125" i="4"/>
  <c r="AE124" i="4"/>
  <c r="AD124" i="4"/>
  <c r="AE123" i="4"/>
  <c r="AD123" i="4"/>
  <c r="AE122" i="4"/>
  <c r="AD122" i="4"/>
  <c r="AE121" i="4"/>
  <c r="AD121" i="4"/>
  <c r="AE120" i="4"/>
  <c r="AD120" i="4"/>
  <c r="AE119" i="4"/>
  <c r="AD119" i="4"/>
  <c r="AE118" i="4"/>
  <c r="AD118" i="4"/>
  <c r="AE117" i="4"/>
  <c r="AD117" i="4"/>
  <c r="AE116" i="4"/>
  <c r="AD116" i="4"/>
  <c r="AE115" i="4"/>
  <c r="AD115" i="4"/>
  <c r="AE114" i="4"/>
  <c r="AD114" i="4"/>
  <c r="AE113" i="4"/>
  <c r="AD113" i="4"/>
  <c r="AE112" i="4"/>
  <c r="AD112" i="4"/>
  <c r="AE111" i="4"/>
  <c r="AD111" i="4"/>
  <c r="AE110" i="4"/>
  <c r="AD110" i="4"/>
  <c r="AE109" i="4"/>
  <c r="AD109" i="4"/>
  <c r="AE108" i="4"/>
  <c r="AD108" i="4"/>
  <c r="AE107" i="4"/>
  <c r="AD107" i="4"/>
  <c r="AE106" i="4"/>
  <c r="AD106" i="4"/>
  <c r="AE105" i="4"/>
  <c r="AD105" i="4"/>
  <c r="AE104" i="4"/>
  <c r="AD104" i="4"/>
  <c r="AE103" i="4"/>
  <c r="AD103" i="4"/>
  <c r="AE102" i="4"/>
  <c r="AD102" i="4"/>
  <c r="AE101" i="4"/>
  <c r="AD101" i="4"/>
  <c r="AE99" i="4"/>
  <c r="AD99" i="4"/>
  <c r="AE98" i="4"/>
  <c r="AD98" i="4"/>
  <c r="AE97" i="4"/>
  <c r="AD97" i="4"/>
  <c r="AE83" i="4"/>
  <c r="AD83" i="4"/>
  <c r="AE75" i="4"/>
  <c r="AD75" i="4"/>
  <c r="AE70" i="4"/>
  <c r="AD70" i="4"/>
  <c r="AE56" i="4"/>
  <c r="AD56" i="4"/>
  <c r="AE16" i="4"/>
  <c r="AE17" i="4"/>
  <c r="AN371" i="4" l="1"/>
  <c r="AJ371" i="4" s="1"/>
  <c r="AN150" i="4"/>
  <c r="AJ150" i="4" s="1"/>
  <c r="Z371" i="4" l="1"/>
  <c r="Y371" i="4"/>
  <c r="Y150" i="4"/>
  <c r="Y27" i="4"/>
  <c r="Y25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H99" i="4"/>
  <c r="W99" i="4" s="1"/>
  <c r="H316" i="4"/>
  <c r="W316" i="4" s="1"/>
  <c r="H315" i="4"/>
  <c r="W315" i="4" s="1"/>
  <c r="H314" i="4"/>
  <c r="H148" i="4"/>
  <c r="W148" i="4" s="1"/>
  <c r="H147" i="4"/>
  <c r="W147" i="4" s="1"/>
  <c r="H146" i="4"/>
  <c r="W146" i="4" s="1"/>
  <c r="H145" i="4"/>
  <c r="W145" i="4" s="1"/>
  <c r="H144" i="4"/>
  <c r="W144" i="4" s="1"/>
  <c r="H143" i="4"/>
  <c r="W143" i="4" s="1"/>
  <c r="H187" i="4"/>
  <c r="W187" i="4" s="1"/>
  <c r="H98" i="4"/>
  <c r="W98" i="4" s="1"/>
  <c r="H312" i="4"/>
  <c r="W312" i="4" s="1"/>
  <c r="H311" i="4"/>
  <c r="W311" i="4" s="1"/>
  <c r="I313" i="4" l="1"/>
  <c r="W314" i="4"/>
  <c r="AF98" i="4"/>
  <c r="AI98" i="4" s="1"/>
  <c r="AF314" i="4"/>
  <c r="AI314" i="4" s="1"/>
  <c r="AF187" i="4"/>
  <c r="AI187" i="4" s="1"/>
  <c r="AF143" i="4"/>
  <c r="AI143" i="4" s="1"/>
  <c r="AF146" i="4"/>
  <c r="AI146" i="4" s="1"/>
  <c r="AF312" i="4"/>
  <c r="AI312" i="4" s="1"/>
  <c r="AF315" i="4"/>
  <c r="AI315" i="4" s="1"/>
  <c r="AF316" i="4"/>
  <c r="AI316" i="4" s="1"/>
  <c r="AF144" i="4"/>
  <c r="AI144" i="4" s="1"/>
  <c r="AF145" i="4"/>
  <c r="AI145" i="4" s="1"/>
  <c r="AF311" i="4"/>
  <c r="AI311" i="4" s="1"/>
  <c r="AF147" i="4"/>
  <c r="AI147" i="4" s="1"/>
  <c r="Z314" i="4"/>
  <c r="AA371" i="4"/>
  <c r="K311" i="4"/>
  <c r="K312" i="4"/>
  <c r="L99" i="4"/>
  <c r="K315" i="4"/>
  <c r="K314" i="4"/>
  <c r="K316" i="4"/>
  <c r="L98" i="4"/>
  <c r="H97" i="4"/>
  <c r="W97" i="4" s="1"/>
  <c r="H138" i="4"/>
  <c r="W138" i="4" s="1"/>
  <c r="H137" i="4"/>
  <c r="W137" i="4" s="1"/>
  <c r="H136" i="4"/>
  <c r="W136" i="4" s="1"/>
  <c r="H142" i="4"/>
  <c r="W142" i="4" s="1"/>
  <c r="H141" i="4"/>
  <c r="W141" i="4" s="1"/>
  <c r="H140" i="4"/>
  <c r="W140" i="4" s="1"/>
  <c r="H139" i="4"/>
  <c r="W139" i="4" s="1"/>
  <c r="H310" i="4"/>
  <c r="W310" i="4" s="1"/>
  <c r="H309" i="4"/>
  <c r="W309" i="4" s="1"/>
  <c r="H308" i="4"/>
  <c r="W308" i="4" s="1"/>
  <c r="H307" i="4"/>
  <c r="W307" i="4" s="1"/>
  <c r="H103" i="4"/>
  <c r="W103" i="4" s="1"/>
  <c r="H382" i="4"/>
  <c r="H102" i="4"/>
  <c r="W102" i="4" s="1"/>
  <c r="H101" i="4"/>
  <c r="H135" i="4"/>
  <c r="W135" i="4" s="1"/>
  <c r="H134" i="4"/>
  <c r="W134" i="4" s="1"/>
  <c r="H133" i="4"/>
  <c r="W133" i="4" s="1"/>
  <c r="H132" i="4"/>
  <c r="W132" i="4" s="1"/>
  <c r="H131" i="4"/>
  <c r="W131" i="4" s="1"/>
  <c r="H130" i="4"/>
  <c r="W130" i="4" s="1"/>
  <c r="H129" i="4"/>
  <c r="W129" i="4" s="1"/>
  <c r="H128" i="4"/>
  <c r="W128" i="4" s="1"/>
  <c r="H127" i="4"/>
  <c r="W127" i="4" s="1"/>
  <c r="H126" i="4"/>
  <c r="W126" i="4" s="1"/>
  <c r="H125" i="4"/>
  <c r="W125" i="4" s="1"/>
  <c r="H124" i="4"/>
  <c r="W124" i="4" s="1"/>
  <c r="H123" i="4"/>
  <c r="W123" i="4" s="1"/>
  <c r="H122" i="4"/>
  <c r="W122" i="4" s="1"/>
  <c r="H121" i="4"/>
  <c r="W121" i="4" s="1"/>
  <c r="H120" i="4"/>
  <c r="W120" i="4" s="1"/>
  <c r="H119" i="4"/>
  <c r="W119" i="4" s="1"/>
  <c r="H118" i="4"/>
  <c r="W118" i="4" s="1"/>
  <c r="H117" i="4"/>
  <c r="W117" i="4" s="1"/>
  <c r="H116" i="4"/>
  <c r="W116" i="4" s="1"/>
  <c r="H115" i="4"/>
  <c r="W115" i="4" s="1"/>
  <c r="H114" i="4"/>
  <c r="W114" i="4" s="1"/>
  <c r="H113" i="4"/>
  <c r="W113" i="4" s="1"/>
  <c r="H112" i="4"/>
  <c r="W112" i="4" s="1"/>
  <c r="H111" i="4"/>
  <c r="W111" i="4" s="1"/>
  <c r="H110" i="4"/>
  <c r="W110" i="4" s="1"/>
  <c r="H109" i="4"/>
  <c r="W109" i="4" s="1"/>
  <c r="H108" i="4"/>
  <c r="W108" i="4" s="1"/>
  <c r="H107" i="4"/>
  <c r="W107" i="4" s="1"/>
  <c r="H106" i="4"/>
  <c r="W106" i="4" s="1"/>
  <c r="H105" i="4"/>
  <c r="W105" i="4" s="1"/>
  <c r="H104" i="4"/>
  <c r="W104" i="4" s="1"/>
  <c r="H318" i="4"/>
  <c r="I317" i="4" s="1"/>
  <c r="L371" i="4"/>
  <c r="AN27" i="4"/>
  <c r="AF27" i="4"/>
  <c r="AI27" i="4" s="1"/>
  <c r="AD27" i="4"/>
  <c r="Z27" i="4"/>
  <c r="AA27" i="4" s="1"/>
  <c r="L27" i="4"/>
  <c r="Z150" i="4"/>
  <c r="AA150" i="4" s="1"/>
  <c r="L150" i="4"/>
  <c r="AE42" i="4"/>
  <c r="AD42" i="4"/>
  <c r="H42" i="4"/>
  <c r="W42" i="4" s="1"/>
  <c r="AE41" i="4"/>
  <c r="AD41" i="4"/>
  <c r="H41" i="4"/>
  <c r="W41" i="4" s="1"/>
  <c r="AE40" i="4"/>
  <c r="AD40" i="4"/>
  <c r="H40" i="4"/>
  <c r="W40" i="4" s="1"/>
  <c r="AE39" i="4"/>
  <c r="AD39" i="4"/>
  <c r="H39" i="4"/>
  <c r="W39" i="4" s="1"/>
  <c r="H38" i="4"/>
  <c r="W38" i="4" s="1"/>
  <c r="AE37" i="4"/>
  <c r="AD37" i="4"/>
  <c r="H37" i="4"/>
  <c r="W37" i="4" s="1"/>
  <c r="AE36" i="4"/>
  <c r="AD36" i="4"/>
  <c r="H36" i="4"/>
  <c r="W36" i="4" s="1"/>
  <c r="AE35" i="4"/>
  <c r="AD35" i="4"/>
  <c r="H35" i="4"/>
  <c r="W35" i="4" s="1"/>
  <c r="AE34" i="4"/>
  <c r="AD34" i="4"/>
  <c r="H34" i="4"/>
  <c r="W34" i="4" s="1"/>
  <c r="AE33" i="4"/>
  <c r="AD33" i="4"/>
  <c r="H33" i="4"/>
  <c r="W33" i="4" s="1"/>
  <c r="AE32" i="4"/>
  <c r="AD32" i="4"/>
  <c r="H32" i="4"/>
  <c r="W32" i="4" s="1"/>
  <c r="AE31" i="4"/>
  <c r="AD31" i="4"/>
  <c r="H31" i="4"/>
  <c r="W31" i="4" s="1"/>
  <c r="AE30" i="4"/>
  <c r="AD30" i="4"/>
  <c r="H30" i="4"/>
  <c r="W30" i="4" s="1"/>
  <c r="AE29" i="4"/>
  <c r="AD29" i="4"/>
  <c r="H29" i="4"/>
  <c r="W29" i="4" s="1"/>
  <c r="AE28" i="4"/>
  <c r="AD28" i="4"/>
  <c r="H28" i="4"/>
  <c r="H190" i="4"/>
  <c r="W190" i="4" s="1"/>
  <c r="H189" i="4"/>
  <c r="W189" i="4" s="1"/>
  <c r="H188" i="4"/>
  <c r="W188" i="4" s="1"/>
  <c r="H185" i="4"/>
  <c r="W185" i="4" s="1"/>
  <c r="H184" i="4"/>
  <c r="W184" i="4" s="1"/>
  <c r="H183" i="4"/>
  <c r="W183" i="4" s="1"/>
  <c r="H182" i="4"/>
  <c r="W182" i="4" s="1"/>
  <c r="H181" i="4"/>
  <c r="W181" i="4" s="1"/>
  <c r="H179" i="4"/>
  <c r="W179" i="4" s="1"/>
  <c r="H178" i="4"/>
  <c r="W178" i="4" s="1"/>
  <c r="H177" i="4"/>
  <c r="W177" i="4" s="1"/>
  <c r="H176" i="4"/>
  <c r="W176" i="4" s="1"/>
  <c r="H175" i="4"/>
  <c r="W175" i="4" s="1"/>
  <c r="H173" i="4"/>
  <c r="W173" i="4" s="1"/>
  <c r="H172" i="4"/>
  <c r="W172" i="4" s="1"/>
  <c r="H170" i="4"/>
  <c r="W170" i="4" s="1"/>
  <c r="H169" i="4"/>
  <c r="W169" i="4" s="1"/>
  <c r="H167" i="4"/>
  <c r="W167" i="4" s="1"/>
  <c r="H166" i="4"/>
  <c r="W166" i="4" s="1"/>
  <c r="H165" i="4"/>
  <c r="W165" i="4" s="1"/>
  <c r="H164" i="4"/>
  <c r="W164" i="4" s="1"/>
  <c r="H163" i="4"/>
  <c r="H160" i="4"/>
  <c r="W160" i="4" s="1"/>
  <c r="H159" i="4"/>
  <c r="W159" i="4" s="1"/>
  <c r="H158" i="4"/>
  <c r="W158" i="4" s="1"/>
  <c r="H157" i="4"/>
  <c r="W157" i="4" s="1"/>
  <c r="H156" i="4"/>
  <c r="W156" i="4" s="1"/>
  <c r="H155" i="4"/>
  <c r="W155" i="4" s="1"/>
  <c r="H154" i="4"/>
  <c r="W154" i="4" s="1"/>
  <c r="H153" i="4"/>
  <c r="W153" i="4" s="1"/>
  <c r="H152" i="4"/>
  <c r="W152" i="4" s="1"/>
  <c r="H151" i="4"/>
  <c r="H83" i="4"/>
  <c r="H75" i="4"/>
  <c r="W75" i="4" s="1"/>
  <c r="H70" i="4"/>
  <c r="H56" i="4"/>
  <c r="H380" i="4"/>
  <c r="W380" i="4" s="1"/>
  <c r="H379" i="4"/>
  <c r="W379" i="4" s="1"/>
  <c r="H378" i="4"/>
  <c r="W378" i="4" s="1"/>
  <c r="H377" i="4"/>
  <c r="W377" i="4" s="1"/>
  <c r="H376" i="4"/>
  <c r="W376" i="4" s="1"/>
  <c r="H375" i="4"/>
  <c r="W375" i="4" s="1"/>
  <c r="H374" i="4"/>
  <c r="W374" i="4" s="1"/>
  <c r="H411" i="4"/>
  <c r="W411" i="4" s="1"/>
  <c r="H410" i="4"/>
  <c r="W410" i="4" s="1"/>
  <c r="H373" i="4"/>
  <c r="H409" i="4"/>
  <c r="W409" i="4" s="1"/>
  <c r="H408" i="4"/>
  <c r="W408" i="4" s="1"/>
  <c r="H369" i="4"/>
  <c r="W369" i="4" s="1"/>
  <c r="H368" i="4"/>
  <c r="W368" i="4" s="1"/>
  <c r="H367" i="4"/>
  <c r="W367" i="4" s="1"/>
  <c r="H366" i="4"/>
  <c r="W366" i="4" s="1"/>
  <c r="H365" i="4"/>
  <c r="W365" i="4" s="1"/>
  <c r="H364" i="4"/>
  <c r="W364" i="4" s="1"/>
  <c r="H363" i="4"/>
  <c r="W363" i="4" s="1"/>
  <c r="H362" i="4"/>
  <c r="W362" i="4" s="1"/>
  <c r="H361" i="4"/>
  <c r="W361" i="4" s="1"/>
  <c r="H360" i="4"/>
  <c r="W360" i="4" s="1"/>
  <c r="H359" i="4"/>
  <c r="W359" i="4" s="1"/>
  <c r="H358" i="4"/>
  <c r="W358" i="4" s="1"/>
  <c r="H357" i="4"/>
  <c r="H269" i="4"/>
  <c r="W269" i="4" s="1"/>
  <c r="K387" i="4"/>
  <c r="H387" i="4"/>
  <c r="W387" i="4" s="1"/>
  <c r="K386" i="4"/>
  <c r="H386" i="4"/>
  <c r="W386" i="4" s="1"/>
  <c r="H349" i="4"/>
  <c r="W349" i="4" s="1"/>
  <c r="H320" i="4"/>
  <c r="H321" i="4"/>
  <c r="W321" i="4" s="1"/>
  <c r="AE24" i="4"/>
  <c r="AD24" i="4"/>
  <c r="H24" i="4"/>
  <c r="W24" i="4" s="1"/>
  <c r="H330" i="4"/>
  <c r="W330" i="4" s="1"/>
  <c r="H336" i="4"/>
  <c r="W336" i="4" s="1"/>
  <c r="H290" i="4"/>
  <c r="W290" i="4" s="1"/>
  <c r="H288" i="4"/>
  <c r="W288" i="4" s="1"/>
  <c r="H286" i="4"/>
  <c r="W286" i="4" s="1"/>
  <c r="H404" i="4"/>
  <c r="W404" i="4" s="1"/>
  <c r="H393" i="4"/>
  <c r="W393" i="4" s="1"/>
  <c r="H213" i="4"/>
  <c r="W213" i="4" s="1"/>
  <c r="H400" i="4"/>
  <c r="W400" i="4" s="1"/>
  <c r="H353" i="4"/>
  <c r="W353" i="4" s="1"/>
  <c r="H338" i="4"/>
  <c r="W338" i="4" s="1"/>
  <c r="H337" i="4"/>
  <c r="W337" i="4" s="1"/>
  <c r="H335" i="4"/>
  <c r="W335" i="4" s="1"/>
  <c r="H331" i="4"/>
  <c r="W331" i="4" s="1"/>
  <c r="AD17" i="4"/>
  <c r="AD18" i="4"/>
  <c r="AD19" i="4"/>
  <c r="AD20" i="4"/>
  <c r="AD21" i="4"/>
  <c r="AD22" i="4"/>
  <c r="AD23" i="4"/>
  <c r="AD25" i="4"/>
  <c r="AD16" i="4"/>
  <c r="AF25" i="4"/>
  <c r="AI25" i="4" s="1"/>
  <c r="AA25" i="4"/>
  <c r="AE23" i="4"/>
  <c r="AE22" i="4"/>
  <c r="AE21" i="4"/>
  <c r="AE20" i="4"/>
  <c r="AE19" i="4"/>
  <c r="AE18" i="4"/>
  <c r="H17" i="4"/>
  <c r="W17" i="4" s="1"/>
  <c r="H18" i="4"/>
  <c r="W18" i="4" s="1"/>
  <c r="H19" i="4"/>
  <c r="W19" i="4" s="1"/>
  <c r="H20" i="4"/>
  <c r="W20" i="4" s="1"/>
  <c r="H21" i="4"/>
  <c r="W21" i="4" s="1"/>
  <c r="H22" i="4"/>
  <c r="W22" i="4" s="1"/>
  <c r="H23" i="4"/>
  <c r="W23" i="4" s="1"/>
  <c r="H44" i="4"/>
  <c r="H192" i="4"/>
  <c r="H193" i="4"/>
  <c r="W193" i="4" s="1"/>
  <c r="H194" i="4"/>
  <c r="W194" i="4" s="1"/>
  <c r="H195" i="4"/>
  <c r="W195" i="4" s="1"/>
  <c r="H196" i="4"/>
  <c r="W196" i="4" s="1"/>
  <c r="H197" i="4"/>
  <c r="W197" i="4" s="1"/>
  <c r="H198" i="4"/>
  <c r="W198" i="4" s="1"/>
  <c r="H199" i="4"/>
  <c r="W199" i="4" s="1"/>
  <c r="H200" i="4"/>
  <c r="W200" i="4" s="1"/>
  <c r="H412" i="4"/>
  <c r="H201" i="4"/>
  <c r="W201" i="4" s="1"/>
  <c r="H202" i="4"/>
  <c r="W202" i="4" s="1"/>
  <c r="H203" i="4"/>
  <c r="W203" i="4" s="1"/>
  <c r="H204" i="4"/>
  <c r="W204" i="4" s="1"/>
  <c r="H413" i="4"/>
  <c r="W413" i="4" s="1"/>
  <c r="H205" i="4"/>
  <c r="W205" i="4" s="1"/>
  <c r="H207" i="4"/>
  <c r="H208" i="4"/>
  <c r="W208" i="4" s="1"/>
  <c r="H209" i="4"/>
  <c r="W209" i="4" s="1"/>
  <c r="H210" i="4"/>
  <c r="W210" i="4" s="1"/>
  <c r="H211" i="4"/>
  <c r="W211" i="4" s="1"/>
  <c r="H212" i="4"/>
  <c r="W212" i="4" s="1"/>
  <c r="H214" i="4"/>
  <c r="W214" i="4" s="1"/>
  <c r="H215" i="4"/>
  <c r="W215" i="4" s="1"/>
  <c r="H216" i="4"/>
  <c r="W216" i="4" s="1"/>
  <c r="H217" i="4"/>
  <c r="W217" i="4" s="1"/>
  <c r="H218" i="4"/>
  <c r="W218" i="4" s="1"/>
  <c r="H219" i="4"/>
  <c r="W219" i="4" s="1"/>
  <c r="H220" i="4"/>
  <c r="W220" i="4" s="1"/>
  <c r="H221" i="4"/>
  <c r="W221" i="4" s="1"/>
  <c r="H222" i="4"/>
  <c r="W222" i="4" s="1"/>
  <c r="H223" i="4"/>
  <c r="W223" i="4" s="1"/>
  <c r="H224" i="4"/>
  <c r="W224" i="4" s="1"/>
  <c r="H225" i="4"/>
  <c r="W225" i="4" s="1"/>
  <c r="H226" i="4"/>
  <c r="W226" i="4" s="1"/>
  <c r="H227" i="4"/>
  <c r="W227" i="4" s="1"/>
  <c r="H228" i="4"/>
  <c r="W228" i="4" s="1"/>
  <c r="H229" i="4"/>
  <c r="W229" i="4" s="1"/>
  <c r="H230" i="4"/>
  <c r="W230" i="4" s="1"/>
  <c r="H231" i="4"/>
  <c r="W231" i="4" s="1"/>
  <c r="H232" i="4"/>
  <c r="W232" i="4" s="1"/>
  <c r="H233" i="4"/>
  <c r="W233" i="4" s="1"/>
  <c r="H234" i="4"/>
  <c r="W234" i="4" s="1"/>
  <c r="H235" i="4"/>
  <c r="W235" i="4" s="1"/>
  <c r="H236" i="4"/>
  <c r="W236" i="4" s="1"/>
  <c r="H237" i="4"/>
  <c r="W237" i="4" s="1"/>
  <c r="H238" i="4"/>
  <c r="W238" i="4" s="1"/>
  <c r="H239" i="4"/>
  <c r="W239" i="4" s="1"/>
  <c r="H240" i="4"/>
  <c r="W240" i="4" s="1"/>
  <c r="H241" i="4"/>
  <c r="W241" i="4" s="1"/>
  <c r="H242" i="4"/>
  <c r="W242" i="4" s="1"/>
  <c r="H243" i="4"/>
  <c r="W243" i="4" s="1"/>
  <c r="H244" i="4"/>
  <c r="W244" i="4" s="1"/>
  <c r="H245" i="4"/>
  <c r="W245" i="4" s="1"/>
  <c r="H246" i="4"/>
  <c r="W246" i="4" s="1"/>
  <c r="H247" i="4"/>
  <c r="W247" i="4" s="1"/>
  <c r="H248" i="4"/>
  <c r="W248" i="4" s="1"/>
  <c r="H249" i="4"/>
  <c r="W249" i="4" s="1"/>
  <c r="H250" i="4"/>
  <c r="W250" i="4" s="1"/>
  <c r="H251" i="4"/>
  <c r="W251" i="4" s="1"/>
  <c r="H252" i="4"/>
  <c r="W252" i="4" s="1"/>
  <c r="H253" i="4"/>
  <c r="W253" i="4" s="1"/>
  <c r="H254" i="4"/>
  <c r="W254" i="4" s="1"/>
  <c r="H255" i="4"/>
  <c r="W255" i="4" s="1"/>
  <c r="H256" i="4"/>
  <c r="W256" i="4" s="1"/>
  <c r="H257" i="4"/>
  <c r="W257" i="4" s="1"/>
  <c r="H258" i="4"/>
  <c r="W258" i="4" s="1"/>
  <c r="H259" i="4"/>
  <c r="W259" i="4" s="1"/>
  <c r="H260" i="4"/>
  <c r="W260" i="4" s="1"/>
  <c r="H261" i="4"/>
  <c r="W261" i="4" s="1"/>
  <c r="H262" i="4"/>
  <c r="W262" i="4" s="1"/>
  <c r="H263" i="4"/>
  <c r="W263" i="4" s="1"/>
  <c r="H264" i="4"/>
  <c r="W264" i="4" s="1"/>
  <c r="H265" i="4"/>
  <c r="W265" i="4" s="1"/>
  <c r="H266" i="4"/>
  <c r="W266" i="4" s="1"/>
  <c r="H267" i="4"/>
  <c r="W267" i="4" s="1"/>
  <c r="H268" i="4"/>
  <c r="W268" i="4" s="1"/>
  <c r="H270" i="4"/>
  <c r="W270" i="4" s="1"/>
  <c r="H272" i="4"/>
  <c r="H273" i="4"/>
  <c r="W273" i="4" s="1"/>
  <c r="H274" i="4"/>
  <c r="W274" i="4" s="1"/>
  <c r="H275" i="4"/>
  <c r="W275" i="4" s="1"/>
  <c r="H276" i="4"/>
  <c r="W276" i="4" s="1"/>
  <c r="H277" i="4"/>
  <c r="W277" i="4" s="1"/>
  <c r="H278" i="4"/>
  <c r="W278" i="4" s="1"/>
  <c r="H279" i="4"/>
  <c r="W279" i="4" s="1"/>
  <c r="H280" i="4"/>
  <c r="W280" i="4" s="1"/>
  <c r="H281" i="4"/>
  <c r="W281" i="4" s="1"/>
  <c r="H282" i="4"/>
  <c r="W282" i="4" s="1"/>
  <c r="H283" i="4"/>
  <c r="W283" i="4" s="1"/>
  <c r="H284" i="4"/>
  <c r="W284" i="4" s="1"/>
  <c r="H285" i="4"/>
  <c r="W285" i="4" s="1"/>
  <c r="H287" i="4"/>
  <c r="W287" i="4" s="1"/>
  <c r="H289" i="4"/>
  <c r="W289" i="4" s="1"/>
  <c r="H291" i="4"/>
  <c r="W291" i="4" s="1"/>
  <c r="H292" i="4"/>
  <c r="W292" i="4" s="1"/>
  <c r="H293" i="4"/>
  <c r="W293" i="4" s="1"/>
  <c r="H294" i="4"/>
  <c r="W294" i="4" s="1"/>
  <c r="H295" i="4"/>
  <c r="W295" i="4" s="1"/>
  <c r="H296" i="4"/>
  <c r="W296" i="4" s="1"/>
  <c r="H297" i="4"/>
  <c r="W297" i="4" s="1"/>
  <c r="H298" i="4"/>
  <c r="W298" i="4" s="1"/>
  <c r="H299" i="4"/>
  <c r="W299" i="4" s="1"/>
  <c r="H300" i="4"/>
  <c r="W300" i="4" s="1"/>
  <c r="H301" i="4"/>
  <c r="W301" i="4" s="1"/>
  <c r="H302" i="4"/>
  <c r="W302" i="4" s="1"/>
  <c r="H303" i="4"/>
  <c r="W303" i="4" s="1"/>
  <c r="H304" i="4"/>
  <c r="W304" i="4" s="1"/>
  <c r="H305" i="4"/>
  <c r="W305" i="4" s="1"/>
  <c r="H306" i="4"/>
  <c r="W306" i="4" s="1"/>
  <c r="H322" i="4"/>
  <c r="W322" i="4" s="1"/>
  <c r="H323" i="4"/>
  <c r="W323" i="4" s="1"/>
  <c r="H324" i="4"/>
  <c r="W324" i="4" s="1"/>
  <c r="H325" i="4"/>
  <c r="W325" i="4" s="1"/>
  <c r="H326" i="4"/>
  <c r="W326" i="4" s="1"/>
  <c r="H327" i="4"/>
  <c r="W327" i="4" s="1"/>
  <c r="H328" i="4"/>
  <c r="W328" i="4" s="1"/>
  <c r="H329" i="4"/>
  <c r="W329" i="4" s="1"/>
  <c r="H332" i="4"/>
  <c r="W332" i="4" s="1"/>
  <c r="H333" i="4"/>
  <c r="W333" i="4" s="1"/>
  <c r="H334" i="4"/>
  <c r="W334" i="4" s="1"/>
  <c r="H339" i="4"/>
  <c r="W339" i="4" s="1"/>
  <c r="H340" i="4"/>
  <c r="W340" i="4" s="1"/>
  <c r="H341" i="4"/>
  <c r="W341" i="4" s="1"/>
  <c r="H342" i="4"/>
  <c r="W342" i="4" s="1"/>
  <c r="H343" i="4"/>
  <c r="W343" i="4" s="1"/>
  <c r="H344" i="4"/>
  <c r="W344" i="4" s="1"/>
  <c r="H345" i="4"/>
  <c r="W345" i="4" s="1"/>
  <c r="H346" i="4"/>
  <c r="W346" i="4" s="1"/>
  <c r="H347" i="4"/>
  <c r="W347" i="4" s="1"/>
  <c r="H348" i="4"/>
  <c r="W348" i="4" s="1"/>
  <c r="H350" i="4"/>
  <c r="W350" i="4" s="1"/>
  <c r="H351" i="4"/>
  <c r="W351" i="4" s="1"/>
  <c r="H352" i="4"/>
  <c r="W352" i="4" s="1"/>
  <c r="H354" i="4"/>
  <c r="W354" i="4" s="1"/>
  <c r="H383" i="4"/>
  <c r="W383" i="4" s="1"/>
  <c r="K383" i="4"/>
  <c r="H384" i="4"/>
  <c r="W384" i="4" s="1"/>
  <c r="K384" i="4"/>
  <c r="H385" i="4"/>
  <c r="W385" i="4" s="1"/>
  <c r="K385" i="4"/>
  <c r="H388" i="4"/>
  <c r="W388" i="4" s="1"/>
  <c r="K388" i="4"/>
  <c r="H389" i="4"/>
  <c r="W389" i="4" s="1"/>
  <c r="K389" i="4"/>
  <c r="H390" i="4"/>
  <c r="W390" i="4" s="1"/>
  <c r="K390" i="4"/>
  <c r="H391" i="4"/>
  <c r="W391" i="4" s="1"/>
  <c r="K391" i="4"/>
  <c r="H392" i="4"/>
  <c r="W392" i="4" s="1"/>
  <c r="K392" i="4"/>
  <c r="H394" i="4"/>
  <c r="W394" i="4" s="1"/>
  <c r="H395" i="4"/>
  <c r="W395" i="4" s="1"/>
  <c r="H396" i="4"/>
  <c r="W396" i="4" s="1"/>
  <c r="H397" i="4"/>
  <c r="W397" i="4" s="1"/>
  <c r="H398" i="4"/>
  <c r="W398" i="4" s="1"/>
  <c r="H399" i="4"/>
  <c r="W399" i="4" s="1"/>
  <c r="H401" i="4"/>
  <c r="W401" i="4" s="1"/>
  <c r="H402" i="4"/>
  <c r="W402" i="4" s="1"/>
  <c r="H403" i="4"/>
  <c r="W403" i="4" s="1"/>
  <c r="H405" i="4"/>
  <c r="W405" i="4" s="1"/>
  <c r="H407" i="4"/>
  <c r="H417" i="4"/>
  <c r="W417" i="4" s="1"/>
  <c r="H414" i="4"/>
  <c r="W414" i="4" s="1"/>
  <c r="H415" i="4"/>
  <c r="W415" i="4" s="1"/>
  <c r="H416" i="4"/>
  <c r="W416" i="4" s="1"/>
  <c r="H418" i="4"/>
  <c r="W418" i="4" s="1"/>
  <c r="H419" i="4"/>
  <c r="AH144" i="4" l="1"/>
  <c r="AN144" i="4" s="1"/>
  <c r="AJ144" i="4" s="1"/>
  <c r="I149" i="4"/>
  <c r="I191" i="4"/>
  <c r="I161" i="4"/>
  <c r="I82" i="4"/>
  <c r="I100" i="4"/>
  <c r="W16" i="4"/>
  <c r="I15" i="4"/>
  <c r="I206" i="4"/>
  <c r="I381" i="4"/>
  <c r="I372" i="4"/>
  <c r="W28" i="4"/>
  <c r="I26" i="4"/>
  <c r="I319" i="4"/>
  <c r="I55" i="4"/>
  <c r="I355" i="4"/>
  <c r="I43" i="4"/>
  <c r="W44" i="4"/>
  <c r="W412" i="4"/>
  <c r="I406" i="4"/>
  <c r="I271" i="4"/>
  <c r="W373" i="4"/>
  <c r="W320" i="4"/>
  <c r="W357" i="4"/>
  <c r="W419" i="4"/>
  <c r="W207" i="4"/>
  <c r="W192" i="4"/>
  <c r="W382" i="4"/>
  <c r="W272" i="4"/>
  <c r="W318" i="4"/>
  <c r="AH314" i="4"/>
  <c r="AN314" i="4" s="1"/>
  <c r="AJ314" i="4" s="1"/>
  <c r="I423" i="4"/>
  <c r="Z144" i="4"/>
  <c r="AH316" i="4"/>
  <c r="AN316" i="4" s="1"/>
  <c r="AJ316" i="4" s="1"/>
  <c r="AH147" i="4"/>
  <c r="AN147" i="4" s="1"/>
  <c r="AJ147" i="4" s="1"/>
  <c r="Y316" i="4"/>
  <c r="Z147" i="4"/>
  <c r="Y314" i="4"/>
  <c r="Z143" i="4"/>
  <c r="Z187" i="4"/>
  <c r="AH143" i="4"/>
  <c r="AN143" i="4" s="1"/>
  <c r="AJ143" i="4" s="1"/>
  <c r="Y145" i="4"/>
  <c r="Y143" i="4"/>
  <c r="Z98" i="4"/>
  <c r="AH98" i="4"/>
  <c r="AN98" i="4" s="1"/>
  <c r="AJ98" i="4" s="1"/>
  <c r="Z146" i="4"/>
  <c r="AH312" i="4"/>
  <c r="AN312" i="4" s="1"/>
  <c r="AJ312" i="4" s="1"/>
  <c r="Y312" i="4"/>
  <c r="Z145" i="4"/>
  <c r="AH146" i="4"/>
  <c r="AN146" i="4" s="1"/>
  <c r="AJ146" i="4" s="1"/>
  <c r="Y147" i="4"/>
  <c r="Y98" i="4"/>
  <c r="Z316" i="4"/>
  <c r="AF108" i="4"/>
  <c r="AI108" i="4" s="1"/>
  <c r="AF299" i="4"/>
  <c r="AI299" i="4" s="1"/>
  <c r="AF205" i="4"/>
  <c r="AI205" i="4" s="1"/>
  <c r="AF176" i="4"/>
  <c r="AI176" i="4" s="1"/>
  <c r="AF34" i="4"/>
  <c r="AI34" i="4" s="1"/>
  <c r="AF142" i="4"/>
  <c r="Z405" i="4"/>
  <c r="Z339" i="4"/>
  <c r="AF302" i="4"/>
  <c r="AI302" i="4" s="1"/>
  <c r="AF294" i="4"/>
  <c r="AI294" i="4" s="1"/>
  <c r="AF275" i="4"/>
  <c r="AI275" i="4" s="1"/>
  <c r="AF265" i="4"/>
  <c r="AI265" i="4" s="1"/>
  <c r="AF301" i="4"/>
  <c r="AI301" i="4" s="1"/>
  <c r="AF274" i="4"/>
  <c r="AI274" i="4" s="1"/>
  <c r="AF256" i="4"/>
  <c r="AI256" i="4" s="1"/>
  <c r="AF248" i="4"/>
  <c r="AF240" i="4"/>
  <c r="AI240" i="4" s="1"/>
  <c r="AF232" i="4"/>
  <c r="AI232" i="4" s="1"/>
  <c r="AF193" i="4"/>
  <c r="AI193" i="4" s="1"/>
  <c r="Z19" i="4"/>
  <c r="Y386" i="4"/>
  <c r="AF358" i="4"/>
  <c r="AI358" i="4" s="1"/>
  <c r="AF411" i="4"/>
  <c r="AI411" i="4" s="1"/>
  <c r="AF379" i="4"/>
  <c r="AI379" i="4" s="1"/>
  <c r="W70" i="4"/>
  <c r="Y70" i="4" s="1"/>
  <c r="AF173" i="4"/>
  <c r="AI173" i="4" s="1"/>
  <c r="AF183" i="4"/>
  <c r="AI183" i="4" s="1"/>
  <c r="AF107" i="4"/>
  <c r="AI107" i="4" s="1"/>
  <c r="AF130" i="4"/>
  <c r="AI130" i="4" s="1"/>
  <c r="AF140" i="4"/>
  <c r="AI140" i="4" s="1"/>
  <c r="Y311" i="4"/>
  <c r="Y315" i="4"/>
  <c r="Y187" i="4"/>
  <c r="AF292" i="4"/>
  <c r="AI292" i="4" s="1"/>
  <c r="AF200" i="4"/>
  <c r="AI200" i="4" s="1"/>
  <c r="AF380" i="4"/>
  <c r="AI380" i="4" s="1"/>
  <c r="Z166" i="4"/>
  <c r="AF42" i="4"/>
  <c r="AI42" i="4" s="1"/>
  <c r="AF131" i="4"/>
  <c r="AH311" i="4"/>
  <c r="AN311" i="4" s="1"/>
  <c r="AJ311" i="4" s="1"/>
  <c r="AF306" i="4"/>
  <c r="AI306" i="4" s="1"/>
  <c r="AF289" i="4"/>
  <c r="AI289" i="4" s="1"/>
  <c r="AF279" i="4"/>
  <c r="AI279" i="4" s="1"/>
  <c r="AF261" i="4"/>
  <c r="AI261" i="4" s="1"/>
  <c r="AF237" i="4"/>
  <c r="AI237" i="4" s="1"/>
  <c r="AF221" i="4"/>
  <c r="AI221" i="4" s="1"/>
  <c r="AF198" i="4"/>
  <c r="AI198" i="4" s="1"/>
  <c r="I421" i="4"/>
  <c r="AF361" i="4"/>
  <c r="AI361" i="4" s="1"/>
  <c r="AF375" i="4"/>
  <c r="AI375" i="4" s="1"/>
  <c r="Y158" i="4"/>
  <c r="AF177" i="4"/>
  <c r="AI177" i="4" s="1"/>
  <c r="AF188" i="4"/>
  <c r="AI188" i="4" s="1"/>
  <c r="Z40" i="4"/>
  <c r="AF110" i="4"/>
  <c r="AI110" i="4" s="1"/>
  <c r="AF156" i="4"/>
  <c r="AI156" i="4" s="1"/>
  <c r="AF123" i="4"/>
  <c r="AI123" i="4" s="1"/>
  <c r="AF238" i="4"/>
  <c r="AI238" i="4" s="1"/>
  <c r="AF199" i="4"/>
  <c r="AI199" i="4" s="1"/>
  <c r="Z17" i="4"/>
  <c r="AF29" i="4"/>
  <c r="AI29" i="4" s="1"/>
  <c r="Z132" i="4"/>
  <c r="AF305" i="4"/>
  <c r="AI305" i="4" s="1"/>
  <c r="AF297" i="4"/>
  <c r="AI297" i="4" s="1"/>
  <c r="AF212" i="4"/>
  <c r="AI212" i="4" s="1"/>
  <c r="AF204" i="4"/>
  <c r="AI204" i="4" s="1"/>
  <c r="Y23" i="4"/>
  <c r="Z362" i="4"/>
  <c r="AF408" i="4"/>
  <c r="AI408" i="4" s="1"/>
  <c r="AF376" i="4"/>
  <c r="AI376" i="4" s="1"/>
  <c r="AF159" i="4"/>
  <c r="AI159" i="4" s="1"/>
  <c r="Y169" i="4"/>
  <c r="AF189" i="4"/>
  <c r="AI189" i="4" s="1"/>
  <c r="AF32" i="4"/>
  <c r="AI32" i="4" s="1"/>
  <c r="AF37" i="4"/>
  <c r="AI37" i="4" s="1"/>
  <c r="Z318" i="4"/>
  <c r="AF118" i="4"/>
  <c r="AI118" i="4" s="1"/>
  <c r="Y126" i="4"/>
  <c r="AF134" i="4"/>
  <c r="AI134" i="4" s="1"/>
  <c r="AF309" i="4"/>
  <c r="AI309" i="4" s="1"/>
  <c r="AF137" i="4"/>
  <c r="AI137" i="4" s="1"/>
  <c r="AH187" i="4"/>
  <c r="AN187" i="4" s="1"/>
  <c r="AJ187" i="4" s="1"/>
  <c r="AH315" i="4"/>
  <c r="AN315" i="4" s="1"/>
  <c r="AJ315" i="4" s="1"/>
  <c r="Z312" i="4"/>
  <c r="Y144" i="4"/>
  <c r="Y146" i="4"/>
  <c r="AF367" i="4"/>
  <c r="AI367" i="4" s="1"/>
  <c r="AF31" i="4"/>
  <c r="Z103" i="4"/>
  <c r="AF291" i="4"/>
  <c r="AI291" i="4" s="1"/>
  <c r="AF262" i="4"/>
  <c r="AI262" i="4" s="1"/>
  <c r="AF368" i="4"/>
  <c r="AI368" i="4" s="1"/>
  <c r="AF185" i="4"/>
  <c r="AI185" i="4" s="1"/>
  <c r="AF124" i="4"/>
  <c r="AI124" i="4" s="1"/>
  <c r="AF415" i="4"/>
  <c r="AI415" i="4" s="1"/>
  <c r="Y350" i="4"/>
  <c r="Y341" i="4"/>
  <c r="Z304" i="4"/>
  <c r="AF296" i="4"/>
  <c r="AI296" i="4" s="1"/>
  <c r="AF285" i="4"/>
  <c r="AI285" i="4" s="1"/>
  <c r="AF235" i="4"/>
  <c r="AI235" i="4" s="1"/>
  <c r="AF211" i="4"/>
  <c r="AI211" i="4" s="1"/>
  <c r="AF203" i="4"/>
  <c r="AI203" i="4" s="1"/>
  <c r="AF196" i="4"/>
  <c r="AI196" i="4" s="1"/>
  <c r="Y335" i="4"/>
  <c r="Y321" i="4"/>
  <c r="Y269" i="4"/>
  <c r="AF363" i="4"/>
  <c r="AI363" i="4" s="1"/>
  <c r="AF409" i="4"/>
  <c r="AI409" i="4" s="1"/>
  <c r="AF377" i="4"/>
  <c r="AI377" i="4" s="1"/>
  <c r="AF160" i="4"/>
  <c r="AI160" i="4" s="1"/>
  <c r="Y170" i="4"/>
  <c r="AF190" i="4"/>
  <c r="AI190" i="4" s="1"/>
  <c r="Y30" i="4"/>
  <c r="AF35" i="4"/>
  <c r="AI35" i="4" s="1"/>
  <c r="AF104" i="4"/>
  <c r="AI104" i="4" s="1"/>
  <c r="Y127" i="4"/>
  <c r="Z135" i="4"/>
  <c r="AF310" i="4"/>
  <c r="AI310" i="4" s="1"/>
  <c r="AF138" i="4"/>
  <c r="AI138" i="4" s="1"/>
  <c r="AF231" i="4"/>
  <c r="AI231" i="4" s="1"/>
  <c r="AF216" i="4"/>
  <c r="AI216" i="4" s="1"/>
  <c r="Y374" i="4"/>
  <c r="Y175" i="4"/>
  <c r="Y116" i="4"/>
  <c r="AF360" i="4"/>
  <c r="AI360" i="4" s="1"/>
  <c r="AF157" i="4"/>
  <c r="AI157" i="4" s="1"/>
  <c r="AF303" i="4"/>
  <c r="AI303" i="4" s="1"/>
  <c r="AF276" i="4"/>
  <c r="AI276" i="4" s="1"/>
  <c r="AF250" i="4"/>
  <c r="AI250" i="4" s="1"/>
  <c r="AF219" i="4"/>
  <c r="AI219" i="4" s="1"/>
  <c r="AF202" i="4"/>
  <c r="AI202" i="4" s="1"/>
  <c r="Z195" i="4"/>
  <c r="Z21" i="4"/>
  <c r="Z337" i="4"/>
  <c r="AF364" i="4"/>
  <c r="AI364" i="4" s="1"/>
  <c r="AF153" i="4"/>
  <c r="AI153" i="4" s="1"/>
  <c r="AF105" i="4"/>
  <c r="AI105" i="4" s="1"/>
  <c r="AF97" i="4"/>
  <c r="AI97" i="4" s="1"/>
  <c r="AH145" i="4"/>
  <c r="AN145" i="4" s="1"/>
  <c r="AJ145" i="4" s="1"/>
  <c r="Z311" i="4"/>
  <c r="AF281" i="4"/>
  <c r="AI281" i="4" s="1"/>
  <c r="AF223" i="4"/>
  <c r="AI223" i="4" s="1"/>
  <c r="AF233" i="4"/>
  <c r="AI233" i="4" s="1"/>
  <c r="AF225" i="4"/>
  <c r="AI225" i="4" s="1"/>
  <c r="Z201" i="4"/>
  <c r="AF194" i="4"/>
  <c r="AI194" i="4" s="1"/>
  <c r="Z338" i="4"/>
  <c r="AF154" i="4"/>
  <c r="AI154" i="4" s="1"/>
  <c r="AF164" i="4"/>
  <c r="AI164" i="4" s="1"/>
  <c r="Y182" i="4"/>
  <c r="AF33" i="4"/>
  <c r="AI33" i="4" s="1"/>
  <c r="AF106" i="4"/>
  <c r="AI106" i="4" s="1"/>
  <c r="AF114" i="4"/>
  <c r="AI114" i="4" s="1"/>
  <c r="AF102" i="4"/>
  <c r="AI102" i="4" s="1"/>
  <c r="Z315" i="4"/>
  <c r="AF99" i="4"/>
  <c r="Z99" i="4"/>
  <c r="W163" i="4"/>
  <c r="W83" i="4"/>
  <c r="Z248" i="4"/>
  <c r="AF148" i="4"/>
  <c r="Z148" i="4"/>
  <c r="Z404" i="4"/>
  <c r="W56" i="4"/>
  <c r="W151" i="4"/>
  <c r="Z389" i="4"/>
  <c r="W101" i="4"/>
  <c r="K275" i="4"/>
  <c r="L102" i="4"/>
  <c r="K299" i="4"/>
  <c r="K291" i="4"/>
  <c r="K280" i="4"/>
  <c r="L262" i="4"/>
  <c r="L238" i="4"/>
  <c r="K205" i="4"/>
  <c r="L199" i="4"/>
  <c r="L362" i="4"/>
  <c r="L408" i="4"/>
  <c r="K377" i="4"/>
  <c r="L155" i="4"/>
  <c r="L405" i="4"/>
  <c r="L396" i="4"/>
  <c r="L339" i="4"/>
  <c r="K294" i="4"/>
  <c r="L257" i="4"/>
  <c r="L233" i="4"/>
  <c r="L349" i="4"/>
  <c r="L395" i="4"/>
  <c r="K292" i="4"/>
  <c r="K302" i="4"/>
  <c r="L225" i="4"/>
  <c r="L194" i="4"/>
  <c r="K346" i="4"/>
  <c r="L193" i="4"/>
  <c r="L369" i="4"/>
  <c r="L42" i="4"/>
  <c r="K352" i="4"/>
  <c r="L221" i="4"/>
  <c r="K309" i="4"/>
  <c r="K305" i="4"/>
  <c r="K297" i="4"/>
  <c r="K287" i="4"/>
  <c r="K278" i="4"/>
  <c r="L252" i="4"/>
  <c r="L228" i="4"/>
  <c r="L212" i="4"/>
  <c r="L363" i="4"/>
  <c r="L409" i="4"/>
  <c r="K378" i="4"/>
  <c r="K301" i="4"/>
  <c r="K274" i="4"/>
  <c r="L248" i="4"/>
  <c r="L412" i="4"/>
  <c r="L361" i="4"/>
  <c r="L365" i="4"/>
  <c r="L394" i="4"/>
  <c r="K306" i="4"/>
  <c r="K289" i="4"/>
  <c r="K279" i="4"/>
  <c r="L261" i="4"/>
  <c r="L214" i="4"/>
  <c r="L198" i="4"/>
  <c r="L398" i="4"/>
  <c r="K304" i="4"/>
  <c r="K296" i="4"/>
  <c r="K285" i="4"/>
  <c r="K277" i="4"/>
  <c r="L235" i="4"/>
  <c r="L196" i="4"/>
  <c r="L359" i="4"/>
  <c r="L35" i="4"/>
  <c r="L115" i="4"/>
  <c r="L131" i="4"/>
  <c r="L135" i="4"/>
  <c r="K310" i="4"/>
  <c r="K283" i="4"/>
  <c r="K293" i="4"/>
  <c r="L240" i="4"/>
  <c r="L217" i="4"/>
  <c r="K281" i="4"/>
  <c r="L223" i="4"/>
  <c r="L216" i="4"/>
  <c r="K298" i="4"/>
  <c r="L237" i="4"/>
  <c r="L41" i="4"/>
  <c r="L397" i="4"/>
  <c r="L326" i="4"/>
  <c r="K303" i="4"/>
  <c r="K295" i="4"/>
  <c r="K276" i="4"/>
  <c r="L250" i="4"/>
  <c r="L242" i="4"/>
  <c r="L219" i="4"/>
  <c r="L21" i="4"/>
  <c r="L360" i="4"/>
  <c r="K375" i="4"/>
  <c r="K379" i="4"/>
  <c r="T150" i="4"/>
  <c r="AE150" i="4" s="1"/>
  <c r="T371" i="4"/>
  <c r="AE371" i="4" s="1"/>
  <c r="T27" i="4"/>
  <c r="AE27" i="4" s="1"/>
  <c r="Y99" i="4"/>
  <c r="Y148" i="4"/>
  <c r="L213" i="4"/>
  <c r="K308" i="4"/>
  <c r="L393" i="4"/>
  <c r="L403" i="4"/>
  <c r="K282" i="4"/>
  <c r="K307" i="4"/>
  <c r="L402" i="4"/>
  <c r="K300" i="4"/>
  <c r="L401" i="4"/>
  <c r="K288" i="4"/>
  <c r="L404" i="4"/>
  <c r="K273" i="4"/>
  <c r="K286" i="4"/>
  <c r="K284" i="4"/>
  <c r="K290" i="4"/>
  <c r="L399" i="4"/>
  <c r="L16" i="4"/>
  <c r="L400" i="4"/>
  <c r="K373" i="4"/>
  <c r="L97" i="4"/>
  <c r="L138" i="4"/>
  <c r="L137" i="4"/>
  <c r="L136" i="4"/>
  <c r="L142" i="4"/>
  <c r="L139" i="4"/>
  <c r="L140" i="4"/>
  <c r="L141" i="4"/>
  <c r="L103" i="4"/>
  <c r="L382" i="4"/>
  <c r="L101" i="4"/>
  <c r="L110" i="4"/>
  <c r="L126" i="4"/>
  <c r="L134" i="4"/>
  <c r="L118" i="4"/>
  <c r="L107" i="4"/>
  <c r="L123" i="4"/>
  <c r="L104" i="4"/>
  <c r="L112" i="4"/>
  <c r="L109" i="4"/>
  <c r="L128" i="4"/>
  <c r="L120" i="4"/>
  <c r="L106" i="4"/>
  <c r="L114" i="4"/>
  <c r="L122" i="4"/>
  <c r="L130" i="4"/>
  <c r="L111" i="4"/>
  <c r="L119" i="4"/>
  <c r="L127" i="4"/>
  <c r="L108" i="4"/>
  <c r="L116" i="4"/>
  <c r="L124" i="4"/>
  <c r="L132" i="4"/>
  <c r="L105" i="4"/>
  <c r="L113" i="4"/>
  <c r="L121" i="4"/>
  <c r="L129" i="4"/>
  <c r="L117" i="4"/>
  <c r="L125" i="4"/>
  <c r="L133" i="4"/>
  <c r="K318" i="4"/>
  <c r="AJ27" i="4"/>
  <c r="L33" i="4"/>
  <c r="L34" i="4"/>
  <c r="L30" i="4"/>
  <c r="L38" i="4"/>
  <c r="L32" i="4"/>
  <c r="L40" i="4"/>
  <c r="K172" i="4"/>
  <c r="L29" i="4"/>
  <c r="L37" i="4"/>
  <c r="L153" i="4"/>
  <c r="L31" i="4"/>
  <c r="L39" i="4"/>
  <c r="L28" i="4"/>
  <c r="L36" i="4"/>
  <c r="L70" i="4"/>
  <c r="L159" i="4"/>
  <c r="L166" i="4"/>
  <c r="L156" i="4"/>
  <c r="L160" i="4"/>
  <c r="L151" i="4"/>
  <c r="L368" i="4"/>
  <c r="L75" i="4"/>
  <c r="L152" i="4"/>
  <c r="L56" i="4"/>
  <c r="L83" i="4"/>
  <c r="L158" i="4"/>
  <c r="L163" i="4"/>
  <c r="K376" i="4"/>
  <c r="L165" i="4"/>
  <c r="L167" i="4"/>
  <c r="K169" i="4"/>
  <c r="L157" i="4"/>
  <c r="L164" i="4"/>
  <c r="L154" i="4"/>
  <c r="K170" i="4"/>
  <c r="K374" i="4"/>
  <c r="L358" i="4"/>
  <c r="K411" i="4"/>
  <c r="K410" i="4"/>
  <c r="K380" i="4"/>
  <c r="L357" i="4"/>
  <c r="L367" i="4"/>
  <c r="L364" i="4"/>
  <c r="L366" i="4"/>
  <c r="L269" i="4"/>
  <c r="L387" i="4"/>
  <c r="L386" i="4"/>
  <c r="K349" i="4"/>
  <c r="L24" i="4"/>
  <c r="K320" i="4"/>
  <c r="L320" i="4"/>
  <c r="L321" i="4"/>
  <c r="K321" i="4"/>
  <c r="K330" i="4"/>
  <c r="L330" i="4"/>
  <c r="K336" i="4"/>
  <c r="L336" i="4"/>
  <c r="K335" i="4"/>
  <c r="K353" i="4"/>
  <c r="L353" i="4"/>
  <c r="L335" i="4"/>
  <c r="K338" i="4"/>
  <c r="L338" i="4"/>
  <c r="K337" i="4"/>
  <c r="L337" i="4"/>
  <c r="K331" i="4"/>
  <c r="L331" i="4"/>
  <c r="L268" i="4"/>
  <c r="L195" i="4"/>
  <c r="L210" i="4"/>
  <c r="L234" i="4"/>
  <c r="L229" i="4"/>
  <c r="L325" i="4"/>
  <c r="L215" i="4"/>
  <c r="L417" i="4"/>
  <c r="K345" i="4"/>
  <c r="L343" i="4"/>
  <c r="K272" i="4"/>
  <c r="L354" i="4"/>
  <c r="L329" i="4"/>
  <c r="L208" i="4"/>
  <c r="L263" i="4"/>
  <c r="L266" i="4"/>
  <c r="K323" i="4"/>
  <c r="L251" i="4"/>
  <c r="L342" i="4"/>
  <c r="K328" i="4"/>
  <c r="K348" i="4"/>
  <c r="AN25" i="4"/>
  <c r="AJ25" i="4" s="1"/>
  <c r="L241" i="4"/>
  <c r="L392" i="4"/>
  <c r="L391" i="4"/>
  <c r="L324" i="4"/>
  <c r="K332" i="4"/>
  <c r="L328" i="4"/>
  <c r="K324" i="4"/>
  <c r="L260" i="4"/>
  <c r="L243" i="4"/>
  <c r="K326" i="4"/>
  <c r="L245" i="4"/>
  <c r="L332" i="4"/>
  <c r="L258" i="4"/>
  <c r="L236" i="4"/>
  <c r="L209" i="4"/>
  <c r="L17" i="4"/>
  <c r="K333" i="4"/>
  <c r="L385" i="4"/>
  <c r="K339" i="4"/>
  <c r="L418" i="4"/>
  <c r="L218" i="4"/>
  <c r="K343" i="4"/>
  <c r="L333" i="4"/>
  <c r="K329" i="4"/>
  <c r="L253" i="4"/>
  <c r="K342" i="4"/>
  <c r="K325" i="4"/>
  <c r="L246" i="4"/>
  <c r="L222" i="4"/>
  <c r="L384" i="4"/>
  <c r="L346" i="4"/>
  <c r="L256" i="4"/>
  <c r="L344" i="4"/>
  <c r="K344" i="4"/>
  <c r="K327" i="4"/>
  <c r="L327" i="4"/>
  <c r="L20" i="4"/>
  <c r="L203" i="4"/>
  <c r="L414" i="4"/>
  <c r="L207" i="4"/>
  <c r="L390" i="4"/>
  <c r="L334" i="4"/>
  <c r="K334" i="4"/>
  <c r="L347" i="4"/>
  <c r="K347" i="4"/>
  <c r="L265" i="4"/>
  <c r="K341" i="4"/>
  <c r="L341" i="4"/>
  <c r="L407" i="4"/>
  <c r="L322" i="4"/>
  <c r="K322" i="4"/>
  <c r="L352" i="4"/>
  <c r="K340" i="4"/>
  <c r="L267" i="4"/>
  <c r="L227" i="4"/>
  <c r="L255" i="4"/>
  <c r="L389" i="4"/>
  <c r="L323" i="4"/>
  <c r="L383" i="4"/>
  <c r="L350" i="4"/>
  <c r="L345" i="4"/>
  <c r="L388" i="4"/>
  <c r="L415" i="4"/>
  <c r="L247" i="4"/>
  <c r="L239" i="4"/>
  <c r="L231" i="4"/>
  <c r="L224" i="4"/>
  <c r="K351" i="4"/>
  <c r="L351" i="4"/>
  <c r="L270" i="4"/>
  <c r="L416" i="4"/>
  <c r="L211" i="4"/>
  <c r="L419" i="4"/>
  <c r="K350" i="4"/>
  <c r="L249" i="4"/>
  <c r="L226" i="4"/>
  <c r="L25" i="4"/>
  <c r="L19" i="4"/>
  <c r="L230" i="4"/>
  <c r="L220" i="4"/>
  <c r="L200" i="4"/>
  <c r="L192" i="4"/>
  <c r="L202" i="4"/>
  <c r="L348" i="4"/>
  <c r="L340" i="4"/>
  <c r="L264" i="4"/>
  <c r="L254" i="4"/>
  <c r="L244" i="4"/>
  <c r="L232" i="4"/>
  <c r="K354" i="4"/>
  <c r="L204" i="4"/>
  <c r="L201" i="4"/>
  <c r="L23" i="4"/>
  <c r="L18" i="4"/>
  <c r="L44" i="4"/>
  <c r="L259" i="4"/>
  <c r="K413" i="4"/>
  <c r="L197" i="4"/>
  <c r="L22" i="4"/>
  <c r="AA144" i="4" l="1"/>
  <c r="L420" i="4"/>
  <c r="I420" i="4"/>
  <c r="I425" i="4"/>
  <c r="L425" i="4" s="1"/>
  <c r="I424" i="4"/>
  <c r="I426" i="4"/>
  <c r="L426" i="4" s="1"/>
  <c r="K420" i="4"/>
  <c r="K428" i="4" s="1"/>
  <c r="Y415" i="4"/>
  <c r="Y199" i="4"/>
  <c r="AH279" i="4"/>
  <c r="AN279" i="4" s="1"/>
  <c r="AJ279" i="4" s="1"/>
  <c r="AH173" i="4"/>
  <c r="AN173" i="4" s="1"/>
  <c r="AJ173" i="4" s="1"/>
  <c r="Y160" i="4"/>
  <c r="Y274" i="4"/>
  <c r="Y142" i="4"/>
  <c r="Y380" i="4"/>
  <c r="Y140" i="4"/>
  <c r="AH375" i="4"/>
  <c r="AN375" i="4" s="1"/>
  <c r="AJ375" i="4" s="1"/>
  <c r="AH33" i="4"/>
  <c r="AN33" i="4" s="1"/>
  <c r="AJ33" i="4" s="1"/>
  <c r="AH176" i="4"/>
  <c r="AN176" i="4" s="1"/>
  <c r="AJ176" i="4" s="1"/>
  <c r="Z367" i="4"/>
  <c r="AH303" i="4"/>
  <c r="AN303" i="4" s="1"/>
  <c r="AJ303" i="4" s="1"/>
  <c r="AH367" i="4"/>
  <c r="AN367" i="4" s="1"/>
  <c r="AJ367" i="4" s="1"/>
  <c r="AH285" i="4"/>
  <c r="AN285" i="4" s="1"/>
  <c r="AJ285" i="4" s="1"/>
  <c r="AH363" i="4"/>
  <c r="AN363" i="4" s="1"/>
  <c r="AJ363" i="4" s="1"/>
  <c r="Z306" i="4"/>
  <c r="Y337" i="4"/>
  <c r="Y250" i="4"/>
  <c r="Z140" i="4"/>
  <c r="AH97" i="4"/>
  <c r="AN97" i="4" s="1"/>
  <c r="AJ97" i="4" s="1"/>
  <c r="Z190" i="4"/>
  <c r="Z105" i="4"/>
  <c r="AH358" i="4"/>
  <c r="AN358" i="4" s="1"/>
  <c r="AJ358" i="4" s="1"/>
  <c r="Z164" i="4"/>
  <c r="AH235" i="4"/>
  <c r="AN235" i="4" s="1"/>
  <c r="AJ235" i="4" s="1"/>
  <c r="AH306" i="4"/>
  <c r="AN306" i="4" s="1"/>
  <c r="AJ306" i="4" s="1"/>
  <c r="Z235" i="4"/>
  <c r="Z142" i="4"/>
  <c r="Y235" i="4"/>
  <c r="AA314" i="4"/>
  <c r="AH137" i="4"/>
  <c r="AN137" i="4" s="1"/>
  <c r="AJ137" i="4" s="1"/>
  <c r="AH415" i="4"/>
  <c r="AN415" i="4" s="1"/>
  <c r="AJ415" i="4" s="1"/>
  <c r="AH274" i="4"/>
  <c r="AN274" i="4" s="1"/>
  <c r="AJ274" i="4" s="1"/>
  <c r="AH140" i="4"/>
  <c r="AN140" i="4" s="1"/>
  <c r="AJ140" i="4" s="1"/>
  <c r="Z376" i="4"/>
  <c r="Z189" i="4"/>
  <c r="Z108" i="4"/>
  <c r="AA316" i="4"/>
  <c r="AA145" i="4"/>
  <c r="AH199" i="4"/>
  <c r="AN199" i="4" s="1"/>
  <c r="AJ199" i="4" s="1"/>
  <c r="Z219" i="4"/>
  <c r="Z237" i="4"/>
  <c r="Z275" i="4"/>
  <c r="AH216" i="4"/>
  <c r="AN216" i="4" s="1"/>
  <c r="AJ216" i="4" s="1"/>
  <c r="AH204" i="4"/>
  <c r="AN204" i="4" s="1"/>
  <c r="AJ204" i="4" s="1"/>
  <c r="Z183" i="4"/>
  <c r="Y131" i="4"/>
  <c r="Y107" i="4"/>
  <c r="AH265" i="4"/>
  <c r="AN265" i="4" s="1"/>
  <c r="AJ265" i="4" s="1"/>
  <c r="Z196" i="4"/>
  <c r="Z205" i="4"/>
  <c r="Z221" i="4"/>
  <c r="AA312" i="4"/>
  <c r="Y306" i="4"/>
  <c r="AH183" i="4"/>
  <c r="AN183" i="4" s="1"/>
  <c r="AJ183" i="4" s="1"/>
  <c r="AH223" i="4"/>
  <c r="AN223" i="4" s="1"/>
  <c r="AJ223" i="4" s="1"/>
  <c r="AH261" i="4"/>
  <c r="AN261" i="4" s="1"/>
  <c r="AJ261" i="4" s="1"/>
  <c r="AH376" i="4"/>
  <c r="AN376" i="4" s="1"/>
  <c r="AJ376" i="4" s="1"/>
  <c r="Z274" i="4"/>
  <c r="Z199" i="4"/>
  <c r="Z302" i="4"/>
  <c r="Z232" i="4"/>
  <c r="AH202" i="4"/>
  <c r="AN202" i="4" s="1"/>
  <c r="AJ202" i="4" s="1"/>
  <c r="AH240" i="4"/>
  <c r="AN240" i="4" s="1"/>
  <c r="AJ240" i="4" s="1"/>
  <c r="AH196" i="4"/>
  <c r="AN196" i="4" s="1"/>
  <c r="AJ196" i="4" s="1"/>
  <c r="AH302" i="4"/>
  <c r="AN302" i="4" s="1"/>
  <c r="AJ302" i="4" s="1"/>
  <c r="AH238" i="4"/>
  <c r="AN238" i="4" s="1"/>
  <c r="AJ238" i="4" s="1"/>
  <c r="Z361" i="4"/>
  <c r="Z292" i="4"/>
  <c r="Z310" i="4"/>
  <c r="Z156" i="4"/>
  <c r="AH177" i="4"/>
  <c r="AN177" i="4" s="1"/>
  <c r="AJ177" i="4" s="1"/>
  <c r="AH305" i="4"/>
  <c r="AN305" i="4" s="1"/>
  <c r="AJ305" i="4" s="1"/>
  <c r="AH42" i="4"/>
  <c r="AN42" i="4" s="1"/>
  <c r="AJ42" i="4" s="1"/>
  <c r="AH408" i="4"/>
  <c r="AN408" i="4" s="1"/>
  <c r="AJ408" i="4" s="1"/>
  <c r="Z200" i="4"/>
  <c r="AH107" i="4"/>
  <c r="AN107" i="4" s="1"/>
  <c r="AJ107" i="4" s="1"/>
  <c r="AH361" i="4"/>
  <c r="AN361" i="4" s="1"/>
  <c r="AJ361" i="4" s="1"/>
  <c r="AH160" i="4"/>
  <c r="AN160" i="4" s="1"/>
  <c r="AJ160" i="4" s="1"/>
  <c r="Z131" i="4"/>
  <c r="Z285" i="4"/>
  <c r="Z415" i="4"/>
  <c r="AH29" i="4"/>
  <c r="AN29" i="4" s="1"/>
  <c r="AJ29" i="4" s="1"/>
  <c r="AH118" i="4"/>
  <c r="AN118" i="4" s="1"/>
  <c r="AJ118" i="4" s="1"/>
  <c r="AH156" i="4"/>
  <c r="AN156" i="4" s="1"/>
  <c r="AJ156" i="4" s="1"/>
  <c r="AH124" i="4"/>
  <c r="AN124" i="4" s="1"/>
  <c r="AJ124" i="4" s="1"/>
  <c r="Z301" i="4"/>
  <c r="AH296" i="4"/>
  <c r="AN296" i="4" s="1"/>
  <c r="AJ296" i="4" s="1"/>
  <c r="AH297" i="4"/>
  <c r="AN297" i="4" s="1"/>
  <c r="AJ297" i="4" s="1"/>
  <c r="Z261" i="4"/>
  <c r="AH364" i="4"/>
  <c r="AN364" i="4" s="1"/>
  <c r="AJ364" i="4" s="1"/>
  <c r="AH237" i="4"/>
  <c r="AN237" i="4" s="1"/>
  <c r="AJ237" i="4" s="1"/>
  <c r="AH198" i="4"/>
  <c r="AN198" i="4" s="1"/>
  <c r="AJ198" i="4" s="1"/>
  <c r="AH232" i="4"/>
  <c r="AN232" i="4" s="1"/>
  <c r="AJ232" i="4" s="1"/>
  <c r="AH200" i="4"/>
  <c r="AN200" i="4" s="1"/>
  <c r="AJ200" i="4" s="1"/>
  <c r="AH108" i="4"/>
  <c r="AN108" i="4" s="1"/>
  <c r="AJ108" i="4" s="1"/>
  <c r="AH159" i="4"/>
  <c r="AN159" i="4" s="1"/>
  <c r="AJ159" i="4" s="1"/>
  <c r="AH262" i="4"/>
  <c r="AN262" i="4" s="1"/>
  <c r="AJ262" i="4" s="1"/>
  <c r="AA143" i="4"/>
  <c r="Z377" i="4"/>
  <c r="Z240" i="4"/>
  <c r="Z137" i="4"/>
  <c r="Z379" i="4"/>
  <c r="Z188" i="4"/>
  <c r="AH203" i="4"/>
  <c r="AN203" i="4" s="1"/>
  <c r="AJ203" i="4" s="1"/>
  <c r="AH105" i="4"/>
  <c r="AN105" i="4" s="1"/>
  <c r="AJ105" i="4" s="1"/>
  <c r="Z262" i="4"/>
  <c r="Y216" i="4"/>
  <c r="Y296" i="4"/>
  <c r="Y159" i="4"/>
  <c r="AH409" i="4"/>
  <c r="AN409" i="4" s="1"/>
  <c r="AJ409" i="4" s="1"/>
  <c r="Z204" i="4"/>
  <c r="AH189" i="4"/>
  <c r="AN189" i="4" s="1"/>
  <c r="AJ189" i="4" s="1"/>
  <c r="AH379" i="4"/>
  <c r="AN379" i="4" s="1"/>
  <c r="AJ379" i="4" s="1"/>
  <c r="AH219" i="4"/>
  <c r="AN219" i="4" s="1"/>
  <c r="AJ219" i="4" s="1"/>
  <c r="AH130" i="4"/>
  <c r="AN130" i="4" s="1"/>
  <c r="AJ130" i="4" s="1"/>
  <c r="AH301" i="4"/>
  <c r="AN301" i="4" s="1"/>
  <c r="AJ301" i="4" s="1"/>
  <c r="AH34" i="4"/>
  <c r="AN34" i="4" s="1"/>
  <c r="AJ34" i="4" s="1"/>
  <c r="AH377" i="4"/>
  <c r="AN377" i="4" s="1"/>
  <c r="AJ377" i="4" s="1"/>
  <c r="AH205" i="4"/>
  <c r="AN205" i="4" s="1"/>
  <c r="AJ205" i="4" s="1"/>
  <c r="AH275" i="4"/>
  <c r="AN275" i="4" s="1"/>
  <c r="AJ275" i="4" s="1"/>
  <c r="Z294" i="4"/>
  <c r="Z34" i="4"/>
  <c r="Z216" i="4"/>
  <c r="Z305" i="4"/>
  <c r="Y364" i="4"/>
  <c r="Y219" i="4"/>
  <c r="Y188" i="4"/>
  <c r="Y248" i="4"/>
  <c r="AA248" i="4" s="1"/>
  <c r="Y173" i="4"/>
  <c r="Y379" i="4"/>
  <c r="Z31" i="4"/>
  <c r="Y400" i="4"/>
  <c r="Z400" i="4"/>
  <c r="Y323" i="4"/>
  <c r="Z323" i="4"/>
  <c r="Y20" i="4"/>
  <c r="Z20" i="4"/>
  <c r="Y18" i="4"/>
  <c r="Z18" i="4"/>
  <c r="AF332" i="4"/>
  <c r="Z332" i="4"/>
  <c r="AF386" i="4"/>
  <c r="Z386" i="4"/>
  <c r="AA386" i="4" s="1"/>
  <c r="AF412" i="4"/>
  <c r="Z412" i="4"/>
  <c r="Y387" i="4"/>
  <c r="Z387" i="4"/>
  <c r="AH250" i="4"/>
  <c r="AN250" i="4" s="1"/>
  <c r="AJ250" i="4" s="1"/>
  <c r="AH281" i="4"/>
  <c r="AN281" i="4" s="1"/>
  <c r="AJ281" i="4" s="1"/>
  <c r="AH310" i="4"/>
  <c r="AN310" i="4" s="1"/>
  <c r="AJ310" i="4" s="1"/>
  <c r="AH211" i="4"/>
  <c r="AN211" i="4" s="1"/>
  <c r="AJ211" i="4" s="1"/>
  <c r="AH188" i="4"/>
  <c r="AN188" i="4" s="1"/>
  <c r="AJ188" i="4" s="1"/>
  <c r="AA147" i="4"/>
  <c r="Y333" i="4"/>
  <c r="Z333" i="4"/>
  <c r="Z185" i="4"/>
  <c r="Z411" i="4"/>
  <c r="Y329" i="4"/>
  <c r="Z329" i="4"/>
  <c r="Z138" i="4"/>
  <c r="Y327" i="4"/>
  <c r="Z327" i="4"/>
  <c r="Y382" i="4"/>
  <c r="Z382" i="4"/>
  <c r="Y401" i="4"/>
  <c r="Z401" i="4"/>
  <c r="AF21" i="4"/>
  <c r="AH21" i="4" s="1"/>
  <c r="AN21" i="4" s="1"/>
  <c r="Z297" i="4"/>
  <c r="AF326" i="4"/>
  <c r="AI326" i="4" s="1"/>
  <c r="Z326" i="4"/>
  <c r="AF321" i="4"/>
  <c r="Z321" i="4"/>
  <c r="AA321" i="4" s="1"/>
  <c r="AF413" i="4"/>
  <c r="Z413" i="4"/>
  <c r="AF336" i="4"/>
  <c r="Z336" i="4"/>
  <c r="Y393" i="4"/>
  <c r="Z393" i="4"/>
  <c r="AF330" i="4"/>
  <c r="Z330" i="4"/>
  <c r="AF328" i="4"/>
  <c r="Z328" i="4"/>
  <c r="AF24" i="4"/>
  <c r="Z24" i="4"/>
  <c r="Y181" i="4"/>
  <c r="Z181" i="4"/>
  <c r="Y343" i="4"/>
  <c r="Z343" i="4"/>
  <c r="AF398" i="4"/>
  <c r="Z398" i="4"/>
  <c r="AF23" i="4"/>
  <c r="Z23" i="4"/>
  <c r="AA23" i="4" s="1"/>
  <c r="Y342" i="4"/>
  <c r="Z342" i="4"/>
  <c r="AH380" i="4"/>
  <c r="AN380" i="4" s="1"/>
  <c r="AJ380" i="4" s="1"/>
  <c r="AA311" i="4"/>
  <c r="AH190" i="4"/>
  <c r="AN190" i="4" s="1"/>
  <c r="AJ190" i="4" s="1"/>
  <c r="AH225" i="4"/>
  <c r="AN225" i="4" s="1"/>
  <c r="AJ225" i="4" s="1"/>
  <c r="AH185" i="4"/>
  <c r="AN185" i="4" s="1"/>
  <c r="AJ185" i="4" s="1"/>
  <c r="Y345" i="4"/>
  <c r="Z345" i="4"/>
  <c r="Z176" i="4"/>
  <c r="Z408" i="4"/>
  <c r="Z265" i="4"/>
  <c r="Z130" i="4"/>
  <c r="Z256" i="4"/>
  <c r="Y391" i="4"/>
  <c r="Z391" i="4"/>
  <c r="Z223" i="4"/>
  <c r="Z375" i="4"/>
  <c r="Z363" i="4"/>
  <c r="Z160" i="4"/>
  <c r="Y223" i="4"/>
  <c r="Y105" i="4"/>
  <c r="AF348" i="4"/>
  <c r="Z348" i="4"/>
  <c r="Y376" i="4"/>
  <c r="AF353" i="4"/>
  <c r="Z353" i="4"/>
  <c r="Z419" i="4"/>
  <c r="Y395" i="4"/>
  <c r="Z395" i="4"/>
  <c r="AH360" i="4"/>
  <c r="AN360" i="4" s="1"/>
  <c r="AJ360" i="4" s="1"/>
  <c r="AH106" i="4"/>
  <c r="AN106" i="4" s="1"/>
  <c r="AJ106" i="4" s="1"/>
  <c r="AH164" i="4"/>
  <c r="AN164" i="4" s="1"/>
  <c r="AJ164" i="4" s="1"/>
  <c r="AH411" i="4"/>
  <c r="AN411" i="4" s="1"/>
  <c r="AJ411" i="4" s="1"/>
  <c r="AA98" i="4"/>
  <c r="Y331" i="4"/>
  <c r="Z331" i="4"/>
  <c r="Y383" i="4"/>
  <c r="Z383" i="4"/>
  <c r="Z159" i="4"/>
  <c r="Z225" i="4"/>
  <c r="Z114" i="4"/>
  <c r="Z380" i="4"/>
  <c r="Z42" i="4"/>
  <c r="Y354" i="4"/>
  <c r="Z354" i="4"/>
  <c r="Z364" i="4"/>
  <c r="Y167" i="4"/>
  <c r="Z167" i="4"/>
  <c r="AF40" i="4"/>
  <c r="AI40" i="4" s="1"/>
  <c r="Z358" i="4"/>
  <c r="Y21" i="4"/>
  <c r="AA21" i="4" s="1"/>
  <c r="AF397" i="4"/>
  <c r="Z397" i="4"/>
  <c r="AF175" i="4"/>
  <c r="Z175" i="4"/>
  <c r="AA175" i="4" s="1"/>
  <c r="Y389" i="4"/>
  <c r="AA389" i="4" s="1"/>
  <c r="AF335" i="4"/>
  <c r="Z335" i="4"/>
  <c r="AA335" i="4" s="1"/>
  <c r="AF341" i="4"/>
  <c r="Z341" i="4"/>
  <c r="AA341" i="4" s="1"/>
  <c r="AF169" i="4"/>
  <c r="Z169" i="4"/>
  <c r="AA169" i="4" s="1"/>
  <c r="Y297" i="4"/>
  <c r="Y42" i="4"/>
  <c r="Y200" i="4"/>
  <c r="Y130" i="4"/>
  <c r="Y411" i="4"/>
  <c r="Y19" i="4"/>
  <c r="Y34" i="4"/>
  <c r="Y320" i="4"/>
  <c r="Z320" i="4"/>
  <c r="Y172" i="4"/>
  <c r="Z172" i="4"/>
  <c r="AH256" i="4"/>
  <c r="AN256" i="4" s="1"/>
  <c r="AJ256" i="4" s="1"/>
  <c r="Z296" i="4"/>
  <c r="Y324" i="4"/>
  <c r="Z324" i="4"/>
  <c r="Y390" i="4"/>
  <c r="Z390" i="4"/>
  <c r="Z106" i="4"/>
  <c r="Y340" i="4"/>
  <c r="Z340" i="4"/>
  <c r="Y416" i="4"/>
  <c r="Z416" i="4"/>
  <c r="Y351" i="4"/>
  <c r="Z351" i="4"/>
  <c r="AF182" i="4"/>
  <c r="Z182" i="4"/>
  <c r="AA182" i="4" s="1"/>
  <c r="AF407" i="4"/>
  <c r="Z407" i="4"/>
  <c r="AF344" i="4"/>
  <c r="AI344" i="4" s="1"/>
  <c r="Z344" i="4"/>
  <c r="AF352" i="4"/>
  <c r="Z352" i="4"/>
  <c r="AF396" i="4"/>
  <c r="Z396" i="4"/>
  <c r="AH289" i="4"/>
  <c r="AN289" i="4" s="1"/>
  <c r="AJ289" i="4" s="1"/>
  <c r="Y402" i="4"/>
  <c r="Z402" i="4"/>
  <c r="Z107" i="4"/>
  <c r="Z303" i="4"/>
  <c r="Y334" i="4"/>
  <c r="Z334" i="4"/>
  <c r="Y417" i="4"/>
  <c r="Z417" i="4"/>
  <c r="Y322" i="4"/>
  <c r="Z322" i="4"/>
  <c r="Y325" i="4"/>
  <c r="Z325" i="4"/>
  <c r="Y22" i="4"/>
  <c r="Z22" i="4"/>
  <c r="Z198" i="4"/>
  <c r="Z173" i="4"/>
  <c r="Y399" i="4"/>
  <c r="Z399" i="4"/>
  <c r="Z289" i="4"/>
  <c r="Z97" i="4"/>
  <c r="Y164" i="4"/>
  <c r="Y225" i="4"/>
  <c r="AF394" i="4"/>
  <c r="AI394" i="4" s="1"/>
  <c r="Z394" i="4"/>
  <c r="Y285" i="4"/>
  <c r="AF350" i="4"/>
  <c r="Z350" i="4"/>
  <c r="AA350" i="4" s="1"/>
  <c r="Y185" i="4"/>
  <c r="Y305" i="4"/>
  <c r="Y40" i="4"/>
  <c r="AA40" i="4" s="1"/>
  <c r="AF388" i="4"/>
  <c r="Z388" i="4"/>
  <c r="Y166" i="4"/>
  <c r="Y183" i="4"/>
  <c r="Y358" i="4"/>
  <c r="Y176" i="4"/>
  <c r="Y418" i="4"/>
  <c r="Z418" i="4"/>
  <c r="Y403" i="4"/>
  <c r="Z403" i="4"/>
  <c r="Y384" i="4"/>
  <c r="Z384" i="4"/>
  <c r="Y392" i="4"/>
  <c r="Z392" i="4"/>
  <c r="Y414" i="4"/>
  <c r="Z414" i="4"/>
  <c r="AF349" i="4"/>
  <c r="Z349" i="4"/>
  <c r="Y330" i="4"/>
  <c r="AF385" i="4"/>
  <c r="AI385" i="4" s="1"/>
  <c r="Z385" i="4"/>
  <c r="Y31" i="4"/>
  <c r="Y404" i="4"/>
  <c r="Y17" i="4"/>
  <c r="AA17" i="4" s="1"/>
  <c r="Y44" i="4"/>
  <c r="Z44" i="4"/>
  <c r="Y256" i="4"/>
  <c r="AF346" i="4"/>
  <c r="AI346" i="4" s="1"/>
  <c r="Z346" i="4"/>
  <c r="AF347" i="4"/>
  <c r="AH347" i="4" s="1"/>
  <c r="AN347" i="4" s="1"/>
  <c r="Z347" i="4"/>
  <c r="AH35" i="4"/>
  <c r="AN35" i="4" s="1"/>
  <c r="AJ35" i="4" s="1"/>
  <c r="AH110" i="4"/>
  <c r="AN110" i="4" s="1"/>
  <c r="AJ110" i="4" s="1"/>
  <c r="AH212" i="4"/>
  <c r="AN212" i="4" s="1"/>
  <c r="AJ212" i="4" s="1"/>
  <c r="AH309" i="4"/>
  <c r="AN309" i="4" s="1"/>
  <c r="AJ309" i="4" s="1"/>
  <c r="AH194" i="4"/>
  <c r="AN194" i="4" s="1"/>
  <c r="AJ194" i="4" s="1"/>
  <c r="AH294" i="4"/>
  <c r="AN294" i="4" s="1"/>
  <c r="AJ294" i="4" s="1"/>
  <c r="AH299" i="4"/>
  <c r="AN299" i="4" s="1"/>
  <c r="AJ299" i="4" s="1"/>
  <c r="AA146" i="4"/>
  <c r="Z233" i="4"/>
  <c r="Z193" i="4"/>
  <c r="Z299" i="4"/>
  <c r="Z409" i="4"/>
  <c r="Y106" i="4"/>
  <c r="Y397" i="4"/>
  <c r="Y360" i="4"/>
  <c r="Y138" i="4"/>
  <c r="Y203" i="4"/>
  <c r="Y118" i="4"/>
  <c r="Y29" i="4"/>
  <c r="Y361" i="4"/>
  <c r="Z212" i="4"/>
  <c r="AH193" i="4"/>
  <c r="AN193" i="4" s="1"/>
  <c r="AJ193" i="4" s="1"/>
  <c r="AH104" i="4"/>
  <c r="AN104" i="4" s="1"/>
  <c r="AJ104" i="4" s="1"/>
  <c r="AA315" i="4"/>
  <c r="Z37" i="4"/>
  <c r="Z291" i="4"/>
  <c r="AH102" i="4"/>
  <c r="AN102" i="4" s="1"/>
  <c r="AJ102" i="4" s="1"/>
  <c r="AH153" i="4"/>
  <c r="AN153" i="4" s="1"/>
  <c r="AJ153" i="4" s="1"/>
  <c r="AH123" i="4"/>
  <c r="AN123" i="4" s="1"/>
  <c r="AJ123" i="4" s="1"/>
  <c r="AA148" i="4"/>
  <c r="AH32" i="4"/>
  <c r="AN32" i="4" s="1"/>
  <c r="AJ32" i="4" s="1"/>
  <c r="Z309" i="4"/>
  <c r="Z29" i="4"/>
  <c r="Z157" i="4"/>
  <c r="Z33" i="4"/>
  <c r="Y303" i="4"/>
  <c r="W407" i="4"/>
  <c r="Y407" i="4" s="1"/>
  <c r="Y377" i="4"/>
  <c r="Y262" i="4"/>
  <c r="Y137" i="4"/>
  <c r="Y344" i="4"/>
  <c r="Y198" i="4"/>
  <c r="Y347" i="4"/>
  <c r="Y205" i="4"/>
  <c r="Z194" i="4"/>
  <c r="Z102" i="4"/>
  <c r="Z153" i="4"/>
  <c r="Z360" i="4"/>
  <c r="Z238" i="4"/>
  <c r="AH221" i="4"/>
  <c r="AN221" i="4" s="1"/>
  <c r="AJ221" i="4" s="1"/>
  <c r="AH233" i="4"/>
  <c r="AN233" i="4" s="1"/>
  <c r="AJ233" i="4" s="1"/>
  <c r="Z203" i="4"/>
  <c r="Z123" i="4"/>
  <c r="Z118" i="4"/>
  <c r="Z104" i="4"/>
  <c r="Y102" i="4"/>
  <c r="Y153" i="4"/>
  <c r="Y326" i="4"/>
  <c r="Y409" i="4"/>
  <c r="Y291" i="4"/>
  <c r="Y309" i="4"/>
  <c r="Y37" i="4"/>
  <c r="Y212" i="4"/>
  <c r="Y123" i="4"/>
  <c r="Y279" i="4"/>
  <c r="Y396" i="4"/>
  <c r="AH368" i="4"/>
  <c r="AN368" i="4" s="1"/>
  <c r="AJ368" i="4" s="1"/>
  <c r="AH276" i="4"/>
  <c r="AN276" i="4" s="1"/>
  <c r="AJ276" i="4" s="1"/>
  <c r="AH138" i="4"/>
  <c r="AN138" i="4" s="1"/>
  <c r="AJ138" i="4" s="1"/>
  <c r="AH231" i="4"/>
  <c r="AN231" i="4" s="1"/>
  <c r="AJ231" i="4" s="1"/>
  <c r="AH37" i="4"/>
  <c r="AN37" i="4" s="1"/>
  <c r="AJ37" i="4" s="1"/>
  <c r="AH292" i="4"/>
  <c r="AN292" i="4" s="1"/>
  <c r="AJ292" i="4" s="1"/>
  <c r="AH291" i="4"/>
  <c r="AN291" i="4" s="1"/>
  <c r="AJ291" i="4" s="1"/>
  <c r="Z110" i="4"/>
  <c r="Z279" i="4"/>
  <c r="Z32" i="4"/>
  <c r="Y348" i="4"/>
  <c r="Y196" i="4"/>
  <c r="Y32" i="4"/>
  <c r="Y221" i="4"/>
  <c r="Y24" i="4"/>
  <c r="Y294" i="4"/>
  <c r="Y299" i="4"/>
  <c r="Z202" i="4"/>
  <c r="AF139" i="4"/>
  <c r="Z139" i="4"/>
  <c r="Y139" i="4"/>
  <c r="Y202" i="4"/>
  <c r="Y157" i="4"/>
  <c r="AF227" i="4"/>
  <c r="Z227" i="4"/>
  <c r="AF287" i="4"/>
  <c r="Z287" i="4"/>
  <c r="AF217" i="4"/>
  <c r="Z217" i="4"/>
  <c r="AF339" i="4"/>
  <c r="Y339" i="4"/>
  <c r="AA339" i="4" s="1"/>
  <c r="AH157" i="4"/>
  <c r="AN157" i="4" s="1"/>
  <c r="AJ157" i="4" s="1"/>
  <c r="AA187" i="4"/>
  <c r="AF410" i="4"/>
  <c r="Y410" i="4"/>
  <c r="Z410" i="4"/>
  <c r="AF337" i="4"/>
  <c r="AF135" i="4"/>
  <c r="Y135" i="4"/>
  <c r="AA135" i="4" s="1"/>
  <c r="AF269" i="4"/>
  <c r="Z269" i="4"/>
  <c r="AA269" i="4" s="1"/>
  <c r="AF132" i="4"/>
  <c r="Y132" i="4"/>
  <c r="AA132" i="4" s="1"/>
  <c r="AF17" i="4"/>
  <c r="AF293" i="4"/>
  <c r="Z293" i="4"/>
  <c r="AF298" i="4"/>
  <c r="Z298" i="4"/>
  <c r="AF115" i="4"/>
  <c r="Z115" i="4"/>
  <c r="AF19" i="4"/>
  <c r="Y394" i="4"/>
  <c r="AF304" i="4"/>
  <c r="Y304" i="4"/>
  <c r="AA304" i="4" s="1"/>
  <c r="AF20" i="4"/>
  <c r="AF126" i="4"/>
  <c r="Z126" i="4"/>
  <c r="AA126" i="4" s="1"/>
  <c r="AH114" i="4"/>
  <c r="AN114" i="4" s="1"/>
  <c r="AJ114" i="4" s="1"/>
  <c r="AF197" i="4"/>
  <c r="Y197" i="4"/>
  <c r="Z197" i="4"/>
  <c r="AI131" i="4"/>
  <c r="AH131" i="4"/>
  <c r="AN131" i="4" s="1"/>
  <c r="AF359" i="4"/>
  <c r="Z359" i="4"/>
  <c r="AF165" i="4"/>
  <c r="Y165" i="4"/>
  <c r="Z165" i="4"/>
  <c r="AI248" i="4"/>
  <c r="AH248" i="4"/>
  <c r="AN248" i="4" s="1"/>
  <c r="AF283" i="4"/>
  <c r="Z283" i="4"/>
  <c r="AF280" i="4"/>
  <c r="Z280" i="4"/>
  <c r="Y33" i="4"/>
  <c r="AF201" i="4"/>
  <c r="Y201" i="4"/>
  <c r="AA201" i="4" s="1"/>
  <c r="AF103" i="4"/>
  <c r="Y103" i="4"/>
  <c r="AA103" i="4" s="1"/>
  <c r="AF318" i="4"/>
  <c r="Y318" i="4"/>
  <c r="AA318" i="4" s="1"/>
  <c r="Y204" i="4"/>
  <c r="AF18" i="4"/>
  <c r="AF158" i="4"/>
  <c r="Z158" i="4"/>
  <c r="AA158" i="4" s="1"/>
  <c r="Y388" i="4"/>
  <c r="AF39" i="4"/>
  <c r="Y39" i="4"/>
  <c r="Z39" i="4"/>
  <c r="AF70" i="4"/>
  <c r="Z70" i="4"/>
  <c r="AA70" i="4" s="1"/>
  <c r="AF405" i="4"/>
  <c r="Y405" i="4"/>
  <c r="AA405" i="4" s="1"/>
  <c r="AF365" i="4"/>
  <c r="Z365" i="4"/>
  <c r="AF295" i="4"/>
  <c r="Z295" i="4"/>
  <c r="AF127" i="4"/>
  <c r="Z127" i="4"/>
  <c r="AA127" i="4" s="1"/>
  <c r="AF179" i="4"/>
  <c r="Y179" i="4"/>
  <c r="Z179" i="4"/>
  <c r="Z35" i="4"/>
  <c r="AF121" i="4"/>
  <c r="Y121" i="4"/>
  <c r="Z121" i="4"/>
  <c r="AF257" i="4"/>
  <c r="Z257" i="4"/>
  <c r="AF242" i="4"/>
  <c r="Z242" i="4"/>
  <c r="AF374" i="4"/>
  <c r="Z374" i="4"/>
  <c r="AA374" i="4" s="1"/>
  <c r="AF170" i="4"/>
  <c r="Z170" i="4"/>
  <c r="AA170" i="4" s="1"/>
  <c r="AF277" i="4"/>
  <c r="Z277" i="4"/>
  <c r="AF362" i="4"/>
  <c r="Y362" i="4"/>
  <c r="AA362" i="4" s="1"/>
  <c r="AF214" i="4"/>
  <c r="Z214" i="4"/>
  <c r="AF155" i="4"/>
  <c r="Z155" i="4"/>
  <c r="AF387" i="4"/>
  <c r="Y114" i="4"/>
  <c r="AF338" i="4"/>
  <c r="Y338" i="4"/>
  <c r="AF41" i="4"/>
  <c r="Z41" i="4"/>
  <c r="AF195" i="4"/>
  <c r="Y195" i="4"/>
  <c r="Y35" i="4"/>
  <c r="Y227" i="4"/>
  <c r="AI31" i="4"/>
  <c r="AH31" i="4"/>
  <c r="AN31" i="4" s="1"/>
  <c r="Y287" i="4"/>
  <c r="AF342" i="4"/>
  <c r="AF369" i="4"/>
  <c r="Y369" i="4"/>
  <c r="Z369" i="4"/>
  <c r="AF44" i="4"/>
  <c r="Z36" i="4"/>
  <c r="AF36" i="4"/>
  <c r="Y217" i="4"/>
  <c r="AF395" i="4"/>
  <c r="AI142" i="4"/>
  <c r="AH142" i="4"/>
  <c r="AN142" i="4" s="1"/>
  <c r="Z281" i="4"/>
  <c r="Z368" i="4"/>
  <c r="Z124" i="4"/>
  <c r="AF378" i="4"/>
  <c r="Z378" i="4"/>
  <c r="AF116" i="4"/>
  <c r="Z116" i="4"/>
  <c r="AA116" i="4" s="1"/>
  <c r="AF252" i="4"/>
  <c r="Z252" i="4"/>
  <c r="AH154" i="4"/>
  <c r="AN154" i="4" s="1"/>
  <c r="AJ154" i="4" s="1"/>
  <c r="Z134" i="4"/>
  <c r="Z231" i="4"/>
  <c r="Z28" i="4"/>
  <c r="AF28" i="4"/>
  <c r="Z30" i="4"/>
  <c r="AA30" i="4" s="1"/>
  <c r="AF30" i="4"/>
  <c r="Y336" i="4"/>
  <c r="Y193" i="4"/>
  <c r="Y232" i="4"/>
  <c r="Y265" i="4"/>
  <c r="Y302" i="4"/>
  <c r="Z276" i="4"/>
  <c r="Z154" i="4"/>
  <c r="Y194" i="4"/>
  <c r="Y233" i="4"/>
  <c r="Y97" i="4"/>
  <c r="Y310" i="4"/>
  <c r="Y104" i="4"/>
  <c r="Y190" i="4"/>
  <c r="Y189" i="4"/>
  <c r="Y408" i="4"/>
  <c r="Y238" i="4"/>
  <c r="Y156" i="4"/>
  <c r="Y375" i="4"/>
  <c r="Y237" i="4"/>
  <c r="AF166" i="4"/>
  <c r="Y292" i="4"/>
  <c r="AH134" i="4"/>
  <c r="AN134" i="4" s="1"/>
  <c r="AJ134" i="4" s="1"/>
  <c r="Z211" i="4"/>
  <c r="Z250" i="4"/>
  <c r="Z177" i="4"/>
  <c r="Y154" i="4"/>
  <c r="Y281" i="4"/>
  <c r="Y276" i="4"/>
  <c r="Y231" i="4"/>
  <c r="Y363" i="4"/>
  <c r="Y211" i="4"/>
  <c r="Y385" i="4"/>
  <c r="Y124" i="4"/>
  <c r="Y368" i="4"/>
  <c r="Y367" i="4"/>
  <c r="Y134" i="4"/>
  <c r="Y328" i="4"/>
  <c r="Y110" i="4"/>
  <c r="Y177" i="4"/>
  <c r="Y413" i="4"/>
  <c r="Y289" i="4"/>
  <c r="Y352" i="4"/>
  <c r="Y332" i="4"/>
  <c r="Y353" i="4"/>
  <c r="Y412" i="4"/>
  <c r="Y240" i="4"/>
  <c r="Y346" i="4"/>
  <c r="Y275" i="4"/>
  <c r="Y108" i="4"/>
  <c r="AF172" i="4"/>
  <c r="AF228" i="4"/>
  <c r="Z228" i="4"/>
  <c r="AF278" i="4"/>
  <c r="Z278" i="4"/>
  <c r="Y366" i="4"/>
  <c r="AF402" i="4"/>
  <c r="AF249" i="4"/>
  <c r="Z249" i="4"/>
  <c r="AF251" i="4"/>
  <c r="Z251" i="4"/>
  <c r="AF268" i="4"/>
  <c r="Z268" i="4"/>
  <c r="AF128" i="4"/>
  <c r="Z128" i="4"/>
  <c r="AF230" i="4"/>
  <c r="Z230" i="4"/>
  <c r="AF327" i="4"/>
  <c r="AF122" i="4"/>
  <c r="Z122" i="4"/>
  <c r="AA99" i="4"/>
  <c r="AF239" i="4"/>
  <c r="Z239" i="4"/>
  <c r="AF273" i="4"/>
  <c r="Z273" i="4"/>
  <c r="AF345" i="4"/>
  <c r="AF418" i="4"/>
  <c r="AF208" i="4"/>
  <c r="Z208" i="4"/>
  <c r="AF324" i="4"/>
  <c r="AF209" i="4"/>
  <c r="Z209" i="4"/>
  <c r="AF390" i="4"/>
  <c r="AF325" i="4"/>
  <c r="AF210" i="4"/>
  <c r="Z210" i="4"/>
  <c r="AF266" i="4"/>
  <c r="Z266" i="4"/>
  <c r="AF267" i="4"/>
  <c r="Z267" i="4"/>
  <c r="AF163" i="4"/>
  <c r="Z163" i="4"/>
  <c r="AF246" i="4"/>
  <c r="Z246" i="4"/>
  <c r="AF236" i="4"/>
  <c r="Z236" i="4"/>
  <c r="AF351" i="4"/>
  <c r="AF133" i="4"/>
  <c r="Z133" i="4"/>
  <c r="AF373" i="4"/>
  <c r="Z373" i="4"/>
  <c r="AF270" i="4"/>
  <c r="Z270" i="4"/>
  <c r="AF333" i="4"/>
  <c r="AF258" i="4"/>
  <c r="Z258" i="4"/>
  <c r="AF113" i="4"/>
  <c r="Z113" i="4"/>
  <c r="AF308" i="4"/>
  <c r="Z308" i="4"/>
  <c r="AF38" i="4"/>
  <c r="Z38" i="4"/>
  <c r="AF111" i="4"/>
  <c r="Z111" i="4"/>
  <c r="AF393" i="4"/>
  <c r="AF22" i="4"/>
  <c r="AF392" i="4"/>
  <c r="AF75" i="4"/>
  <c r="Z75" i="4"/>
  <c r="AI99" i="4"/>
  <c r="AH99" i="4"/>
  <c r="AN99" i="4" s="1"/>
  <c r="AF136" i="4"/>
  <c r="Z136" i="4"/>
  <c r="AF120" i="4"/>
  <c r="Z120" i="4"/>
  <c r="AF152" i="4"/>
  <c r="Z152" i="4"/>
  <c r="AF229" i="4"/>
  <c r="Z229" i="4"/>
  <c r="AF272" i="4"/>
  <c r="Z272" i="4"/>
  <c r="AF181" i="4"/>
  <c r="AF56" i="4"/>
  <c r="Z56" i="4"/>
  <c r="AF220" i="4"/>
  <c r="Z220" i="4"/>
  <c r="AF391" i="4"/>
  <c r="AF320" i="4"/>
  <c r="AF300" i="4"/>
  <c r="Z300" i="4"/>
  <c r="AF383" i="4"/>
  <c r="AF400" i="4"/>
  <c r="AF222" i="4"/>
  <c r="Z222" i="4"/>
  <c r="AF224" i="4"/>
  <c r="Z224" i="4"/>
  <c r="AF334" i="4"/>
  <c r="AF218" i="4"/>
  <c r="Z218" i="4"/>
  <c r="AF417" i="4"/>
  <c r="AF384" i="4"/>
  <c r="AF226" i="4"/>
  <c r="Z226" i="4"/>
  <c r="AF284" i="4"/>
  <c r="Z284" i="4"/>
  <c r="AF125" i="4"/>
  <c r="Z125" i="4"/>
  <c r="AF245" i="4"/>
  <c r="Z245" i="4"/>
  <c r="AF354" i="4"/>
  <c r="AF244" i="4"/>
  <c r="Z244" i="4"/>
  <c r="AF399" i="4"/>
  <c r="AF129" i="4"/>
  <c r="Z129" i="4"/>
  <c r="AF254" i="4"/>
  <c r="Z254" i="4"/>
  <c r="Y222" i="4"/>
  <c r="AF307" i="4"/>
  <c r="Z307" i="4"/>
  <c r="AF112" i="4"/>
  <c r="Z112" i="4"/>
  <c r="AF286" i="4"/>
  <c r="Z286" i="4"/>
  <c r="AF329" i="4"/>
  <c r="AF322" i="4"/>
  <c r="AF151" i="4"/>
  <c r="Z151" i="4"/>
  <c r="AF366" i="4"/>
  <c r="Z366" i="4"/>
  <c r="AF243" i="4"/>
  <c r="Z243" i="4"/>
  <c r="AF141" i="4"/>
  <c r="Z141" i="4"/>
  <c r="AF184" i="4"/>
  <c r="Z184" i="4"/>
  <c r="AF290" i="4"/>
  <c r="Z290" i="4"/>
  <c r="AF207" i="4"/>
  <c r="Z207" i="4"/>
  <c r="AF253" i="4"/>
  <c r="Z253" i="4"/>
  <c r="AF282" i="4"/>
  <c r="Z282" i="4"/>
  <c r="AF167" i="4"/>
  <c r="Y254" i="4"/>
  <c r="Y38" i="4"/>
  <c r="AF192" i="4"/>
  <c r="Z192" i="4"/>
  <c r="AF255" i="4"/>
  <c r="Z255" i="4"/>
  <c r="AF323" i="4"/>
  <c r="AF389" i="4"/>
  <c r="AF264" i="4"/>
  <c r="Z264" i="4"/>
  <c r="AF403" i="4"/>
  <c r="AF241" i="4"/>
  <c r="Z241" i="4"/>
  <c r="AF178" i="4"/>
  <c r="Z178" i="4"/>
  <c r="AF234" i="4"/>
  <c r="Z234" i="4"/>
  <c r="AF340" i="4"/>
  <c r="AF117" i="4"/>
  <c r="Z117" i="4"/>
  <c r="AF288" i="4"/>
  <c r="Z288" i="4"/>
  <c r="AF343" i="4"/>
  <c r="AF416" i="4"/>
  <c r="AF260" i="4"/>
  <c r="Z260" i="4"/>
  <c r="AF414" i="4"/>
  <c r="AF109" i="4"/>
  <c r="Z109" i="4"/>
  <c r="AF401" i="4"/>
  <c r="AF263" i="4"/>
  <c r="Z263" i="4"/>
  <c r="AF419" i="4"/>
  <c r="Y249" i="4"/>
  <c r="Y113" i="4"/>
  <c r="AF247" i="4"/>
  <c r="Z247" i="4"/>
  <c r="Y268" i="4"/>
  <c r="Y245" i="4"/>
  <c r="AF101" i="4"/>
  <c r="Z101" i="4"/>
  <c r="AF331" i="4"/>
  <c r="AF215" i="4"/>
  <c r="Z215" i="4"/>
  <c r="AF119" i="4"/>
  <c r="Z119" i="4"/>
  <c r="AF404" i="4"/>
  <c r="AI148" i="4"/>
  <c r="AH148" i="4"/>
  <c r="AN148" i="4" s="1"/>
  <c r="AF357" i="4"/>
  <c r="Z357" i="4"/>
  <c r="AF259" i="4"/>
  <c r="Z259" i="4"/>
  <c r="AF382" i="4"/>
  <c r="AF83" i="4"/>
  <c r="Z83" i="4"/>
  <c r="AF213" i="4"/>
  <c r="Z213" i="4"/>
  <c r="AF16" i="4"/>
  <c r="Y218" i="4"/>
  <c r="Y224" i="4"/>
  <c r="Y283" i="4"/>
  <c r="Y373" i="4"/>
  <c r="Y251" i="4"/>
  <c r="Y246" i="4"/>
  <c r="Y242" i="4"/>
  <c r="Y36" i="4"/>
  <c r="Y129" i="4"/>
  <c r="Y115" i="4"/>
  <c r="Y192" i="4"/>
  <c r="Y213" i="4"/>
  <c r="Y264" i="4"/>
  <c r="Y136" i="4"/>
  <c r="Y207" i="4"/>
  <c r="Y28" i="4"/>
  <c r="Y300" i="4"/>
  <c r="Y295" i="4"/>
  <c r="Y244" i="4"/>
  <c r="Y230" i="4"/>
  <c r="Y260" i="4"/>
  <c r="Y278" i="4"/>
  <c r="Y243" i="4"/>
  <c r="Y239" i="4"/>
  <c r="Y228" i="4"/>
  <c r="Y253" i="4"/>
  <c r="Y359" i="4"/>
  <c r="Y365" i="4"/>
  <c r="Y184" i="4"/>
  <c r="Y122" i="4"/>
  <c r="Y241" i="4"/>
  <c r="Y259" i="4"/>
  <c r="Y263" i="4"/>
  <c r="Y267" i="4"/>
  <c r="Y234" i="4"/>
  <c r="Y178" i="4"/>
  <c r="Y119" i="4"/>
  <c r="Y120" i="4"/>
  <c r="Y112" i="4"/>
  <c r="Y83" i="4"/>
  <c r="Y286" i="4"/>
  <c r="Y229" i="4"/>
  <c r="Y261" i="4"/>
  <c r="Y163" i="4"/>
  <c r="Y125" i="4"/>
  <c r="Y288" i="4"/>
  <c r="T25" i="4"/>
  <c r="AE25" i="4" s="1"/>
  <c r="Y258" i="4"/>
  <c r="Y272" i="4"/>
  <c r="Y117" i="4"/>
  <c r="Y133" i="4"/>
  <c r="Y101" i="4"/>
  <c r="Y357" i="4"/>
  <c r="Y307" i="4"/>
  <c r="Y236" i="4"/>
  <c r="Y220" i="4"/>
  <c r="Y226" i="4"/>
  <c r="Y280" i="4"/>
  <c r="Y270" i="4"/>
  <c r="Y152" i="4"/>
  <c r="Y155" i="4"/>
  <c r="Y41" i="4"/>
  <c r="Y111" i="4"/>
  <c r="Y128" i="4"/>
  <c r="Y308" i="4"/>
  <c r="Y398" i="4"/>
  <c r="Y255" i="4"/>
  <c r="Y349" i="4"/>
  <c r="Y215" i="4"/>
  <c r="Y16" i="4"/>
  <c r="Y252" i="4"/>
  <c r="Y214" i="4"/>
  <c r="Y257" i="4"/>
  <c r="Y75" i="4"/>
  <c r="Y109" i="4"/>
  <c r="Y290" i="4"/>
  <c r="Y282" i="4"/>
  <c r="Y301" i="4"/>
  <c r="Y247" i="4"/>
  <c r="Y293" i="4"/>
  <c r="Y298" i="4"/>
  <c r="Y209" i="4"/>
  <c r="Y266" i="4"/>
  <c r="Y208" i="4"/>
  <c r="Y210" i="4"/>
  <c r="Y277" i="4"/>
  <c r="Y378" i="4"/>
  <c r="Y141" i="4"/>
  <c r="Y56" i="4"/>
  <c r="Y151" i="4"/>
  <c r="Y284" i="4"/>
  <c r="Y273" i="4"/>
  <c r="AA177" i="4" l="1"/>
  <c r="Z421" i="4"/>
  <c r="AA379" i="4"/>
  <c r="W421" i="4"/>
  <c r="AA409" i="4"/>
  <c r="AA256" i="4"/>
  <c r="I428" i="4"/>
  <c r="AA326" i="4"/>
  <c r="AA285" i="4"/>
  <c r="AA292" i="4"/>
  <c r="AA293" i="4"/>
  <c r="AA301" i="4"/>
  <c r="AA205" i="4"/>
  <c r="AA235" i="4"/>
  <c r="AA377" i="4"/>
  <c r="AA380" i="4"/>
  <c r="AA107" i="4"/>
  <c r="Y419" i="4"/>
  <c r="Y421" i="4" s="1"/>
  <c r="AA413" i="4"/>
  <c r="AA160" i="4"/>
  <c r="AA415" i="4"/>
  <c r="AA166" i="4"/>
  <c r="AA119" i="4"/>
  <c r="AA24" i="4"/>
  <c r="AA300" i="4"/>
  <c r="AA189" i="4"/>
  <c r="AA142" i="4"/>
  <c r="AA101" i="4"/>
  <c r="AA199" i="4"/>
  <c r="AA204" i="4"/>
  <c r="AA334" i="4"/>
  <c r="AA305" i="4"/>
  <c r="AA131" i="4"/>
  <c r="AA140" i="4"/>
  <c r="AA310" i="4"/>
  <c r="AA337" i="4"/>
  <c r="AA296" i="4"/>
  <c r="AA247" i="4"/>
  <c r="AA220" i="4"/>
  <c r="AA237" i="4"/>
  <c r="AA418" i="4"/>
  <c r="AA219" i="4"/>
  <c r="AA190" i="4"/>
  <c r="AA262" i="4"/>
  <c r="AA306" i="4"/>
  <c r="AA328" i="4"/>
  <c r="AA396" i="4"/>
  <c r="AA361" i="4"/>
  <c r="AA20" i="4"/>
  <c r="AA188" i="4"/>
  <c r="AA274" i="4"/>
  <c r="AA223" i="4"/>
  <c r="AA327" i="4"/>
  <c r="AA124" i="4"/>
  <c r="AA338" i="4"/>
  <c r="AA183" i="4"/>
  <c r="AA105" i="4"/>
  <c r="AH326" i="4"/>
  <c r="AN326" i="4" s="1"/>
  <c r="AJ326" i="4" s="1"/>
  <c r="AA137" i="4"/>
  <c r="AA412" i="4"/>
  <c r="AA349" i="4"/>
  <c r="AA198" i="4"/>
  <c r="AA357" i="4"/>
  <c r="AA302" i="4"/>
  <c r="AA289" i="4"/>
  <c r="AA351" i="4"/>
  <c r="AA159" i="4"/>
  <c r="AA266" i="4"/>
  <c r="AA290" i="4"/>
  <c r="AA108" i="4"/>
  <c r="AH385" i="4"/>
  <c r="AN385" i="4" s="1"/>
  <c r="AJ385" i="4" s="1"/>
  <c r="AA353" i="4"/>
  <c r="AA221" i="4"/>
  <c r="AA224" i="4"/>
  <c r="AA278" i="4"/>
  <c r="AA275" i="4"/>
  <c r="AA196" i="4"/>
  <c r="AA309" i="4"/>
  <c r="AA225" i="4"/>
  <c r="AA136" i="4"/>
  <c r="AA291" i="4"/>
  <c r="AA197" i="4"/>
  <c r="AA346" i="4"/>
  <c r="AA360" i="4"/>
  <c r="AA398" i="4"/>
  <c r="AA156" i="4"/>
  <c r="AA299" i="4"/>
  <c r="AA397" i="4"/>
  <c r="AA130" i="4"/>
  <c r="AA294" i="4"/>
  <c r="AA34" i="4"/>
  <c r="AA281" i="4"/>
  <c r="AA19" i="4"/>
  <c r="AA414" i="4"/>
  <c r="AA216" i="4"/>
  <c r="AA240" i="4"/>
  <c r="AA265" i="4"/>
  <c r="AI347" i="4"/>
  <c r="AJ347" i="4" s="1"/>
  <c r="AA153" i="4"/>
  <c r="AA280" i="4"/>
  <c r="AA164" i="4"/>
  <c r="AH346" i="4"/>
  <c r="AN346" i="4" s="1"/>
  <c r="AJ346" i="4" s="1"/>
  <c r="AA407" i="4"/>
  <c r="AA234" i="4"/>
  <c r="AA110" i="4"/>
  <c r="AA363" i="4"/>
  <c r="AA233" i="4"/>
  <c r="AA193" i="4"/>
  <c r="AA388" i="4"/>
  <c r="AH394" i="4"/>
  <c r="AN394" i="4" s="1"/>
  <c r="AJ394" i="4" s="1"/>
  <c r="AA102" i="4"/>
  <c r="AA344" i="4"/>
  <c r="AA228" i="4"/>
  <c r="AA277" i="4"/>
  <c r="AA282" i="4"/>
  <c r="AA215" i="4"/>
  <c r="AA36" i="4"/>
  <c r="AA368" i="4"/>
  <c r="AA238" i="4"/>
  <c r="AA212" i="4"/>
  <c r="AA288" i="4"/>
  <c r="AA261" i="4"/>
  <c r="AA112" i="4"/>
  <c r="AA203" i="4"/>
  <c r="AA114" i="4"/>
  <c r="AA394" i="4"/>
  <c r="AA37" i="4"/>
  <c r="AA200" i="4"/>
  <c r="AA42" i="4"/>
  <c r="AA342" i="4"/>
  <c r="AA387" i="4"/>
  <c r="AA18" i="4"/>
  <c r="AA226" i="4"/>
  <c r="AA408" i="4"/>
  <c r="AA184" i="4"/>
  <c r="AA297" i="4"/>
  <c r="AA365" i="4"/>
  <c r="AA245" i="4"/>
  <c r="AA364" i="4"/>
  <c r="AA352" i="4"/>
  <c r="AA194" i="4"/>
  <c r="AA287" i="4"/>
  <c r="AA33" i="4"/>
  <c r="AA252" i="4"/>
  <c r="AA272" i="4"/>
  <c r="AA178" i="4"/>
  <c r="AA359" i="4"/>
  <c r="AA416" i="4"/>
  <c r="AA376" i="4"/>
  <c r="AI21" i="4"/>
  <c r="AJ21" i="4" s="1"/>
  <c r="AA276" i="4"/>
  <c r="AH40" i="4"/>
  <c r="AN40" i="4" s="1"/>
  <c r="AJ40" i="4" s="1"/>
  <c r="AA31" i="4"/>
  <c r="AA176" i="4"/>
  <c r="AA411" i="4"/>
  <c r="AA151" i="4"/>
  <c r="AA173" i="4"/>
  <c r="AA165" i="4"/>
  <c r="AI352" i="4"/>
  <c r="AH352" i="4"/>
  <c r="AN352" i="4" s="1"/>
  <c r="AI182" i="4"/>
  <c r="AH182" i="4"/>
  <c r="AN182" i="4" s="1"/>
  <c r="AI397" i="4"/>
  <c r="AH397" i="4"/>
  <c r="AN397" i="4" s="1"/>
  <c r="AI336" i="4"/>
  <c r="AH336" i="4"/>
  <c r="AN336" i="4" s="1"/>
  <c r="AI321" i="4"/>
  <c r="AH321" i="4"/>
  <c r="AN321" i="4" s="1"/>
  <c r="AA214" i="4"/>
  <c r="AA249" i="4"/>
  <c r="AA385" i="4"/>
  <c r="AJ142" i="4"/>
  <c r="AI341" i="4"/>
  <c r="AH341" i="4"/>
  <c r="AN341" i="4" s="1"/>
  <c r="AI348" i="4"/>
  <c r="AH348" i="4"/>
  <c r="AN348" i="4" s="1"/>
  <c r="AI332" i="4"/>
  <c r="AH332" i="4"/>
  <c r="AN332" i="4" s="1"/>
  <c r="AA106" i="4"/>
  <c r="AA391" i="4"/>
  <c r="AA133" i="4"/>
  <c r="AA38" i="4"/>
  <c r="AA333" i="4"/>
  <c r="AA32" i="4"/>
  <c r="AA172" i="4"/>
  <c r="AA332" i="4"/>
  <c r="AH344" i="4"/>
  <c r="AN344" i="4" s="1"/>
  <c r="AJ344" i="4" s="1"/>
  <c r="AA348" i="4"/>
  <c r="AI335" i="4"/>
  <c r="AH335" i="4"/>
  <c r="AN335" i="4" s="1"/>
  <c r="AA104" i="4"/>
  <c r="AI330" i="4"/>
  <c r="AH330" i="4"/>
  <c r="AN330" i="4" s="1"/>
  <c r="AI413" i="4"/>
  <c r="AH413" i="4"/>
  <c r="AN413" i="4" s="1"/>
  <c r="AA125" i="4"/>
  <c r="AA207" i="4"/>
  <c r="AA283" i="4"/>
  <c r="AI349" i="4"/>
  <c r="AH349" i="4"/>
  <c r="AN349" i="4" s="1"/>
  <c r="AI353" i="4"/>
  <c r="AH353" i="4"/>
  <c r="AN353" i="4" s="1"/>
  <c r="AA303" i="4"/>
  <c r="AA330" i="4"/>
  <c r="AI388" i="4"/>
  <c r="AH388" i="4"/>
  <c r="AN388" i="4" s="1"/>
  <c r="AI23" i="4"/>
  <c r="AH23" i="4"/>
  <c r="AN23" i="4" s="1"/>
  <c r="AI24" i="4"/>
  <c r="AH24" i="4"/>
  <c r="AN24" i="4" s="1"/>
  <c r="AI412" i="4"/>
  <c r="AH412" i="4"/>
  <c r="AN412" i="4" s="1"/>
  <c r="AI350" i="4"/>
  <c r="AH350" i="4"/>
  <c r="AN350" i="4" s="1"/>
  <c r="AA347" i="4"/>
  <c r="AA185" i="4"/>
  <c r="AA358" i="4"/>
  <c r="AA123" i="4"/>
  <c r="AI396" i="4"/>
  <c r="AH396" i="4"/>
  <c r="AN396" i="4" s="1"/>
  <c r="AI407" i="4"/>
  <c r="AH407" i="4"/>
  <c r="AN407" i="4" s="1"/>
  <c r="AI175" i="4"/>
  <c r="AH175" i="4"/>
  <c r="AN175" i="4" s="1"/>
  <c r="AA97" i="4"/>
  <c r="AA375" i="4"/>
  <c r="AA257" i="4"/>
  <c r="AA29" i="4"/>
  <c r="AA367" i="4"/>
  <c r="AA139" i="4"/>
  <c r="AI169" i="4"/>
  <c r="AH169" i="4"/>
  <c r="AN169" i="4" s="1"/>
  <c r="AI398" i="4"/>
  <c r="AH398" i="4"/>
  <c r="AN398" i="4" s="1"/>
  <c r="AI328" i="4"/>
  <c r="AH328" i="4"/>
  <c r="AN328" i="4" s="1"/>
  <c r="AI386" i="4"/>
  <c r="AH386" i="4"/>
  <c r="AN386" i="4" s="1"/>
  <c r="AA410" i="4"/>
  <c r="AA378" i="4"/>
  <c r="AA208" i="4"/>
  <c r="AA35" i="4"/>
  <c r="AA213" i="4"/>
  <c r="AA242" i="4"/>
  <c r="AA192" i="4"/>
  <c r="AA138" i="4"/>
  <c r="AA157" i="4"/>
  <c r="AA323" i="4"/>
  <c r="AA241" i="4"/>
  <c r="AA179" i="4"/>
  <c r="AA395" i="4"/>
  <c r="AA258" i="4"/>
  <c r="AA154" i="4"/>
  <c r="AA295" i="4"/>
  <c r="AA417" i="4"/>
  <c r="AA155" i="4"/>
  <c r="AA279" i="4"/>
  <c r="AJ99" i="4"/>
  <c r="AJ31" i="4"/>
  <c r="AJ131" i="4"/>
  <c r="AA118" i="4"/>
  <c r="AI342" i="4"/>
  <c r="AH342" i="4"/>
  <c r="AN342" i="4" s="1"/>
  <c r="AI165" i="4"/>
  <c r="AH165" i="4"/>
  <c r="AN165" i="4" s="1"/>
  <c r="AI269" i="4"/>
  <c r="AH269" i="4"/>
  <c r="AN269" i="4" s="1"/>
  <c r="AI116" i="4"/>
  <c r="AH116" i="4"/>
  <c r="AN116" i="4" s="1"/>
  <c r="AA260" i="4"/>
  <c r="AA393" i="4"/>
  <c r="AI166" i="4"/>
  <c r="AH166" i="4"/>
  <c r="AN166" i="4" s="1"/>
  <c r="AI362" i="4"/>
  <c r="AH362" i="4"/>
  <c r="AN362" i="4" s="1"/>
  <c r="AI121" i="4"/>
  <c r="AH121" i="4"/>
  <c r="AN121" i="4" s="1"/>
  <c r="AI359" i="4"/>
  <c r="AH359" i="4"/>
  <c r="AN359" i="4" s="1"/>
  <c r="AI293" i="4"/>
  <c r="AH293" i="4"/>
  <c r="AN293" i="4" s="1"/>
  <c r="AI135" i="4"/>
  <c r="AH135" i="4"/>
  <c r="AN135" i="4" s="1"/>
  <c r="AI227" i="4"/>
  <c r="AH227" i="4"/>
  <c r="AN227" i="4" s="1"/>
  <c r="AA399" i="4"/>
  <c r="AA117" i="4"/>
  <c r="AA44" i="4"/>
  <c r="AA402" i="4"/>
  <c r="AA336" i="4"/>
  <c r="AA254" i="4"/>
  <c r="AA39" i="4"/>
  <c r="AI378" i="4"/>
  <c r="AH378" i="4"/>
  <c r="AN378" i="4" s="1"/>
  <c r="AI41" i="4"/>
  <c r="AH41" i="4"/>
  <c r="AN41" i="4" s="1"/>
  <c r="AI387" i="4"/>
  <c r="AH387" i="4"/>
  <c r="AN387" i="4" s="1"/>
  <c r="AI374" i="4"/>
  <c r="AH374" i="4"/>
  <c r="AN374" i="4" s="1"/>
  <c r="AI127" i="4"/>
  <c r="AH127" i="4"/>
  <c r="AN127" i="4" s="1"/>
  <c r="AI405" i="4"/>
  <c r="AH405" i="4"/>
  <c r="AN405" i="4" s="1"/>
  <c r="AI318" i="4"/>
  <c r="AH318" i="4"/>
  <c r="AN318" i="4" s="1"/>
  <c r="AI283" i="4"/>
  <c r="AH283" i="4"/>
  <c r="AN283" i="4" s="1"/>
  <c r="AI126" i="4"/>
  <c r="AH126" i="4"/>
  <c r="AN126" i="4" s="1"/>
  <c r="AI298" i="4"/>
  <c r="AH298" i="4"/>
  <c r="AN298" i="4" s="1"/>
  <c r="AI217" i="4"/>
  <c r="AH217" i="4"/>
  <c r="AN217" i="4" s="1"/>
  <c r="AA324" i="4"/>
  <c r="AA382" i="4"/>
  <c r="AA384" i="4"/>
  <c r="AA286" i="4"/>
  <c r="AA122" i="4"/>
  <c r="AA244" i="4"/>
  <c r="AA115" i="4"/>
  <c r="AA246" i="4"/>
  <c r="AA373" i="4"/>
  <c r="AA195" i="4"/>
  <c r="AA113" i="4"/>
  <c r="AA354" i="4"/>
  <c r="AA222" i="4"/>
  <c r="AI395" i="4"/>
  <c r="AH395" i="4"/>
  <c r="AN395" i="4" s="1"/>
  <c r="AI369" i="4"/>
  <c r="AH369" i="4"/>
  <c r="AN369" i="4" s="1"/>
  <c r="AA227" i="4"/>
  <c r="AI277" i="4"/>
  <c r="AH277" i="4"/>
  <c r="AN277" i="4" s="1"/>
  <c r="AI158" i="4"/>
  <c r="AH158" i="4"/>
  <c r="AN158" i="4" s="1"/>
  <c r="AJ248" i="4"/>
  <c r="AI17" i="4"/>
  <c r="AH17" i="4"/>
  <c r="AN17" i="4" s="1"/>
  <c r="AI337" i="4"/>
  <c r="AH337" i="4"/>
  <c r="AN337" i="4" s="1"/>
  <c r="AI287" i="4"/>
  <c r="AH287" i="4"/>
  <c r="AN287" i="4" s="1"/>
  <c r="AA202" i="4"/>
  <c r="AA217" i="4"/>
  <c r="AA121" i="4"/>
  <c r="AI410" i="4"/>
  <c r="AH410" i="4"/>
  <c r="AN410" i="4" s="1"/>
  <c r="AA134" i="4"/>
  <c r="AI278" i="4"/>
  <c r="AH278" i="4"/>
  <c r="AN278" i="4" s="1"/>
  <c r="AI30" i="4"/>
  <c r="AH30" i="4"/>
  <c r="AN30" i="4" s="1"/>
  <c r="AI155" i="4"/>
  <c r="AH155" i="4"/>
  <c r="AN155" i="4" s="1"/>
  <c r="AI242" i="4"/>
  <c r="AH242" i="4"/>
  <c r="AN242" i="4" s="1"/>
  <c r="AI295" i="4"/>
  <c r="AH295" i="4"/>
  <c r="AN295" i="4" s="1"/>
  <c r="AI103" i="4"/>
  <c r="AH103" i="4"/>
  <c r="AN103" i="4" s="1"/>
  <c r="AI18" i="4"/>
  <c r="AH18" i="4"/>
  <c r="AN18" i="4" s="1"/>
  <c r="AI172" i="4"/>
  <c r="AH172" i="4"/>
  <c r="AN172" i="4" s="1"/>
  <c r="AA229" i="4"/>
  <c r="AA263" i="4"/>
  <c r="AA239" i="4"/>
  <c r="AA259" i="4"/>
  <c r="AA369" i="4"/>
  <c r="AA268" i="4"/>
  <c r="AA231" i="4"/>
  <c r="AA232" i="4"/>
  <c r="AI36" i="4"/>
  <c r="AH36" i="4"/>
  <c r="AN36" i="4" s="1"/>
  <c r="AI338" i="4"/>
  <c r="AH338" i="4"/>
  <c r="AN338" i="4" s="1"/>
  <c r="AI170" i="4"/>
  <c r="AH170" i="4"/>
  <c r="AN170" i="4" s="1"/>
  <c r="AI70" i="4"/>
  <c r="AH70" i="4"/>
  <c r="AN70" i="4" s="1"/>
  <c r="AH20" i="4"/>
  <c r="AN20" i="4" s="1"/>
  <c r="AI20" i="4"/>
  <c r="AI132" i="4"/>
  <c r="AH132" i="4"/>
  <c r="AN132" i="4" s="1"/>
  <c r="AI304" i="4"/>
  <c r="AH304" i="4"/>
  <c r="AN304" i="4" s="1"/>
  <c r="AA250" i="4"/>
  <c r="AA28" i="4"/>
  <c r="AH44" i="4"/>
  <c r="AN44" i="4" s="1"/>
  <c r="AI44" i="4"/>
  <c r="AI195" i="4"/>
  <c r="AH195" i="4"/>
  <c r="AN195" i="4" s="1"/>
  <c r="AI179" i="4"/>
  <c r="AH179" i="4"/>
  <c r="AN179" i="4" s="1"/>
  <c r="AI39" i="4"/>
  <c r="AH39" i="4"/>
  <c r="AN39" i="4" s="1"/>
  <c r="AI201" i="4"/>
  <c r="AH201" i="4"/>
  <c r="AN201" i="4" s="1"/>
  <c r="AI115" i="4"/>
  <c r="AH115" i="4"/>
  <c r="AN115" i="4" s="1"/>
  <c r="AA273" i="4"/>
  <c r="AA366" i="4"/>
  <c r="AA298" i="4"/>
  <c r="AA325" i="4"/>
  <c r="AA41" i="4"/>
  <c r="AA210" i="4"/>
  <c r="AA163" i="4"/>
  <c r="AA22" i="4"/>
  <c r="AI228" i="4"/>
  <c r="AH228" i="4"/>
  <c r="AN228" i="4" s="1"/>
  <c r="AA211" i="4"/>
  <c r="AI28" i="4"/>
  <c r="AH28" i="4"/>
  <c r="AN28" i="4" s="1"/>
  <c r="AI252" i="4"/>
  <c r="AH252" i="4"/>
  <c r="AN252" i="4" s="1"/>
  <c r="AI214" i="4"/>
  <c r="AH214" i="4"/>
  <c r="AN214" i="4" s="1"/>
  <c r="AI257" i="4"/>
  <c r="AH257" i="4"/>
  <c r="AN257" i="4" s="1"/>
  <c r="AI365" i="4"/>
  <c r="AH365" i="4"/>
  <c r="AN365" i="4" s="1"/>
  <c r="AI280" i="4"/>
  <c r="AH280" i="4"/>
  <c r="AN280" i="4" s="1"/>
  <c r="AI197" i="4"/>
  <c r="AH197" i="4"/>
  <c r="AN197" i="4" s="1"/>
  <c r="AH19" i="4"/>
  <c r="AN19" i="4" s="1"/>
  <c r="AI19" i="4"/>
  <c r="AI339" i="4"/>
  <c r="AH339" i="4"/>
  <c r="AN339" i="4" s="1"/>
  <c r="AI139" i="4"/>
  <c r="AH139" i="4"/>
  <c r="AN139" i="4" s="1"/>
  <c r="AA181" i="4"/>
  <c r="AA400" i="4"/>
  <c r="AA392" i="4"/>
  <c r="AA320" i="4"/>
  <c r="AA236" i="4"/>
  <c r="AA83" i="4"/>
  <c r="AA129" i="4"/>
  <c r="AA128" i="4"/>
  <c r="AA109" i="4"/>
  <c r="AA383" i="4"/>
  <c r="AA345" i="4"/>
  <c r="AA243" i="4"/>
  <c r="AA331" i="4"/>
  <c r="AA209" i="4"/>
  <c r="AA270" i="4"/>
  <c r="AA120" i="4"/>
  <c r="AI125" i="4"/>
  <c r="AH125" i="4"/>
  <c r="AN125" i="4" s="1"/>
  <c r="AI258" i="4"/>
  <c r="AH258" i="4"/>
  <c r="AN258" i="4" s="1"/>
  <c r="AI327" i="4"/>
  <c r="AH327" i="4"/>
  <c r="AN327" i="4" s="1"/>
  <c r="AA56" i="4"/>
  <c r="AI401" i="4"/>
  <c r="AH401" i="4"/>
  <c r="AN401" i="4" s="1"/>
  <c r="AI253" i="4"/>
  <c r="AH253" i="4"/>
  <c r="AN253" i="4" s="1"/>
  <c r="AI284" i="4"/>
  <c r="AH284" i="4"/>
  <c r="AN284" i="4" s="1"/>
  <c r="AI351" i="4"/>
  <c r="AH351" i="4"/>
  <c r="AN351" i="4" s="1"/>
  <c r="AI83" i="4"/>
  <c r="AH83" i="4"/>
  <c r="AN83" i="4" s="1"/>
  <c r="AI163" i="4"/>
  <c r="AH163" i="4"/>
  <c r="AN163" i="4" s="1"/>
  <c r="AI239" i="4"/>
  <c r="AH239" i="4"/>
  <c r="AN239" i="4" s="1"/>
  <c r="AI404" i="4"/>
  <c r="AH404" i="4"/>
  <c r="AN404" i="4" s="1"/>
  <c r="AI254" i="4"/>
  <c r="AH254" i="4"/>
  <c r="AN254" i="4" s="1"/>
  <c r="AI218" i="4"/>
  <c r="AH218" i="4"/>
  <c r="AN218" i="4" s="1"/>
  <c r="AI308" i="4"/>
  <c r="AH308" i="4"/>
  <c r="AN308" i="4" s="1"/>
  <c r="AI333" i="4"/>
  <c r="AH333" i="4"/>
  <c r="AN333" i="4" s="1"/>
  <c r="AI267" i="4"/>
  <c r="AH267" i="4"/>
  <c r="AN267" i="4" s="1"/>
  <c r="AI418" i="4"/>
  <c r="AH418" i="4"/>
  <c r="AN418" i="4" s="1"/>
  <c r="AA111" i="4"/>
  <c r="AA267" i="4"/>
  <c r="AI109" i="4"/>
  <c r="AH109" i="4"/>
  <c r="AN109" i="4" s="1"/>
  <c r="AI343" i="4"/>
  <c r="AH343" i="4"/>
  <c r="AN343" i="4" s="1"/>
  <c r="AI234" i="4"/>
  <c r="AH234" i="4"/>
  <c r="AN234" i="4" s="1"/>
  <c r="AI264" i="4"/>
  <c r="AH264" i="4"/>
  <c r="AN264" i="4" s="1"/>
  <c r="AI192" i="4"/>
  <c r="AH192" i="4"/>
  <c r="AN192" i="4" s="1"/>
  <c r="AI207" i="4"/>
  <c r="AH207" i="4"/>
  <c r="AN207" i="4" s="1"/>
  <c r="AI243" i="4"/>
  <c r="AH243" i="4"/>
  <c r="AN243" i="4" s="1"/>
  <c r="AI329" i="4"/>
  <c r="AH329" i="4"/>
  <c r="AN329" i="4" s="1"/>
  <c r="AI320" i="4"/>
  <c r="AH320" i="4"/>
  <c r="AN320" i="4" s="1"/>
  <c r="AI181" i="4"/>
  <c r="AH181" i="4"/>
  <c r="AN181" i="4" s="1"/>
  <c r="AI120" i="4"/>
  <c r="AH120" i="4"/>
  <c r="AN120" i="4" s="1"/>
  <c r="AI392" i="4"/>
  <c r="AH392" i="4"/>
  <c r="AN392" i="4" s="1"/>
  <c r="AI111" i="4"/>
  <c r="AH111" i="4"/>
  <c r="AN111" i="4" s="1"/>
  <c r="AI222" i="4"/>
  <c r="AH222" i="4"/>
  <c r="AN222" i="4" s="1"/>
  <c r="AI208" i="4"/>
  <c r="AH208" i="4"/>
  <c r="AN208" i="4" s="1"/>
  <c r="AI340" i="4"/>
  <c r="AH340" i="4"/>
  <c r="AN340" i="4" s="1"/>
  <c r="AI322" i="4"/>
  <c r="AH322" i="4"/>
  <c r="AN322" i="4" s="1"/>
  <c r="AI152" i="4"/>
  <c r="AH152" i="4"/>
  <c r="AN152" i="4" s="1"/>
  <c r="AA141" i="4"/>
  <c r="AI400" i="4"/>
  <c r="AH400" i="4"/>
  <c r="AN400" i="4" s="1"/>
  <c r="AA403" i="4"/>
  <c r="AA404" i="4"/>
  <c r="AA253" i="4"/>
  <c r="AI259" i="4"/>
  <c r="AH259" i="4"/>
  <c r="AN259" i="4" s="1"/>
  <c r="AI129" i="4"/>
  <c r="AH129" i="4"/>
  <c r="AN129" i="4" s="1"/>
  <c r="AI245" i="4"/>
  <c r="AH245" i="4"/>
  <c r="AN245" i="4" s="1"/>
  <c r="AI226" i="4"/>
  <c r="AH226" i="4"/>
  <c r="AN226" i="4" s="1"/>
  <c r="AI334" i="4"/>
  <c r="AH334" i="4"/>
  <c r="AN334" i="4" s="1"/>
  <c r="AI383" i="4"/>
  <c r="AH383" i="4"/>
  <c r="AN383" i="4" s="1"/>
  <c r="AI22" i="4"/>
  <c r="AH22" i="4"/>
  <c r="AN22" i="4" s="1"/>
  <c r="AI270" i="4"/>
  <c r="AH270" i="4"/>
  <c r="AN270" i="4" s="1"/>
  <c r="AI236" i="4"/>
  <c r="AH236" i="4"/>
  <c r="AN236" i="4" s="1"/>
  <c r="AI266" i="4"/>
  <c r="AH266" i="4"/>
  <c r="AN266" i="4" s="1"/>
  <c r="AI209" i="4"/>
  <c r="AH209" i="4"/>
  <c r="AN209" i="4" s="1"/>
  <c r="AI345" i="4"/>
  <c r="AH345" i="4"/>
  <c r="AN345" i="4" s="1"/>
  <c r="AI128" i="4"/>
  <c r="AH128" i="4"/>
  <c r="AN128" i="4" s="1"/>
  <c r="AI249" i="4"/>
  <c r="AH249" i="4"/>
  <c r="AN249" i="4" s="1"/>
  <c r="AI215" i="4"/>
  <c r="AH215" i="4"/>
  <c r="AN215" i="4" s="1"/>
  <c r="AI417" i="4"/>
  <c r="AH417" i="4"/>
  <c r="AN417" i="4" s="1"/>
  <c r="AI325" i="4"/>
  <c r="AH325" i="4"/>
  <c r="AN325" i="4" s="1"/>
  <c r="AI416" i="4"/>
  <c r="AH416" i="4"/>
  <c r="AN416" i="4" s="1"/>
  <c r="AI255" i="4"/>
  <c r="AH255" i="4"/>
  <c r="AN255" i="4" s="1"/>
  <c r="AI141" i="4"/>
  <c r="AH141" i="4"/>
  <c r="AN141" i="4" s="1"/>
  <c r="AI56" i="4"/>
  <c r="AH56" i="4"/>
  <c r="AN56" i="4" s="1"/>
  <c r="AI230" i="4"/>
  <c r="AH230" i="4"/>
  <c r="AN230" i="4" s="1"/>
  <c r="AA255" i="4"/>
  <c r="AA343" i="4"/>
  <c r="AA307" i="4"/>
  <c r="AA340" i="4"/>
  <c r="AA251" i="4"/>
  <c r="AI419" i="4"/>
  <c r="AH419" i="4"/>
  <c r="AN419" i="4" s="1"/>
  <c r="AI414" i="4"/>
  <c r="AH414" i="4"/>
  <c r="AN414" i="4" s="1"/>
  <c r="AI288" i="4"/>
  <c r="AH288" i="4"/>
  <c r="AN288" i="4" s="1"/>
  <c r="AI178" i="4"/>
  <c r="AH178" i="4"/>
  <c r="AN178" i="4" s="1"/>
  <c r="AI389" i="4"/>
  <c r="AH389" i="4"/>
  <c r="AN389" i="4" s="1"/>
  <c r="AI167" i="4"/>
  <c r="AH167" i="4"/>
  <c r="AN167" i="4" s="1"/>
  <c r="AI290" i="4"/>
  <c r="AH290" i="4"/>
  <c r="AN290" i="4" s="1"/>
  <c r="AI366" i="4"/>
  <c r="AH366" i="4"/>
  <c r="AN366" i="4" s="1"/>
  <c r="AI286" i="4"/>
  <c r="AH286" i="4"/>
  <c r="AN286" i="4" s="1"/>
  <c r="AI391" i="4"/>
  <c r="AH391" i="4"/>
  <c r="AN391" i="4" s="1"/>
  <c r="AI272" i="4"/>
  <c r="AH272" i="4"/>
  <c r="AN272" i="4" s="1"/>
  <c r="AI136" i="4"/>
  <c r="AH136" i="4"/>
  <c r="AN136" i="4" s="1"/>
  <c r="AI38" i="4"/>
  <c r="AH38" i="4"/>
  <c r="AN38" i="4" s="1"/>
  <c r="AI244" i="4"/>
  <c r="AH244" i="4"/>
  <c r="AN244" i="4" s="1"/>
  <c r="AI133" i="4"/>
  <c r="AH133" i="4"/>
  <c r="AN133" i="4" s="1"/>
  <c r="AI403" i="4"/>
  <c r="AH403" i="4"/>
  <c r="AN403" i="4" s="1"/>
  <c r="AI307" i="4"/>
  <c r="AH307" i="4"/>
  <c r="AN307" i="4" s="1"/>
  <c r="AI75" i="4"/>
  <c r="AH75" i="4"/>
  <c r="AN75" i="4" s="1"/>
  <c r="AA75" i="4"/>
  <c r="AI382" i="4"/>
  <c r="AH382" i="4"/>
  <c r="AN382" i="4" s="1"/>
  <c r="AI331" i="4"/>
  <c r="AH331" i="4"/>
  <c r="AN331" i="4" s="1"/>
  <c r="AI354" i="4"/>
  <c r="AH354" i="4"/>
  <c r="AN354" i="4" s="1"/>
  <c r="AI390" i="4"/>
  <c r="AH390" i="4"/>
  <c r="AN390" i="4" s="1"/>
  <c r="AA264" i="4"/>
  <c r="AA322" i="4"/>
  <c r="AI213" i="4"/>
  <c r="AH213" i="4"/>
  <c r="AN213" i="4" s="1"/>
  <c r="AI357" i="4"/>
  <c r="AH357" i="4"/>
  <c r="AN357" i="4" s="1"/>
  <c r="AI119" i="4"/>
  <c r="AH119" i="4"/>
  <c r="AN119" i="4" s="1"/>
  <c r="AI101" i="4"/>
  <c r="AH101" i="4"/>
  <c r="AN101" i="4" s="1"/>
  <c r="AI399" i="4"/>
  <c r="AH399" i="4"/>
  <c r="AN399" i="4" s="1"/>
  <c r="AI384" i="4"/>
  <c r="AH384" i="4"/>
  <c r="AN384" i="4" s="1"/>
  <c r="AI224" i="4"/>
  <c r="AH224" i="4"/>
  <c r="AN224" i="4" s="1"/>
  <c r="AI300" i="4"/>
  <c r="AH300" i="4"/>
  <c r="AN300" i="4" s="1"/>
  <c r="AI113" i="4"/>
  <c r="AH113" i="4"/>
  <c r="AN113" i="4" s="1"/>
  <c r="AI373" i="4"/>
  <c r="AH373" i="4"/>
  <c r="AN373" i="4" s="1"/>
  <c r="AI246" i="4"/>
  <c r="AH246" i="4"/>
  <c r="AN246" i="4" s="1"/>
  <c r="AI210" i="4"/>
  <c r="AH210" i="4"/>
  <c r="AN210" i="4" s="1"/>
  <c r="AI324" i="4"/>
  <c r="AH324" i="4"/>
  <c r="AN324" i="4" s="1"/>
  <c r="AI273" i="4"/>
  <c r="AH273" i="4"/>
  <c r="AN273" i="4" s="1"/>
  <c r="AI122" i="4"/>
  <c r="AH122" i="4"/>
  <c r="AN122" i="4" s="1"/>
  <c r="AI268" i="4"/>
  <c r="AH268" i="4"/>
  <c r="AN268" i="4" s="1"/>
  <c r="AI402" i="4"/>
  <c r="AH402" i="4"/>
  <c r="AN402" i="4" s="1"/>
  <c r="AI251" i="4"/>
  <c r="AH251" i="4"/>
  <c r="AN251" i="4" s="1"/>
  <c r="AA284" i="4"/>
  <c r="AA401" i="4"/>
  <c r="AA308" i="4"/>
  <c r="AA152" i="4"/>
  <c r="AA390" i="4"/>
  <c r="AA329" i="4"/>
  <c r="AA230" i="4"/>
  <c r="AA167" i="4"/>
  <c r="AA218" i="4"/>
  <c r="AJ148" i="4"/>
  <c r="AI247" i="4"/>
  <c r="AH247" i="4"/>
  <c r="AN247" i="4" s="1"/>
  <c r="AI263" i="4"/>
  <c r="AH263" i="4"/>
  <c r="AN263" i="4" s="1"/>
  <c r="AI260" i="4"/>
  <c r="AH260" i="4"/>
  <c r="AN260" i="4" s="1"/>
  <c r="AI117" i="4"/>
  <c r="AH117" i="4"/>
  <c r="AN117" i="4" s="1"/>
  <c r="AI241" i="4"/>
  <c r="AH241" i="4"/>
  <c r="AN241" i="4" s="1"/>
  <c r="AI323" i="4"/>
  <c r="AH323" i="4"/>
  <c r="AN323" i="4" s="1"/>
  <c r="AI282" i="4"/>
  <c r="AH282" i="4"/>
  <c r="AN282" i="4" s="1"/>
  <c r="AI184" i="4"/>
  <c r="AH184" i="4"/>
  <c r="AN184" i="4" s="1"/>
  <c r="AI151" i="4"/>
  <c r="AH151" i="4"/>
  <c r="AN151" i="4" s="1"/>
  <c r="AI112" i="4"/>
  <c r="AH112" i="4"/>
  <c r="AN112" i="4" s="1"/>
  <c r="AI220" i="4"/>
  <c r="AH220" i="4"/>
  <c r="AN220" i="4" s="1"/>
  <c r="AI229" i="4"/>
  <c r="AH229" i="4"/>
  <c r="AN229" i="4" s="1"/>
  <c r="AI393" i="4"/>
  <c r="AH393" i="4"/>
  <c r="AN393" i="4" s="1"/>
  <c r="AA16" i="4"/>
  <c r="AI16" i="4"/>
  <c r="AF421" i="4"/>
  <c r="AH16" i="4"/>
  <c r="AN16" i="4" s="1"/>
  <c r="F16" i="3"/>
  <c r="F17" i="3" s="1"/>
  <c r="AJ115" i="4" l="1"/>
  <c r="AJ179" i="4"/>
  <c r="AJ304" i="4"/>
  <c r="AA419" i="4"/>
  <c r="AA421" i="4" s="1"/>
  <c r="AJ386" i="4"/>
  <c r="AJ396" i="4"/>
  <c r="AJ330" i="4"/>
  <c r="AJ220" i="4"/>
  <c r="AJ282" i="4"/>
  <c r="AJ260" i="4"/>
  <c r="AJ251" i="4"/>
  <c r="AJ273" i="4"/>
  <c r="AJ384" i="4"/>
  <c r="AJ119" i="4"/>
  <c r="AJ382" i="4"/>
  <c r="AJ56" i="4"/>
  <c r="AJ325" i="4"/>
  <c r="AJ128" i="4"/>
  <c r="L427" i="4"/>
  <c r="L428" i="4" s="1"/>
  <c r="K429" i="4" s="1"/>
  <c r="AJ112" i="4"/>
  <c r="AJ323" i="4"/>
  <c r="AJ263" i="4"/>
  <c r="AJ402" i="4"/>
  <c r="AJ324" i="4"/>
  <c r="AJ113" i="4"/>
  <c r="AJ125" i="4"/>
  <c r="AJ328" i="4"/>
  <c r="AJ182" i="4"/>
  <c r="AJ397" i="4"/>
  <c r="AJ208" i="4"/>
  <c r="AJ120" i="4"/>
  <c r="AJ398" i="4"/>
  <c r="AJ175" i="4"/>
  <c r="AJ321" i="4"/>
  <c r="AJ352" i="4"/>
  <c r="AJ44" i="4"/>
  <c r="AJ24" i="4"/>
  <c r="AJ335" i="4"/>
  <c r="AJ341" i="4"/>
  <c r="AJ236" i="4"/>
  <c r="AJ383" i="4"/>
  <c r="AJ129" i="4"/>
  <c r="AJ258" i="4"/>
  <c r="AJ339" i="4"/>
  <c r="AJ39" i="4"/>
  <c r="AJ17" i="4"/>
  <c r="AJ298" i="4"/>
  <c r="AJ405" i="4"/>
  <c r="AJ41" i="4"/>
  <c r="AJ293" i="4"/>
  <c r="AJ362" i="4"/>
  <c r="AJ19" i="4"/>
  <c r="AJ349" i="4"/>
  <c r="AJ332" i="4"/>
  <c r="AJ217" i="4"/>
  <c r="AJ412" i="4"/>
  <c r="AJ388" i="4"/>
  <c r="AJ348" i="4"/>
  <c r="AJ116" i="4"/>
  <c r="AJ169" i="4"/>
  <c r="AJ407" i="4"/>
  <c r="AJ413" i="4"/>
  <c r="AJ336" i="4"/>
  <c r="AJ350" i="4"/>
  <c r="AJ23" i="4"/>
  <c r="AJ353" i="4"/>
  <c r="AJ307" i="4"/>
  <c r="AJ244" i="4"/>
  <c r="AJ391" i="4"/>
  <c r="AJ167" i="4"/>
  <c r="AJ414" i="4"/>
  <c r="AJ243" i="4"/>
  <c r="AJ234" i="4"/>
  <c r="AJ418" i="4"/>
  <c r="AJ218" i="4"/>
  <c r="AJ163" i="4"/>
  <c r="AJ197" i="4"/>
  <c r="AJ257" i="4"/>
  <c r="AJ338" i="4"/>
  <c r="AJ172" i="4"/>
  <c r="AJ242" i="4"/>
  <c r="AJ158" i="4"/>
  <c r="AJ410" i="4"/>
  <c r="AJ322" i="4"/>
  <c r="AJ111" i="4"/>
  <c r="AJ320" i="4"/>
  <c r="AJ192" i="4"/>
  <c r="AJ109" i="4"/>
  <c r="AJ333" i="4"/>
  <c r="AJ404" i="4"/>
  <c r="AJ351" i="4"/>
  <c r="AJ253" i="4"/>
  <c r="AJ252" i="4"/>
  <c r="AJ70" i="4"/>
  <c r="AJ103" i="4"/>
  <c r="AJ30" i="4"/>
  <c r="AJ369" i="4"/>
  <c r="AJ126" i="4"/>
  <c r="AJ127" i="4"/>
  <c r="AJ378" i="4"/>
  <c r="AJ166" i="4"/>
  <c r="AJ269" i="4"/>
  <c r="AJ365" i="4"/>
  <c r="AJ28" i="4"/>
  <c r="AJ170" i="4"/>
  <c r="AJ295" i="4"/>
  <c r="AJ278" i="4"/>
  <c r="AJ400" i="4"/>
  <c r="AJ139" i="4"/>
  <c r="AJ195" i="4"/>
  <c r="AJ287" i="4"/>
  <c r="AJ395" i="4"/>
  <c r="AJ283" i="4"/>
  <c r="AJ374" i="4"/>
  <c r="AJ227" i="4"/>
  <c r="AJ359" i="4"/>
  <c r="AJ165" i="4"/>
  <c r="AJ229" i="4"/>
  <c r="AJ184" i="4"/>
  <c r="AJ117" i="4"/>
  <c r="AJ122" i="4"/>
  <c r="AJ246" i="4"/>
  <c r="AJ224" i="4"/>
  <c r="AJ101" i="4"/>
  <c r="AJ331" i="4"/>
  <c r="AJ230" i="4"/>
  <c r="AJ416" i="4"/>
  <c r="AJ249" i="4"/>
  <c r="AJ266" i="4"/>
  <c r="AJ22" i="4"/>
  <c r="AJ245" i="4"/>
  <c r="AJ259" i="4"/>
  <c r="AJ327" i="4"/>
  <c r="AJ228" i="4"/>
  <c r="AJ201" i="4"/>
  <c r="AJ20" i="4"/>
  <c r="AJ337" i="4"/>
  <c r="AJ318" i="4"/>
  <c r="AJ387" i="4"/>
  <c r="AJ135" i="4"/>
  <c r="AJ121" i="4"/>
  <c r="AJ342" i="4"/>
  <c r="AJ280" i="4"/>
  <c r="AJ214" i="4"/>
  <c r="AJ132" i="4"/>
  <c r="AJ36" i="4"/>
  <c r="AJ18" i="4"/>
  <c r="AJ155" i="4"/>
  <c r="AJ277" i="4"/>
  <c r="AJ373" i="4"/>
  <c r="AJ136" i="4"/>
  <c r="AJ366" i="4"/>
  <c r="AJ178" i="4"/>
  <c r="AJ357" i="4"/>
  <c r="AJ141" i="4"/>
  <c r="AJ417" i="4"/>
  <c r="AJ345" i="4"/>
  <c r="AJ270" i="4"/>
  <c r="AJ403" i="4"/>
  <c r="AJ38" i="4"/>
  <c r="AJ286" i="4"/>
  <c r="AJ389" i="4"/>
  <c r="AJ419" i="4"/>
  <c r="AJ152" i="4"/>
  <c r="AJ222" i="4"/>
  <c r="AJ181" i="4"/>
  <c r="AJ207" i="4"/>
  <c r="AJ343" i="4"/>
  <c r="AJ267" i="4"/>
  <c r="AJ254" i="4"/>
  <c r="AJ83" i="4"/>
  <c r="AI421" i="4"/>
  <c r="AJ390" i="4"/>
  <c r="AJ334" i="4"/>
  <c r="AJ75" i="4"/>
  <c r="AJ133" i="4"/>
  <c r="AJ272" i="4"/>
  <c r="AJ290" i="4"/>
  <c r="AJ288" i="4"/>
  <c r="AJ393" i="4"/>
  <c r="AJ151" i="4"/>
  <c r="AJ241" i="4"/>
  <c r="AJ247" i="4"/>
  <c r="AJ268" i="4"/>
  <c r="AJ210" i="4"/>
  <c r="AJ300" i="4"/>
  <c r="AJ399" i="4"/>
  <c r="AJ213" i="4"/>
  <c r="AJ354" i="4"/>
  <c r="AJ255" i="4"/>
  <c r="AJ215" i="4"/>
  <c r="AJ209" i="4"/>
  <c r="AJ226" i="4"/>
  <c r="AJ340" i="4"/>
  <c r="AJ392" i="4"/>
  <c r="AJ329" i="4"/>
  <c r="AJ264" i="4"/>
  <c r="AJ308" i="4"/>
  <c r="AJ239" i="4"/>
  <c r="AJ284" i="4"/>
  <c r="AJ401" i="4"/>
  <c r="AJ16" i="4"/>
  <c r="AN421" i="4"/>
  <c r="W427" i="4" l="1"/>
  <c r="L16" i="3" s="1"/>
  <c r="W424" i="4"/>
  <c r="W425" i="4" s="1"/>
  <c r="J16" i="3" s="1"/>
  <c r="G16" i="3"/>
  <c r="G17" i="3" s="1"/>
  <c r="AF424" i="4"/>
  <c r="AF425" i="4" s="1"/>
  <c r="AJ421" i="4"/>
  <c r="AF427" i="4"/>
  <c r="AF428" i="4" s="1"/>
  <c r="D16" i="3"/>
  <c r="D17" i="3" s="1"/>
  <c r="I13" i="4"/>
  <c r="W428" i="4" l="1"/>
  <c r="M16" i="3" s="1"/>
  <c r="I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tc={2358C578-DAAC-4900-B6DE-6797D66F92EB}</author>
    <author>tc={E1A537EF-0754-490C-8BDB-5BE3051FBE59}</author>
    <author>tc={D7A07032-1674-4369-8E42-474764A91F33}</author>
    <author>tc={2FF42FAF-B69A-43D5-93B6-7820341A8E6D}</author>
    <author>tc={27A79EF0-F5A0-4A3A-9E86-A697484C4FF9}</author>
    <author>tc={A48635D6-FD77-4560-98D6-67D10A54C4F5}</author>
    <author>tc={70DB106E-6C0C-469F-81F0-0522D23C6B60}</author>
    <author>tc={6F917E3B-176C-4110-BEAF-8B624DCAC555}</author>
    <author>tc={1E7985C3-C1EA-4423-902F-D5F2FEA05DD0}</author>
    <author>tc={069F9D44-A466-4149-A644-66AF3145AE9E}</author>
    <author>tc={401EB6A8-2B14-42E1-8B92-04CAB46CE5C4}</author>
    <author>tc={F451C9CB-A35D-49C3-B503-5C33767AEC9A}</author>
    <author>tc={13CD7A9D-3DEA-4B9A-B3DC-4E30442EB275}</author>
    <author>tc={C0FB5944-3010-4CAE-9D27-52C8D65971C6}</author>
    <author>tc={69C3C214-FA56-4EAB-8D21-15EEB21F6263}</author>
    <author>tc={0F717D73-8588-4FA1-BFF6-E601C8588BFD}</author>
  </authors>
  <commentList>
    <comment ref="AH8" authorId="0" shapeId="0" xr:uid="{2358C578-DAAC-4900-B6DE-6797D66F92EB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Aniversário de São Paulo </t>
        </r>
      </text>
    </comment>
    <comment ref="BT8" authorId="1" shapeId="0" xr:uid="{E1A537EF-0754-490C-8BDB-5BE3051FBE5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Carnaval - Ponto Facultativo</t>
        </r>
      </text>
    </comment>
    <comment ref="DM8" authorId="2" shapeId="0" xr:uid="{D7A07032-1674-4369-8E42-474764A91F3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Sexta-feira Santa - Nacional</t>
        </r>
      </text>
    </comment>
    <comment ref="DO8" authorId="3" shapeId="0" xr:uid="{2FF42FAF-B69A-43D5-93B6-7820341A8E6D}">
      <text>
        <r>
          <rPr>
            <sz val="11"/>
            <color theme="1"/>
            <rFont val="Calibri"/>
            <family val="2"/>
            <scheme val="minor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Domingo de Páscoa </t>
        </r>
      </text>
    </comment>
    <comment ref="DP8" authorId="4" shapeId="0" xr:uid="{27A79EF0-F5A0-4A3A-9E86-A697484C4FF9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Tiradentes - Nacional</t>
        </r>
      </text>
    </comment>
    <comment ref="DZ8" authorId="5" shapeId="0" xr:uid="{A48635D6-FD77-4560-98D6-67D10A54C4F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do trabalhador - Nacional</t>
        </r>
      </text>
    </comment>
    <comment ref="FW8" authorId="6" shapeId="0" xr:uid="{70DB106E-6C0C-469F-81F0-0522D23C6B6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Corpus Christi - Ponto Facultativo</t>
        </r>
      </text>
    </comment>
    <comment ref="GQ8" authorId="7" shapeId="0" xr:uid="{6F917E3B-176C-4110-BEAF-8B624DCAC55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Revolução Constitucionalista de 1932 - Estadual São Paulo</t>
        </r>
      </text>
    </comment>
    <comment ref="IY8" authorId="8" shapeId="0" xr:uid="{1E7985C3-C1EA-4423-902F-D5F2FEA05DD0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Independência do Brasil - Nacional</t>
        </r>
      </text>
    </comment>
    <comment ref="KH8" authorId="9" shapeId="0" xr:uid="{069F9D44-A466-4149-A644-66AF3145AE9E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Nossa Senhora Aparecida - Nacional</t>
        </r>
      </text>
    </comment>
    <comment ref="LC8" authorId="10" shapeId="0" xr:uid="{401EB6A8-2B14-42E1-8B92-04CAB46CE5C4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Finados - Nacional</t>
        </r>
      </text>
    </comment>
    <comment ref="LP8" authorId="11" shapeId="0" xr:uid="{F451C9CB-A35D-49C3-B503-5C33767AEC9A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Proclamação da República - Nacional</t>
        </r>
      </text>
    </comment>
    <comment ref="LU8" authorId="12" shapeId="0" xr:uid="{13CD7A9D-3DEA-4B9A-B3DC-4E30442EB275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 da Consciência Negra - Nacional</t>
        </r>
      </text>
    </comment>
    <comment ref="NC8" authorId="13" shapeId="0" xr:uid="{C0FB5944-3010-4CAE-9D27-52C8D65971C6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Véspera de Natal - Ponto Facultativo</t>
        </r>
      </text>
    </comment>
    <comment ref="ND8" authorId="14" shapeId="0" xr:uid="{69C3C214-FA56-4EAB-8D21-15EEB21F6263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Natal - Nacional</t>
        </r>
      </text>
    </comment>
    <comment ref="NJ8" authorId="15" shapeId="0" xr:uid="{0F717D73-8588-4FA1-BFF6-E601C8588BFD}">
      <text>
        <r>
          <rPr>
            <sz val="11"/>
            <color theme="1"/>
            <rFont val="Calibri"/>
            <family val="2"/>
            <scheme val="minor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Véspera do Ano Novo - Ponto Facultativo</t>
        </r>
      </text>
    </comment>
  </commentList>
</comments>
</file>

<file path=xl/sharedStrings.xml><?xml version="1.0" encoding="utf-8"?>
<sst xmlns="http://schemas.openxmlformats.org/spreadsheetml/2006/main" count="3083" uniqueCount="913">
  <si>
    <t xml:space="preserve">PLANILHA DE ESTIMATIVA DE CUSTOS </t>
  </si>
  <si>
    <t>Evento:</t>
  </si>
  <si>
    <t>Data do Evento:</t>
  </si>
  <si>
    <t>Horário do Evento:</t>
  </si>
  <si>
    <t>Data da Montagem:</t>
  </si>
  <si>
    <t>Qtde Pessoas:</t>
  </si>
  <si>
    <t>Local:</t>
  </si>
  <si>
    <t>PIT:</t>
  </si>
  <si>
    <t>ITEM</t>
  </si>
  <si>
    <t>DESCRIÇÃO</t>
  </si>
  <si>
    <t>QUANT</t>
  </si>
  <si>
    <t>UNIDADE</t>
  </si>
  <si>
    <t>VALOR UNIT</t>
  </si>
  <si>
    <t>VALOR TOTAL</t>
  </si>
  <si>
    <t xml:space="preserve">SUBTOTAL </t>
  </si>
  <si>
    <t>CASHFLOW</t>
  </si>
  <si>
    <t>STATUS PRODUÇÃO</t>
  </si>
  <si>
    <t>LINHA OC</t>
  </si>
  <si>
    <t>FECHAR ITEM</t>
  </si>
  <si>
    <t>CÓDIGO FORNECEDOR - PUBLI</t>
  </si>
  <si>
    <t>VENCIMENTO</t>
  </si>
  <si>
    <t>AUTORIZAÇÃO
  DE PRODUÇÃO
ENVIADO</t>
  </si>
  <si>
    <t>FORNECEDOR</t>
  </si>
  <si>
    <t>CUSTO REAL</t>
  </si>
  <si>
    <t>SOBRA</t>
  </si>
  <si>
    <t>PDI</t>
  </si>
  <si>
    <t>TOTAL (SOBRA + PDI)</t>
  </si>
  <si>
    <t>1.1</t>
  </si>
  <si>
    <t>1.2</t>
  </si>
  <si>
    <t>1.3</t>
  </si>
  <si>
    <t>2.1</t>
  </si>
  <si>
    <t>2.2</t>
  </si>
  <si>
    <t>2.3</t>
  </si>
  <si>
    <t>2.4</t>
  </si>
  <si>
    <t>2.5</t>
  </si>
  <si>
    <t>2.6</t>
  </si>
  <si>
    <t>2.7</t>
  </si>
  <si>
    <t>2.9</t>
  </si>
  <si>
    <t>2.8</t>
  </si>
  <si>
    <t>2.10</t>
  </si>
  <si>
    <t>2.11</t>
  </si>
  <si>
    <t>3.1</t>
  </si>
  <si>
    <t>3.2</t>
  </si>
  <si>
    <t>3.3</t>
  </si>
  <si>
    <t>4.1</t>
  </si>
  <si>
    <t>6.1</t>
  </si>
  <si>
    <t>6.2</t>
  </si>
  <si>
    <t>6.3</t>
  </si>
  <si>
    <t>6.4</t>
  </si>
  <si>
    <t>6.5</t>
  </si>
  <si>
    <t>SERVIÇOS</t>
  </si>
  <si>
    <t>7.1</t>
  </si>
  <si>
    <t>7.2</t>
  </si>
  <si>
    <t>8.1</t>
  </si>
  <si>
    <t>9.1</t>
  </si>
  <si>
    <t>9.2</t>
  </si>
  <si>
    <t>9.3</t>
  </si>
  <si>
    <t>NÃO</t>
  </si>
  <si>
    <t>9.4</t>
  </si>
  <si>
    <t>9.5</t>
  </si>
  <si>
    <t>9.6</t>
  </si>
  <si>
    <t>9.7</t>
  </si>
  <si>
    <t>SOMA GERAL DOS ITENS</t>
  </si>
  <si>
    <t>SOBRA + BV + TOTAL HONORARIOS + PLANEJAMENTO</t>
  </si>
  <si>
    <t>Campo Listagem</t>
  </si>
  <si>
    <t>TOTAL FINAL</t>
  </si>
  <si>
    <t xml:space="preserve">PRÉ PRODUÇÃO </t>
  </si>
  <si>
    <t>PRECISA DE NOTA DE COBERTURA?</t>
  </si>
  <si>
    <t>DEDUÇÃO DE IMPOSTO (FORNECEDOR)</t>
  </si>
  <si>
    <t xml:space="preserve">PRODUÇÃO </t>
  </si>
  <si>
    <t>SOBRA + BV + TOTAL</t>
  </si>
  <si>
    <t>GERAL</t>
  </si>
  <si>
    <t>%</t>
  </si>
  <si>
    <t xml:space="preserve">MARGEM - R$ </t>
  </si>
  <si>
    <t>30 DIAS</t>
  </si>
  <si>
    <t>À VISTA
ANTECIPADO</t>
  </si>
  <si>
    <t>VALOR</t>
  </si>
  <si>
    <t xml:space="preserve">PLANILHA </t>
  </si>
  <si>
    <t xml:space="preserve">CASHFLOW </t>
  </si>
  <si>
    <t>RESUMO GERAL</t>
  </si>
  <si>
    <t>EXCLUIR NA VERSÃO CLIENTE</t>
  </si>
  <si>
    <t>Pré Produção:</t>
  </si>
  <si>
    <t>Atendimento:</t>
  </si>
  <si>
    <t>RENTABILIDADE LÍQUIDA</t>
  </si>
  <si>
    <t>( C )</t>
  </si>
  <si>
    <t>HONORÁRIOS</t>
  </si>
  <si>
    <t>( T )</t>
  </si>
  <si>
    <t>( I )</t>
  </si>
  <si>
    <t>RENTABILIDADE BRUTA</t>
  </si>
  <si>
    <t xml:space="preserve">03 - SUB-TOTAL - CRIAÇÃO (C) </t>
  </si>
  <si>
    <t>02 - SUB-TOTAL - TERCEIROS (T)</t>
  </si>
  <si>
    <t>01 - SUB-TOTAL - INTERNOS (I)</t>
  </si>
  <si>
    <t>17.8</t>
  </si>
  <si>
    <t>17.7</t>
  </si>
  <si>
    <t>17.6</t>
  </si>
  <si>
    <t>17.5</t>
  </si>
  <si>
    <t>17.4</t>
  </si>
  <si>
    <t>17.3</t>
  </si>
  <si>
    <t>17.2</t>
  </si>
  <si>
    <t>17.1</t>
  </si>
  <si>
    <t>OUTROS</t>
  </si>
  <si>
    <t>16.1</t>
  </si>
  <si>
    <t>SEGUROS E TAXAS</t>
  </si>
  <si>
    <r>
      <rPr>
        <b/>
        <sz val="12"/>
        <color theme="1"/>
        <rFont val="Calibri Light"/>
        <family val="2"/>
        <scheme val="major"/>
      </rPr>
      <t>Supervisor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</si>
  <si>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Arquiteto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</si>
  <si>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Gráfico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</si>
  <si>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Patrocínio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</si>
  <si>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Conteúdo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</si>
  <si>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Plenária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</si>
  <si>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Financeiro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</si>
  <si>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Assistente de Logística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</si>
  <si>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Produtor de Logística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</si>
  <si>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 xml:space="preserve">Apoio Produção Evento </t>
    </r>
    <r>
      <rPr>
        <sz val="12"/>
        <color theme="1"/>
        <rFont val="Calibri Light"/>
        <family val="2"/>
        <scheme val="major"/>
      </rPr>
      <t xml:space="preserve">
02 pax x 4 diárias</t>
    </r>
  </si>
  <si>
    <r>
      <rPr>
        <b/>
        <sz val="12"/>
        <color theme="1"/>
        <rFont val="Calibri Light"/>
        <family val="2"/>
        <scheme val="major"/>
      </rPr>
      <t>Assistente de A&amp;B</t>
    </r>
    <r>
      <rPr>
        <sz val="12"/>
        <color theme="1"/>
        <rFont val="Calibri Light"/>
        <family val="2"/>
        <scheme val="major"/>
      </rPr>
      <t xml:space="preserve">
01 pax x 04 diárias</t>
    </r>
  </si>
  <si>
    <r>
      <rPr>
        <b/>
        <sz val="12"/>
        <color theme="1"/>
        <rFont val="Calibri Light"/>
        <family val="2"/>
        <scheme val="major"/>
      </rPr>
      <t xml:space="preserve">Produtor de A&amp;B </t>
    </r>
    <r>
      <rPr>
        <sz val="12"/>
        <color theme="1"/>
        <rFont val="Calibri Light"/>
        <family val="2"/>
        <scheme val="major"/>
      </rPr>
      <t xml:space="preserve">
01 pax x 04 diárias</t>
    </r>
  </si>
  <si>
    <r>
      <rPr>
        <b/>
        <sz val="12"/>
        <color theme="1"/>
        <rFont val="Calibri Light"/>
        <family val="2"/>
        <scheme val="major"/>
      </rPr>
      <t>Assistente de Serviços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</si>
  <si>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Produtor de Serviços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</si>
  <si>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Assistente de Montagem/Desmontagem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</si>
  <si>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 xml:space="preserve">Produtor de Montagem / Desmontagem 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</si>
  <si>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Produtor de Infraestrutura</t>
    </r>
    <r>
      <rPr>
        <sz val="12"/>
        <color theme="1"/>
        <rFont val="Calibri Light"/>
        <family val="2"/>
        <scheme val="major"/>
      </rPr>
      <t xml:space="preserve">
01 pax x 1 mês</t>
    </r>
  </si>
  <si>
    <r>
      <rPr>
        <b/>
        <sz val="12"/>
        <color theme="1"/>
        <rFont val="Calibri Light"/>
        <family val="2"/>
        <scheme val="major"/>
      </rPr>
      <t>Roteirista</t>
    </r>
    <r>
      <rPr>
        <sz val="12"/>
        <color theme="1"/>
        <rFont val="Calibri Light"/>
        <family val="2"/>
        <scheme val="major"/>
      </rPr>
      <t xml:space="preserve">
Roteiros Técnicos Evento (roteiros de vídeos não inclusos)</t>
    </r>
  </si>
  <si>
    <r>
      <rPr>
        <b/>
        <sz val="12"/>
        <color theme="1"/>
        <rFont val="Calibri Light"/>
        <family val="2"/>
        <scheme val="major"/>
      </rPr>
      <t>Assistente Direção de vídeo / palco</t>
    </r>
    <r>
      <rPr>
        <sz val="12"/>
        <color theme="1"/>
        <rFont val="Calibri Light"/>
        <family val="2"/>
        <scheme val="major"/>
      </rPr>
      <t xml:space="preserve">
Assistente de Direção de vídeo/palco por dias de ensaio e evento.</t>
    </r>
  </si>
  <si>
    <r>
      <rPr>
        <b/>
        <sz val="12"/>
        <color theme="1"/>
        <rFont val="Calibri Light"/>
        <family val="2"/>
        <scheme val="major"/>
      </rPr>
      <t>Direção de Vídeo / Palco</t>
    </r>
    <r>
      <rPr>
        <sz val="12"/>
        <color theme="1"/>
        <rFont val="Calibri Light"/>
        <family val="2"/>
        <scheme val="major"/>
      </rPr>
      <t xml:space="preserve">
Direção vídeo/palco</t>
    </r>
  </si>
  <si>
    <r>
      <rPr>
        <b/>
        <sz val="12"/>
        <color theme="1"/>
        <rFont val="Calibri Light"/>
        <family val="2"/>
        <scheme val="major"/>
      </rPr>
      <t>Produtor Artístico</t>
    </r>
    <r>
      <rPr>
        <sz val="12"/>
        <color theme="1"/>
        <rFont val="Calibri Light"/>
        <family val="2"/>
        <scheme val="major"/>
      </rPr>
      <t xml:space="preserve">
Assistente de Palco por dias de ensaio e evento.</t>
    </r>
  </si>
  <si>
    <r>
      <rPr>
        <b/>
        <sz val="12"/>
        <color theme="1"/>
        <rFont val="Calibri Light"/>
        <family val="2"/>
        <scheme val="major"/>
      </rPr>
      <t xml:space="preserve">Direção Artística </t>
    </r>
    <r>
      <rPr>
        <sz val="12"/>
        <color theme="1"/>
        <rFont val="Calibri Light"/>
        <family val="2"/>
        <scheme val="major"/>
      </rPr>
      <t xml:space="preserve">
Direção Artística + Treinamento Speakers</t>
    </r>
  </si>
  <si>
    <r>
      <rPr>
        <b/>
        <sz val="12"/>
        <color theme="1"/>
        <rFont val="Calibri Light"/>
        <family val="2"/>
        <scheme val="major"/>
      </rPr>
      <t>Lighting Designer</t>
    </r>
    <r>
      <rPr>
        <sz val="12"/>
        <color theme="1"/>
        <rFont val="Calibri Light"/>
        <family val="2"/>
        <scheme val="major"/>
      </rPr>
      <t xml:space="preserve">
Período de pré produção e execução.</t>
    </r>
  </si>
  <si>
    <r>
      <t xml:space="preserve">Assistente Diretor Técnico
</t>
    </r>
    <r>
      <rPr>
        <sz val="12"/>
        <color theme="1"/>
        <rFont val="Calibri Light"/>
        <family val="2"/>
        <scheme val="major"/>
      </rPr>
      <t>Período de pré produção e execução.</t>
    </r>
  </si>
  <si>
    <r>
      <rPr>
        <b/>
        <sz val="12"/>
        <color theme="1"/>
        <rFont val="Calibri Light"/>
        <family val="2"/>
        <scheme val="major"/>
      </rPr>
      <t xml:space="preserve">Diretor Técnico
</t>
    </r>
    <r>
      <rPr>
        <sz val="12"/>
        <color theme="1"/>
        <rFont val="Calibri Light"/>
        <family val="2"/>
        <scheme val="major"/>
      </rPr>
      <t>Período de pré produção e execução.</t>
    </r>
  </si>
  <si>
    <r>
      <rPr>
        <b/>
        <sz val="12"/>
        <color theme="1"/>
        <rFont val="Calibri Light"/>
        <family val="2"/>
        <scheme val="major"/>
      </rPr>
      <t>Assistente de Produção</t>
    </r>
    <r>
      <rPr>
        <sz val="12"/>
        <color theme="1"/>
        <rFont val="Calibri Light"/>
        <family val="2"/>
        <scheme val="major"/>
      </rPr>
      <t xml:space="preserve">
01 pax x 1 mês</t>
    </r>
  </si>
  <si>
    <t>15.3</t>
  </si>
  <si>
    <r>
      <rPr>
        <b/>
        <sz val="12"/>
        <color theme="1"/>
        <rFont val="Calibri Light"/>
        <family val="2"/>
        <scheme val="major"/>
      </rPr>
      <t xml:space="preserve">Produtor Master </t>
    </r>
    <r>
      <rPr>
        <sz val="12"/>
        <color theme="1"/>
        <rFont val="Calibri Light"/>
        <family val="2"/>
        <scheme val="major"/>
      </rPr>
      <t xml:space="preserve">
Período 1,5 mês, pré-produção, execução e pós-produção</t>
    </r>
  </si>
  <si>
    <t>15.2</t>
  </si>
  <si>
    <t>15.1</t>
  </si>
  <si>
    <t xml:space="preserve">EQUIPE </t>
  </si>
  <si>
    <t>14.35</t>
  </si>
  <si>
    <t>14.34</t>
  </si>
  <si>
    <t>14.33</t>
  </si>
  <si>
    <t>14.32</t>
  </si>
  <si>
    <t>14.31</t>
  </si>
  <si>
    <t>14.30</t>
  </si>
  <si>
    <t>14.29</t>
  </si>
  <si>
    <t>14.28</t>
  </si>
  <si>
    <t>14.27</t>
  </si>
  <si>
    <t>14.26</t>
  </si>
  <si>
    <t>14.25</t>
  </si>
  <si>
    <t>14.24</t>
  </si>
  <si>
    <t>14.23</t>
  </si>
  <si>
    <t>14.22</t>
  </si>
  <si>
    <t>14.21</t>
  </si>
  <si>
    <t>14.20</t>
  </si>
  <si>
    <t>14.19</t>
  </si>
  <si>
    <t>14.18</t>
  </si>
  <si>
    <t>14.17</t>
  </si>
  <si>
    <t>14.14</t>
  </si>
  <si>
    <t>14.13</t>
  </si>
  <si>
    <t>14.12</t>
  </si>
  <si>
    <t>14.11</t>
  </si>
  <si>
    <t>14.10</t>
  </si>
  <si>
    <t>14.9</t>
  </si>
  <si>
    <t>14.8</t>
  </si>
  <si>
    <t>14.7</t>
  </si>
  <si>
    <t>14.6</t>
  </si>
  <si>
    <t>14.5</t>
  </si>
  <si>
    <t>14.4</t>
  </si>
  <si>
    <t>14.3</t>
  </si>
  <si>
    <t>14.1</t>
  </si>
  <si>
    <t>MATERIAIS</t>
  </si>
  <si>
    <t>BANDA</t>
  </si>
  <si>
    <t>DJ</t>
  </si>
  <si>
    <t>PALESTRANTES</t>
  </si>
  <si>
    <t>MESTRE DE CERIMÕNIAS</t>
  </si>
  <si>
    <t>INTERAÇÃO PLATÉIA</t>
  </si>
  <si>
    <t>CONTEÚDO</t>
  </si>
  <si>
    <t>10.21</t>
  </si>
  <si>
    <t>10.20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</si>
  <si>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</si>
  <si>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</si>
  <si>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</si>
  <si>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</si>
  <si>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</si>
  <si>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</si>
  <si>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</si>
  <si>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</si>
  <si>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</si>
  <si>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10.10</t>
  </si>
  <si>
    <t>10.9</t>
  </si>
  <si>
    <t>10.8</t>
  </si>
  <si>
    <t>10.7</t>
  </si>
  <si>
    <t>10.6</t>
  </si>
  <si>
    <t>10.5</t>
  </si>
  <si>
    <t>10.4</t>
  </si>
  <si>
    <t>10.3</t>
  </si>
  <si>
    <t>10.2</t>
  </si>
  <si>
    <t>10.1</t>
  </si>
  <si>
    <t>9.14</t>
  </si>
  <si>
    <t>9.13</t>
  </si>
  <si>
    <t>9.12</t>
  </si>
  <si>
    <t>9.11</t>
  </si>
  <si>
    <t>9.10</t>
  </si>
  <si>
    <t>9.9</t>
  </si>
  <si>
    <t>9.8</t>
  </si>
  <si>
    <t>DECORAÇÃO</t>
  </si>
  <si>
    <t>8.16</t>
  </si>
  <si>
    <t>8.15</t>
  </si>
  <si>
    <t>8.14</t>
  </si>
  <si>
    <t>8.13</t>
  </si>
  <si>
    <t>8.12</t>
  </si>
  <si>
    <t>8.11</t>
  </si>
  <si>
    <t>8.10</t>
  </si>
  <si>
    <t>8.9</t>
  </si>
  <si>
    <t>8.8</t>
  </si>
  <si>
    <t>8.7</t>
  </si>
  <si>
    <t>8.6</t>
  </si>
  <si>
    <t>8.5</t>
  </si>
  <si>
    <t>8.4</t>
  </si>
  <si>
    <t>8.3</t>
  </si>
  <si>
    <t>8.2</t>
  </si>
  <si>
    <t>A&amp;B</t>
  </si>
  <si>
    <t>7.3</t>
  </si>
  <si>
    <t>6.12</t>
  </si>
  <si>
    <t>6.11</t>
  </si>
  <si>
    <t>6.10</t>
  </si>
  <si>
    <t>6.9</t>
  </si>
  <si>
    <t>6.8</t>
  </si>
  <si>
    <t>6.7</t>
  </si>
  <si>
    <t>6.6</t>
  </si>
  <si>
    <t>5.12</t>
  </si>
  <si>
    <t>5.11</t>
  </si>
  <si>
    <t>5.10</t>
  </si>
  <si>
    <t>5.9</t>
  </si>
  <si>
    <t>5.8</t>
  </si>
  <si>
    <t>5.7</t>
  </si>
  <si>
    <t>5.6</t>
  </si>
  <si>
    <t>5.5</t>
  </si>
  <si>
    <t>5.4</t>
  </si>
  <si>
    <t>5.3</t>
  </si>
  <si>
    <t>5.2</t>
  </si>
  <si>
    <t>5.1</t>
  </si>
  <si>
    <t>LOGÍSTICA</t>
  </si>
  <si>
    <t>4.10</t>
  </si>
  <si>
    <t>4.9</t>
  </si>
  <si>
    <t>4.8</t>
  </si>
  <si>
    <t>4.7</t>
  </si>
  <si>
    <t>4.6</t>
  </si>
  <si>
    <t>4.5</t>
  </si>
  <si>
    <t>4.4</t>
  </si>
  <si>
    <t>4.3</t>
  </si>
  <si>
    <t>4.2</t>
  </si>
  <si>
    <t xml:space="preserve">HOSPEDAGEM </t>
  </si>
  <si>
    <t>3.10</t>
  </si>
  <si>
    <t>3.9</t>
  </si>
  <si>
    <t>3.8</t>
  </si>
  <si>
    <t>3.7</t>
  </si>
  <si>
    <t>3.6</t>
  </si>
  <si>
    <t>3.5</t>
  </si>
  <si>
    <t>3.4</t>
  </si>
  <si>
    <t>ESPAÇOS</t>
  </si>
  <si>
    <t>RESPONSABILIDADE CLIENTE</t>
  </si>
  <si>
    <r>
      <t xml:space="preserve">Mailing dos participantes
</t>
    </r>
    <r>
      <rPr>
        <sz val="12"/>
        <color theme="1"/>
        <rFont val="Calibri Light"/>
        <family val="2"/>
        <scheme val="major"/>
      </rPr>
      <t>Relação dos participantes do evento com a validação de suas presenças e dados necessários que serão alinhados no processo de produção do evento.</t>
    </r>
  </si>
  <si>
    <r>
      <rPr>
        <b/>
        <sz val="12"/>
        <color theme="1"/>
        <rFont val="Calibri Light"/>
        <family val="2"/>
        <scheme val="major"/>
      </rPr>
      <t xml:space="preserve">Logo, elementos da marca e banco de imagens
</t>
    </r>
    <r>
      <rPr>
        <sz val="12"/>
        <color theme="1"/>
        <rFont val="Calibri Light"/>
        <family val="2"/>
        <scheme val="major"/>
      </rPr>
      <t>Disponibilidade de materiais gerais para realização do trabalho.</t>
    </r>
  </si>
  <si>
    <r>
      <t xml:space="preserve">Conteúdo das apresentações
</t>
    </r>
    <r>
      <rPr>
        <sz val="12"/>
        <color theme="1"/>
        <rFont val="Calibri Light"/>
        <family val="2"/>
        <scheme val="major"/>
      </rPr>
      <t>Conteúdo básico para apresentações.</t>
    </r>
  </si>
  <si>
    <t>Ilustrações</t>
  </si>
  <si>
    <t>1.9</t>
  </si>
  <si>
    <t>Retoque e/ou Tratamento de imagem</t>
  </si>
  <si>
    <t>1.8</t>
  </si>
  <si>
    <r>
      <t xml:space="preserve">Materiais
</t>
    </r>
    <r>
      <rPr>
        <sz val="12"/>
        <color theme="1"/>
        <rFont val="Calibri Light"/>
        <family val="2"/>
        <scheme val="major"/>
      </rPr>
      <t>Criação e finalização de brindes, uniforme e impressos</t>
    </r>
  </si>
  <si>
    <t>1.7</t>
  </si>
  <si>
    <r>
      <t xml:space="preserve">Template
</t>
    </r>
    <r>
      <rPr>
        <sz val="12"/>
        <color theme="1"/>
        <rFont val="Calibri Light"/>
        <family val="2"/>
        <scheme val="major"/>
      </rPr>
      <t>Criação e finalização de template para as apresentações.</t>
    </r>
  </si>
  <si>
    <t>1.6</t>
  </si>
  <si>
    <r>
      <t xml:space="preserve">Projeto Arquitetônico
</t>
    </r>
    <r>
      <rPr>
        <sz val="12"/>
        <color theme="1"/>
        <rFont val="Calibri Light"/>
        <family val="2"/>
        <scheme val="major"/>
      </rPr>
      <t>Projeto Arquitetônico / Design e Desenvolvimento em 3D</t>
    </r>
  </si>
  <si>
    <t>1.5</t>
  </si>
  <si>
    <r>
      <t xml:space="preserve">Cenografia
</t>
    </r>
    <r>
      <rPr>
        <sz val="12"/>
        <color theme="1"/>
        <rFont val="Calibri Light"/>
        <family val="2"/>
        <scheme val="major"/>
      </rPr>
      <t>Criação e finalização de peças utilizadas na cenografia do evento.</t>
    </r>
  </si>
  <si>
    <t>1.4</t>
  </si>
  <si>
    <r>
      <t xml:space="preserve">Peças de Comunicação Digital
</t>
    </r>
    <r>
      <rPr>
        <sz val="12"/>
        <color theme="1"/>
        <rFont val="Calibri Light"/>
        <family val="2"/>
        <scheme val="major"/>
      </rPr>
      <t>Criação e finalização das peças: Teaser, Save the date, convite, reminder 1 , reminder 2 e agradecimento.</t>
    </r>
  </si>
  <si>
    <r>
      <t xml:space="preserve">Desenvolvimento do KV e Conceito
</t>
    </r>
    <r>
      <rPr>
        <sz val="12"/>
        <color theme="1"/>
        <rFont val="Calibri Light"/>
        <family val="2"/>
        <scheme val="major"/>
      </rPr>
      <t>Criação e finalização.</t>
    </r>
  </si>
  <si>
    <t>CRIAÇÃO E FINALIZAÇÃO</t>
  </si>
  <si>
    <t xml:space="preserve">INTERNO (I) 
TERCEIRO (T) 
CRIAÇÃO (C) </t>
  </si>
  <si>
    <t xml:space="preserve">PLANILHA DE ESTIMATIVA DE CUSTOS   </t>
  </si>
  <si>
    <t>Logistica Participante</t>
  </si>
  <si>
    <t>5.13</t>
  </si>
  <si>
    <t>5.14</t>
  </si>
  <si>
    <t>3.11</t>
  </si>
  <si>
    <r>
      <rPr>
        <b/>
        <sz val="12"/>
        <color theme="1"/>
        <rFont val="Calibri Light"/>
        <family val="2"/>
        <scheme val="major"/>
      </rPr>
      <t>Engenheiro</t>
    </r>
    <r>
      <rPr>
        <sz val="12"/>
        <color theme="1"/>
        <rFont val="Calibri Light"/>
        <family val="2"/>
        <scheme val="major"/>
      </rPr>
      <t xml:space="preserve">
01 pax x 20 diárias</t>
    </r>
  </si>
  <si>
    <r>
      <rPr>
        <b/>
        <sz val="12"/>
        <color theme="1"/>
        <rFont val="Calibri Light"/>
        <family val="2"/>
        <scheme val="major"/>
      </rPr>
      <t>Assistente Artístico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</si>
  <si>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Contra Regras</t>
    </r>
    <r>
      <rPr>
        <sz val="12"/>
        <color theme="1"/>
        <rFont val="Calibri Light"/>
        <family val="2"/>
        <scheme val="major"/>
      </rPr>
      <t xml:space="preserve">
Produtor de conteúdo por dias de pré, ensaio e evento.</t>
    </r>
  </si>
  <si>
    <t>CENOGRAFIA / DECORAÇÃO</t>
  </si>
  <si>
    <t>TÉCNICA</t>
  </si>
  <si>
    <t>ATRAÇÕES</t>
  </si>
  <si>
    <t>APOIO ATRAÇÕES</t>
  </si>
  <si>
    <r>
      <rPr>
        <b/>
        <sz val="12"/>
        <color theme="1"/>
        <rFont val="Calibri Light"/>
        <family val="2"/>
        <scheme val="major"/>
      </rPr>
      <t>Assistente de Infraestrutura</t>
    </r>
    <r>
      <rPr>
        <sz val="12"/>
        <color theme="1"/>
        <rFont val="Calibri Light"/>
        <family val="2"/>
        <scheme val="major"/>
      </rPr>
      <t xml:space="preserve">
01 pax x 6 diárias</t>
    </r>
  </si>
  <si>
    <r>
      <rPr>
        <b/>
        <sz val="12"/>
        <color theme="1"/>
        <rFont val="Calibri Light"/>
        <family val="2"/>
        <scheme val="major"/>
      </rPr>
      <t>Assistente de Direção Artística</t>
    </r>
    <r>
      <rPr>
        <sz val="12"/>
        <color theme="1"/>
        <rFont val="Calibri Light"/>
        <family val="2"/>
        <scheme val="major"/>
      </rPr>
      <t xml:space="preserve">
Assistente de Palco por dias de ensaio e evento.</t>
    </r>
  </si>
  <si>
    <t>DA e Finalização</t>
  </si>
  <si>
    <r>
      <rPr>
        <b/>
        <sz val="12"/>
        <color theme="1"/>
        <rFont val="Calibri Light"/>
        <family val="2"/>
        <scheme val="major"/>
      </rPr>
      <t>Atendimento de Patrocínio</t>
    </r>
    <r>
      <rPr>
        <sz val="12"/>
        <color theme="1"/>
        <rFont val="Calibri Light"/>
        <family val="2"/>
        <scheme val="major"/>
      </rPr>
      <t xml:space="preserve">
01 pax x 20 diárias</t>
    </r>
  </si>
  <si>
    <t>COMUNICAÇÃO / RSVP / CREDENCIAMENTO</t>
  </si>
  <si>
    <t>1.10</t>
  </si>
  <si>
    <t>Logistica Produtos e Materiais - Cliente</t>
  </si>
  <si>
    <t>2.12</t>
  </si>
  <si>
    <t>2.13</t>
  </si>
  <si>
    <t>2.14</t>
  </si>
  <si>
    <t>2.15</t>
  </si>
  <si>
    <t>2.16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</si>
  <si>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</si>
  <si>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</si>
  <si>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</si>
  <si>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</si>
  <si>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</si>
  <si>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</si>
  <si>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</si>
  <si>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</si>
  <si>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</si>
  <si>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ATIVAÇÕES</t>
  </si>
  <si>
    <t>INFRAESTRUTURA</t>
  </si>
  <si>
    <t>4.20</t>
  </si>
  <si>
    <t>4.21</t>
  </si>
  <si>
    <t>4.22</t>
  </si>
  <si>
    <t>4.23</t>
  </si>
  <si>
    <t>4.24</t>
  </si>
  <si>
    <t>4.25</t>
  </si>
  <si>
    <t>6.13</t>
  </si>
  <si>
    <t>6.14</t>
  </si>
  <si>
    <t>6.15</t>
  </si>
  <si>
    <t>6.16</t>
  </si>
  <si>
    <t>6.17</t>
  </si>
  <si>
    <t>6.18</t>
  </si>
  <si>
    <t>6.19</t>
  </si>
  <si>
    <t>6.20</t>
  </si>
  <si>
    <t>6.21</t>
  </si>
  <si>
    <t>6.22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</si>
  <si>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</si>
  <si>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</si>
  <si>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</si>
  <si>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</si>
  <si>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</si>
  <si>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</si>
  <si>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</si>
  <si>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</si>
  <si>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</si>
  <si>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</si>
  <si>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</si>
  <si>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</si>
  <si>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</si>
  <si>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</si>
  <si>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</si>
  <si>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6.38</t>
  </si>
  <si>
    <t>6.39</t>
  </si>
  <si>
    <t>6.40</t>
  </si>
  <si>
    <t>6.41</t>
  </si>
  <si>
    <t>6.42</t>
  </si>
  <si>
    <t>7.4</t>
  </si>
  <si>
    <t>7.5</t>
  </si>
  <si>
    <t>7.6</t>
  </si>
  <si>
    <t>7.7</t>
  </si>
  <si>
    <t>7.8</t>
  </si>
  <si>
    <t>7.9</t>
  </si>
  <si>
    <t>7.10</t>
  </si>
  <si>
    <t>7.11</t>
  </si>
  <si>
    <t>5.15</t>
  </si>
  <si>
    <t>5.16</t>
  </si>
  <si>
    <t>8.17</t>
  </si>
  <si>
    <t>8.18</t>
  </si>
  <si>
    <t>8.19</t>
  </si>
  <si>
    <t>8.20</t>
  </si>
  <si>
    <t>8.21</t>
  </si>
  <si>
    <t>8.22</t>
  </si>
  <si>
    <t>8.23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</si>
  <si>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</si>
  <si>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</si>
  <si>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</si>
  <si>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</si>
  <si>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</si>
  <si>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</si>
  <si>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</si>
  <si>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</si>
  <si>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</si>
  <si>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</si>
  <si>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</si>
  <si>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</si>
  <si>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</si>
  <si>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</si>
  <si>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</si>
  <si>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</si>
  <si>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</si>
  <si>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</si>
  <si>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</si>
  <si>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</si>
  <si>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</si>
  <si>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</si>
  <si>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</si>
  <si>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</si>
  <si>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</si>
  <si>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</si>
  <si>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</si>
  <si>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</si>
  <si>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</si>
  <si>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</si>
  <si>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</si>
  <si>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</si>
  <si>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</si>
  <si>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</si>
  <si>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</si>
  <si>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</si>
  <si>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</si>
  <si>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</si>
  <si>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</si>
  <si>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</si>
  <si>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</si>
  <si>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</si>
  <si>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</si>
  <si>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6.43</t>
  </si>
  <si>
    <t>6.44</t>
  </si>
  <si>
    <t>6.45</t>
  </si>
  <si>
    <t>6.46</t>
  </si>
  <si>
    <t>6.47</t>
  </si>
  <si>
    <t>6.48</t>
  </si>
  <si>
    <t>SUSTENTABILIDADE</t>
  </si>
  <si>
    <t>14.2</t>
  </si>
  <si>
    <t>14.15</t>
  </si>
  <si>
    <t>14.16</t>
  </si>
  <si>
    <t>17.9</t>
  </si>
  <si>
    <t>17.10</t>
  </si>
  <si>
    <t>17.11</t>
  </si>
  <si>
    <t>17.12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</si>
  <si>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</si>
  <si>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</si>
  <si>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</si>
  <si>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</si>
  <si>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</si>
  <si>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</si>
  <si>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</si>
  <si>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</si>
  <si>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</si>
  <si>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</si>
  <si>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</si>
  <si>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</si>
  <si>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5.17</t>
  </si>
  <si>
    <t>18.1</t>
  </si>
  <si>
    <t>18.2</t>
  </si>
  <si>
    <t>18.3</t>
  </si>
  <si>
    <t>18.4</t>
  </si>
  <si>
    <t>18.5</t>
  </si>
  <si>
    <t>18.6</t>
  </si>
  <si>
    <t>18.7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</si>
  <si>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</si>
  <si>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</si>
  <si>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</si>
  <si>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</si>
  <si>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</si>
  <si>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</si>
  <si>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</si>
  <si>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</si>
  <si>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</si>
  <si>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11.10</t>
  </si>
  <si>
    <t>11.11</t>
  </si>
  <si>
    <t>11.12</t>
  </si>
  <si>
    <t>11.13</t>
  </si>
  <si>
    <t>11.14</t>
  </si>
  <si>
    <t>11.15</t>
  </si>
  <si>
    <t>11.16</t>
  </si>
  <si>
    <t>11.17</t>
  </si>
  <si>
    <t>11.18</t>
  </si>
  <si>
    <t>11.19</t>
  </si>
  <si>
    <t>11.20</t>
  </si>
  <si>
    <t>11.21</t>
  </si>
  <si>
    <t>11.22</t>
  </si>
  <si>
    <t>11.23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</si>
  <si>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</si>
  <si>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</si>
  <si>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</si>
  <si>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</si>
  <si>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</si>
  <si>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</si>
  <si>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</si>
  <si>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</si>
  <si>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</si>
  <si>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</si>
  <si>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</si>
  <si>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</si>
  <si>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</si>
  <si>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</si>
  <si>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11.38</t>
  </si>
  <si>
    <t>11.39</t>
  </si>
  <si>
    <t>11.40</t>
  </si>
  <si>
    <t>11.41</t>
  </si>
  <si>
    <t>12.1</t>
  </si>
  <si>
    <t>12.2</t>
  </si>
  <si>
    <t>12.3</t>
  </si>
  <si>
    <t>13.1</t>
  </si>
  <si>
    <t>15.4</t>
  </si>
  <si>
    <t>15.5</t>
  </si>
  <si>
    <t>15.6</t>
  </si>
  <si>
    <t>15.7</t>
  </si>
  <si>
    <t>15.8</t>
  </si>
  <si>
    <t>15.9</t>
  </si>
  <si>
    <t>15.10</t>
  </si>
  <si>
    <t>15.11</t>
  </si>
  <si>
    <t>15.12</t>
  </si>
  <si>
    <t>15.13</t>
  </si>
  <si>
    <t>15.14</t>
  </si>
  <si>
    <t>16.2</t>
  </si>
  <si>
    <t>16.3</t>
  </si>
  <si>
    <t>16.4</t>
  </si>
  <si>
    <t>16.5</t>
  </si>
  <si>
    <t>16.6</t>
  </si>
  <si>
    <t>16.7</t>
  </si>
  <si>
    <t>16.8</t>
  </si>
  <si>
    <t xml:space="preserve">Orçamentos </t>
  </si>
  <si>
    <t xml:space="preserve">ORÇAMENTO 1 </t>
  </si>
  <si>
    <t>ORÇAMENTO 2</t>
  </si>
  <si>
    <t>ORÇAMENTO 3</t>
  </si>
  <si>
    <t>RENTABILIDADE _ BRUTO</t>
  </si>
  <si>
    <t>RENTABILIDADE _ LÍQUIDO</t>
  </si>
  <si>
    <r>
      <t xml:space="preserve">Compra de imagens </t>
    </r>
    <r>
      <rPr>
        <b/>
        <sz val="12"/>
        <color rgb="FFFF0000"/>
        <rFont val="Calibri Light"/>
        <family val="2"/>
        <scheme val="major"/>
      </rPr>
      <t>- VALIDAR COM CRIAÇÃO + ATENDIMENTO!!!!!!!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theme="1"/>
        <rFont val="Calibri Light"/>
        <family val="2"/>
        <scheme val="major"/>
      </rPr>
      <t>A ser avaliado conforme desenvolvimento das peças. Valores apresentados posteriormente.</t>
    </r>
  </si>
  <si>
    <t>18.8</t>
  </si>
  <si>
    <t>18.9</t>
  </si>
  <si>
    <t>18.10</t>
  </si>
  <si>
    <t>18.11</t>
  </si>
  <si>
    <t>18.12</t>
  </si>
  <si>
    <t>18.13</t>
  </si>
  <si>
    <t xml:space="preserve">EM PRODUÇÃO </t>
  </si>
  <si>
    <t>FINALIZADO</t>
  </si>
  <si>
    <t>SIM</t>
  </si>
  <si>
    <t>ITEM EM APROVAÇÃO</t>
  </si>
  <si>
    <t>CANCELADO</t>
  </si>
  <si>
    <t>TAXA BANCÁRIA</t>
  </si>
  <si>
    <t>TAXA BANCÁRIA POR MÊS</t>
  </si>
  <si>
    <t>NÃO SE APLICA HONORÁRIOS</t>
  </si>
  <si>
    <r>
      <rPr>
        <b/>
        <sz val="11"/>
        <color theme="1"/>
        <rFont val="Calibri"/>
        <family val="2"/>
        <scheme val="minor"/>
      </rPr>
      <t>I - Interno</t>
    </r>
    <r>
      <rPr>
        <sz val="11"/>
        <color theme="1"/>
        <rFont val="Calibri"/>
        <family val="2"/>
        <scheme val="minor"/>
      </rPr>
      <t xml:space="preserve"> - Faturado e pago pela Innova</t>
    </r>
  </si>
  <si>
    <r>
      <rPr>
        <b/>
        <sz val="11"/>
        <color theme="1"/>
        <rFont val="Calibri"/>
        <family val="2"/>
        <scheme val="minor"/>
      </rPr>
      <t xml:space="preserve">T - Terceiro </t>
    </r>
    <r>
      <rPr>
        <sz val="11"/>
        <color theme="1"/>
        <rFont val="Calibri"/>
        <family val="2"/>
        <scheme val="minor"/>
      </rPr>
      <t>- Faturado e pago pelo cliente</t>
    </r>
  </si>
  <si>
    <r>
      <rPr>
        <b/>
        <sz val="11"/>
        <color theme="1"/>
        <rFont val="Calibri"/>
        <family val="2"/>
        <scheme val="minor"/>
      </rPr>
      <t>C - Criação</t>
    </r>
    <r>
      <rPr>
        <sz val="11"/>
        <color theme="1"/>
        <rFont val="Calibri"/>
        <family val="2"/>
        <scheme val="minor"/>
      </rPr>
      <t xml:space="preserve"> - Custo interno, avaliar se haverá custo ou se será cobrado na % ao final da panilha (atualizar na linha 428)</t>
    </r>
  </si>
  <si>
    <t>08h00 as 20h00</t>
  </si>
  <si>
    <t xml:space="preserve">10h00 as 22h00 </t>
  </si>
  <si>
    <t>13h00 as 01h00</t>
  </si>
  <si>
    <t>20h00 as 08h00</t>
  </si>
  <si>
    <t>SEG</t>
  </si>
  <si>
    <t>TER</t>
  </si>
  <si>
    <t>QUA</t>
  </si>
  <si>
    <t>QUI</t>
  </si>
  <si>
    <t>SEX</t>
  </si>
  <si>
    <t>SAB</t>
  </si>
  <si>
    <t>DOM</t>
  </si>
  <si>
    <t>MONTAGEM</t>
  </si>
  <si>
    <t>EVENTO</t>
  </si>
  <si>
    <t>DESMONTAGEM</t>
  </si>
  <si>
    <t>TOTAL</t>
  </si>
  <si>
    <t>LIMPEZA</t>
  </si>
  <si>
    <t>CARREGADORES</t>
  </si>
  <si>
    <t>BRIGADISTAS</t>
  </si>
  <si>
    <t>ALIMENTAÇÃO</t>
  </si>
  <si>
    <t>Atendimento</t>
  </si>
  <si>
    <t>Diretor de atendimento</t>
  </si>
  <si>
    <t>Dirertor de produção</t>
  </si>
  <si>
    <t>Head de produção</t>
  </si>
  <si>
    <t>Executivo</t>
  </si>
  <si>
    <t>Assistente do executivo</t>
  </si>
  <si>
    <t>*Incluir a quantidade de refeição / pax / dia</t>
  </si>
  <si>
    <t>RÁDIO HT</t>
  </si>
  <si>
    <t>Última atualização em:</t>
  </si>
  <si>
    <t>Item</t>
  </si>
  <si>
    <t>Início</t>
  </si>
  <si>
    <t>Término</t>
  </si>
  <si>
    <t>Dias</t>
  </si>
  <si>
    <t>Responsável</t>
  </si>
  <si>
    <t>Status</t>
  </si>
  <si>
    <t>Observações</t>
  </si>
  <si>
    <t>PENDENTE</t>
  </si>
  <si>
    <t>SUB TOTAL GERAL (01 + 02 + 03)</t>
  </si>
  <si>
    <r>
      <rPr>
        <b/>
        <sz val="12"/>
        <color rgb="FFFF0000"/>
        <rFont val="Calibri Light"/>
        <family val="2"/>
        <scheme val="major"/>
      </rPr>
      <t>PLANEJAMENTO TÁTICO E CRIAÇÃO</t>
    </r>
    <r>
      <rPr>
        <b/>
        <sz val="12"/>
        <rFont val="Calibri Light"/>
        <family val="2"/>
        <scheme val="major"/>
      </rPr>
      <t xml:space="preserve">  - SOBRE ITENS INTERNOS (I) E TERCEIROS (T)</t>
    </r>
  </si>
  <si>
    <t>BUDGET</t>
  </si>
  <si>
    <t>HOSPEDAGEM</t>
  </si>
  <si>
    <r>
      <t xml:space="preserve">Clean-up do mailing
</t>
    </r>
    <r>
      <rPr>
        <sz val="12"/>
        <color rgb="FFFF0000"/>
        <rFont val="Calibri Light"/>
        <family val="2"/>
        <scheme val="major"/>
      </rPr>
      <t>Prazo para recebimento:
Valor sujeito a alteração sem aviso prévio.
Caso o recebimento aconteça após a data sinalizado, valores poderão sofrer ajuste.
Validade da proposta: XX dias à partir de xx/xx/xx.</t>
    </r>
  </si>
  <si>
    <r>
      <t xml:space="preserve">Disparo de E-mail Marketing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 aconteça após a data sinalizado, valores poderão sofrer ajuste.
Validade da proposta: XX dias à partir de xx/xx/xx.</t>
    </r>
  </si>
  <si>
    <r>
      <t xml:space="preserve">Disparo de Whatsapp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</si>
  <si>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Disparo de SMS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</si>
  <si>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Chatbot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</si>
  <si>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PA - Serviço Ativo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</si>
  <si>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PA - Serviço Receptivo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</si>
  <si>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Serviço Chatbot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</si>
  <si>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E-mail de agradecimento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Validade da proposta: XX dias à partir de xx/xx/xx.</t>
    </r>
  </si>
  <si>
    <r>
      <t xml:space="preserve">Pesquisa de Satisfação
</t>
    </r>
    <r>
      <rPr>
        <sz val="12"/>
        <color rgb="FFFF0000"/>
        <rFont val="Calibri Light"/>
        <family val="2"/>
        <scheme val="major"/>
      </rPr>
      <t>Prazo para aprovação:
Prazo para configurações de sistema:
Valor sujeito a alteração sem aviso prévio.
Caso a aprovação aconteça após a data sinalizado, valores poderão sofrer ajuste.
Validade da proposta: XX dias à partir de xx/xx/xx.</t>
    </r>
  </si>
  <si>
    <r>
      <t xml:space="preserve">Hotsite / Landingpage / APP
</t>
    </r>
    <r>
      <rPr>
        <sz val="12"/>
        <color rgb="FFFF0000"/>
        <rFont val="Calibri Light"/>
        <family val="2"/>
        <scheme val="major"/>
      </rPr>
      <t>Prazo de produção: XX dias úteis à partir do recebimento da AF considerando a realziação de testes e validações de segurança. 
Valor sujeito a alteração sem aviso prévio.
Caso a aprovação aconteça após a data sinalizado, valores poderão sofrer ajuste.
Validade da proposta: XX dias à partir de xx/xx/xx.</t>
    </r>
  </si>
  <si>
    <r>
      <t xml:space="preserve">QR Code
</t>
    </r>
    <r>
      <rPr>
        <sz val="12"/>
        <color rgb="FFFF0000"/>
        <rFont val="Calibri Light"/>
        <family val="2"/>
        <scheme val="major"/>
      </rPr>
      <t>Prazo de produção: XX dias úteis à partir do recebimento do link para direcionamento.
Valor sujeito a alteração sem aviso prévio.
Caso a aprovação e o recebimento do link aconteçam após a data sinalizado, valores poderão sofrer ajuste.
Validade da proposta: XX dias à partir de xx/xx/xx.</t>
    </r>
  </si>
  <si>
    <r>
      <t xml:space="preserve">Equipamentos Credenciamento - tótens + help desk
</t>
    </r>
    <r>
      <rPr>
        <sz val="12"/>
        <color rgb="FFFF0000"/>
        <rFont val="Calibri Light"/>
        <family val="2"/>
        <scheme val="major"/>
      </rPr>
      <t>Prazo para aprovação:
Valor sujeito a alteração sem aviso prévio.
Caso a aprovação aconteça após a data sinalizado, valores poderão sofrer ajuste.
Validade da proposta: XX dias à partir de xx/xx/xx.</t>
    </r>
  </si>
  <si>
    <r>
      <t xml:space="preserve">Coordenador
</t>
    </r>
    <r>
      <rPr>
        <sz val="12"/>
        <color rgb="FFFF0000"/>
        <rFont val="Calibri Light"/>
        <family val="2"/>
        <scheme val="major"/>
      </rPr>
      <t>Prazo para aprovação:
Valor sujeito a alteração sem aviso prévio.
Caso a aprovação aconteça após a data sinalizado, valores poderão sofrer ajuste.
Validade da proposta: XX dias à partir de xx/xx/xx.</t>
    </r>
  </si>
  <si>
    <r>
      <t>Promotoras Credenciamento</t>
    </r>
    <r>
      <rPr>
        <sz val="12"/>
        <color rgb="FFFF0000"/>
        <rFont val="Calibri Light"/>
        <family val="2"/>
        <scheme val="major"/>
      </rPr>
      <t xml:space="preserve">
Prazo para aprovação:
Valor sujeito a alteração sem aviso prévio.
Caso a aprovação aconteça após a data sinalizado, valores poderão sofrer ajuste.
Validade da proposta: XX dias à partir de xx/xx/xx.</t>
    </r>
  </si>
  <si>
    <r>
      <t xml:space="preserve">Hotel - Locação de Salas Plenária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</si>
  <si>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Salas De apoio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</si>
  <si>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Foyer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</si>
  <si>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Sala de Reunião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</si>
  <si>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Espaços extras 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</si>
  <si>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Hotel - Locação de Espaços extras (sala de produção, camarim, estoque)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</si>
  <si>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Espaço e eventos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</si>
  <si>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Taxas Sobre a Locação do Espaço
</t>
    </r>
    <r>
      <rPr>
        <sz val="12"/>
        <color rgb="FFFF0000"/>
        <rFont val="Calibri Light"/>
        <family val="2"/>
        <scheme val="major"/>
      </rPr>
      <t>Consulta realizada em XX/XX/XX.
Validade da proposta: XX dias à partir de xx/xx/xx.
Valor sujeito a alteração sem aviso prévio:
Forma de pagamento:</t>
    </r>
  </si>
  <si>
    <r>
      <t xml:space="preserve">Shopping - Loja, quiosque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</si>
  <si>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Espaço público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</si>
  <si>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Empena
</t>
    </r>
    <r>
      <rPr>
        <sz val="12"/>
        <color rgb="FFFF0000"/>
        <rFont val="Calibri Light"/>
        <family val="2"/>
        <scheme val="major"/>
      </rPr>
      <t>Sujeito à disponibilidade para o período. Apenas cotação, sem realização de bloqueio.
Consulta realizada em XX/XX/XX.
Validade da proposta: XX dias à partir de xx/xx/xx.
Valor sujeito a alteração sem aviso prévio.
Forma de pagamento:</t>
    </r>
  </si>
  <si>
    <r>
      <t xml:space="preserve">Cenografia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Valores poderão sofrer ajustes em caso de alteração do escopo do projeto após apresentação.</t>
    </r>
  </si>
  <si>
    <r>
      <t xml:space="preserve">Dog House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</si>
  <si>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House Mix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</si>
  <si>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Pranchão e cadeira para house mix
</t>
    </r>
    <r>
      <rPr>
        <sz val="12"/>
        <color rgb="FFFF0000"/>
        <rFont val="Calibri Light"/>
        <family val="2"/>
        <scheme val="major"/>
      </rPr>
      <t>Modelo e cor sujeito à disponibilidade em estoque.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Quantidades e valor poderão sofrer ajuste após realziação de visita técnica.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</si>
  <si>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Acabamento ribaltas (Protetor em madeira para esconder os spots de iluminação )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</si>
  <si>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ART Elétrica + ART Estudo Estrutural/Carga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</t>
    </r>
  </si>
  <si>
    <r>
      <t xml:space="preserve">Chapeamento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</si>
  <si>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Revestimento em lycra / malha tensionada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</si>
  <si>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Piso elevado / tablado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produção:
Valores poderão sofrer ajustes em caso de alteração do escopo do projeto após apresentação.</t>
    </r>
  </si>
  <si>
    <r>
      <t xml:space="preserve">Nivelamento de Piso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</si>
  <si>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Rampa de acesso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</si>
  <si>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Acabamento Piso (forração, easy floor, palet recapeadoetc)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</si>
  <si>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Ignifugação
</t>
    </r>
    <r>
      <rPr>
        <sz val="12"/>
        <color rgb="FFFF0000"/>
        <rFont val="Calibri Light"/>
        <family val="2"/>
        <scheme val="major"/>
      </rPr>
      <t>Valor sujeito a alteração após realização da visita técnica.
Prazo para aprovação:
Valores poderão sofrer ajustes em caso de alteração do escopo do projeto após apresentação.</t>
    </r>
  </si>
  <si>
    <r>
      <t xml:space="preserve">Paisagismo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</si>
  <si>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Locação de mobiliário Evento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</si>
  <si>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Locação de mobiliário Camarim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</si>
  <si>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Locação de mobiliário House Mix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</si>
  <si>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rPr>
        <b/>
        <sz val="12"/>
        <color theme="1"/>
        <rFont val="Calibri Light"/>
        <family val="2"/>
        <scheme val="major"/>
      </rPr>
      <t>Mobiliário hotel - House mix</t>
    </r>
    <r>
      <rPr>
        <sz val="12"/>
        <color theme="1"/>
        <rFont val="Calibri Light"/>
        <family val="2"/>
        <scheme val="major"/>
      </rPr>
      <t xml:space="preserve">
Cadeiras, pranchões, toalhas sob responsabilidade do hotel.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</si>
  <si>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rPr>
        <b/>
        <sz val="12"/>
        <color theme="1"/>
        <rFont val="Calibri Light"/>
        <family val="2"/>
        <scheme val="major"/>
      </rPr>
      <t>Mobiliário hotel</t>
    </r>
    <r>
      <rPr>
        <sz val="12"/>
        <color theme="1"/>
        <rFont val="Calibri Light"/>
        <family val="2"/>
        <scheme val="major"/>
      </rPr>
      <t xml:space="preserve">
Cadeiras, pranchões, toalhas sob responsabilidade do hotel.
Espaços plenária, salas e outras demandas.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Prazo para aprovação:
Sem realização de pré reserva sem a realização do pagamento de sinal ou assinatura do contrato.</t>
    </r>
  </si>
  <si>
    <r>
      <t xml:space="preserve">Decoração Floral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</si>
  <si>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Arranjo de mesa
</t>
    </r>
    <r>
      <rPr>
        <sz val="12"/>
        <color rgb="FFFF0000"/>
        <rFont val="Calibri Light"/>
        <family val="2"/>
        <scheme val="major"/>
      </rPr>
      <t>Valor sujeito a alteração sem aviso prévio.
Sujeito à disponibilidade em estoque de modelo e cores.
3D apresentado com referências podendo sofrer alteração.
Prazo para aprovação:</t>
    </r>
  </si>
  <si>
    <r>
      <t xml:space="preserve">Decorador
</t>
    </r>
    <r>
      <rPr>
        <sz val="12"/>
        <color rgb="FFFF0000"/>
        <rFont val="Calibri Light"/>
        <family val="2"/>
        <scheme val="major"/>
      </rPr>
      <t>Período de contratação:
Valor sujeito a alteração sem aviso prévio.
Prazo para aprovação:</t>
    </r>
  </si>
  <si>
    <r>
      <t xml:space="preserve">Aderecista
</t>
    </r>
    <r>
      <rPr>
        <sz val="12"/>
        <color rgb="FFFF0000"/>
        <rFont val="Calibri Light"/>
        <family val="2"/>
        <scheme val="major"/>
      </rPr>
      <t>Período de contratação:
Valor sujeito a alteração sem aviso prévio.
Prazo para aprovação:</t>
    </r>
  </si>
  <si>
    <r>
      <t xml:space="preserve">Louças
</t>
    </r>
    <r>
      <rPr>
        <sz val="12"/>
        <color rgb="FFFF0000"/>
        <rFont val="Calibri Light"/>
        <family val="2"/>
        <scheme val="major"/>
      </rPr>
      <t>Período de locação:
Valor sujeito a alteração sem aviso prévio e conforme alteração do escopo.
Modelos e cores sujeitos à disponibiidade em estoque.
Prazo para aprovação: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Sem realização de pré reserva sem a realização do pagamento de sinal ou assinatura do contrato.</t>
    </r>
  </si>
  <si>
    <r>
      <t xml:space="preserve">Acessórios para mesa (guardanapos em tecido, sousplat)
</t>
    </r>
    <r>
      <rPr>
        <sz val="12"/>
        <color rgb="FFFF0000"/>
        <rFont val="Calibri Light"/>
        <family val="2"/>
        <scheme val="major"/>
      </rPr>
      <t>Período de locação:
Valor sujeito a alteração sem aviso prévio e conforme alteração do escopo.
Modelos e cores sujeitos à disponibiidade em estoque.
Prazo para aprovação:
Sem realização de pré reserva sem a realização do pagamento de sinal ou assinatura do contrato.</t>
    </r>
  </si>
  <si>
    <r>
      <t xml:space="preserve">Equipamentos - sonorização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</si>
  <si>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Equipamentos - iluminação cenográfica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</si>
  <si>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Iluminação Especial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</si>
  <si>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Equipamentos - led / gerenciamento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</si>
  <si>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Projeção Mapeada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</si>
  <si>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Projeção (projetor)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</si>
  <si>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Tela de projeção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</si>
  <si>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Dog house (estrutura + tela)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</si>
  <si>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Tela de retorno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</si>
  <si>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Gobos personalizado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</si>
  <si>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Tvs (com ou sem pedestal)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</si>
  <si>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Passador de slides com laser point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</si>
  <si>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TP - Equipamentos + técnico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</si>
  <si>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Box Truss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</si>
  <si>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Transmissão Simultânea para o painel de led
</t>
    </r>
    <r>
      <rPr>
        <sz val="12"/>
        <color rgb="FFFF0000"/>
        <rFont val="Century Gothic"/>
        <family val="2"/>
      </rPr>
      <t>Valor sujeito a alteração sem aviso prévio e caso haja alteração do escopo.
Valor e equipamentos sujeitos à disponibilidade em estoque.
Prazo para aprovação:</t>
    </r>
  </si>
  <si>
    <r>
      <t xml:space="preserve">Transmissão Ao Vivo - Externa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</si>
  <si>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Grupo de Geradores - (Montagem + ensaio / Evento ) 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</si>
  <si>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Passa cabo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</si>
  <si>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Sonoplasta</t>
    </r>
    <r>
      <rPr>
        <sz val="12"/>
        <color theme="1"/>
        <rFont val="Calibri Light"/>
        <family val="2"/>
        <scheme val="major"/>
      </rPr>
      <t xml:space="preserve">
01 profissional x XX diária de ensaio + XX diárias de evento.
Custo contemplando:
</t>
    </r>
    <r>
      <rPr>
        <sz val="12"/>
        <color rgb="FFFF0000"/>
        <rFont val="Calibri Light"/>
        <family val="2"/>
        <scheme val="major"/>
      </rPr>
      <t>Sujeito à disponibilidade para o período.
Prazo para aprovação:</t>
    </r>
  </si>
  <si>
    <r>
      <t xml:space="preserve">Eletricista
</t>
    </r>
    <r>
      <rPr>
        <sz val="12"/>
        <color theme="1"/>
        <rFont val="Calibri Light"/>
        <family val="2"/>
        <scheme val="major"/>
      </rPr>
      <t xml:space="preserve">01 profissional x XX diária de montagem + XX diárias de evento.
Custo contemplando:
</t>
    </r>
    <r>
      <rPr>
        <sz val="12"/>
        <color rgb="FFFF0000"/>
        <rFont val="Calibri Light"/>
        <family val="2"/>
        <scheme val="major"/>
      </rPr>
      <t>Sujeito à disponibilidade para o período.
Prazo para aprovação:</t>
    </r>
  </si>
  <si>
    <r>
      <t xml:space="preserve">Arquibancada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</si>
  <si>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Palco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</si>
  <si>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Estrutura metálica para led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</si>
  <si>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Praticáveis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</si>
  <si>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Tubulações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</si>
  <si>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Tendas (plenária, sala de apoio, cozinha, ativação, palco, etc)
</t>
    </r>
    <r>
      <rPr>
        <sz val="12"/>
        <rFont val="Calibri Light"/>
        <family val="2"/>
        <scheme val="major"/>
      </rPr>
      <t>Período contemplado:
Sem personalização:</t>
    </r>
    <r>
      <rPr>
        <b/>
        <sz val="12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</si>
  <si>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Octanorme salas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</si>
  <si>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Container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</si>
  <si>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Nivelamento de terreno / terraplanagem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</si>
  <si>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Estudo de Solo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</si>
  <si>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Elevador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</si>
  <si>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Fechamento em módulos de placa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</si>
  <si>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Barricada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</si>
  <si>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Gradeamento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</si>
  <si>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Unifilas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</si>
  <si>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Cone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</si>
  <si>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Fita zebrada
</t>
    </r>
    <r>
      <rPr>
        <sz val="12"/>
        <color rgb="FFFF0000"/>
        <rFont val="Calibri Light"/>
        <family val="2"/>
        <scheme val="major"/>
      </rPr>
      <t>Sem personalização.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</si>
  <si>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Cavalete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</si>
  <si>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Aterramento e para-raio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</si>
  <si>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(mão de obra e materiais)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</si>
  <si>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(caixa d'água)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</si>
  <si>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Hidráulica (Fossas/ Caminhão limpa fossa)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</si>
  <si>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Caminhão pipa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</si>
  <si>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Banheiro Químico / Container / Módulo construídos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</si>
  <si>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Insumos (Sabonete, papel,  remédios, absorventes, etc)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escopo, e encerramento da execução.
Valor e equipamentos sujeitos à disponibilidade em estoque.
Prazo para aprovação:</t>
    </r>
  </si>
  <si>
    <r>
      <t xml:space="preserve">Calhas (Calhas de madeira exigidas pelo SEGUR3 e Corpo de Bombeiros para cobertura dos fios)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</si>
  <si>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Eletrônicos (geladeira, fogão, frigobar)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Modelo, cor e marca conforme disponibilidade em estoque.
Valor e equipamentos sujeitos à disponibilidade em estoque.
Prazo para aprovação: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Sem pré bloqueio. Somente com pagaento do sinal ou assinatura do contrato.</t>
    </r>
  </si>
  <si>
    <r>
      <t xml:space="preserve">Tótem de Carregador de celular
</t>
    </r>
    <r>
      <rPr>
        <sz val="12"/>
        <color theme="1"/>
        <rFont val="Calibri Light"/>
        <family val="2"/>
        <scheme val="major"/>
      </rPr>
      <t>Personalização: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</si>
  <si>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Lixeiras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</si>
  <si>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Cinzeiro / porta bituca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</si>
  <si>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Carrinho elétrico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</si>
  <si>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Aromatizadores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</si>
  <si>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House Mix</t>
    </r>
    <r>
      <rPr>
        <sz val="12"/>
        <color theme="1"/>
        <rFont val="Calibri Light"/>
        <family val="2"/>
        <scheme val="major"/>
      </rPr>
      <t xml:space="preserve">
Internet para uso da house mix conforme necessidade, mínimo de 30 megas indicado para baixar conteúdos.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</si>
  <si>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Wi-Fi Convidados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</si>
  <si>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Streaming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</si>
  <si>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rPr>
        <b/>
        <sz val="12"/>
        <color theme="1"/>
        <rFont val="Calibri Light"/>
        <family val="2"/>
        <scheme val="major"/>
      </rPr>
      <t>Internet - Ativação</t>
    </r>
    <r>
      <rPr>
        <sz val="12"/>
        <color theme="1"/>
        <rFont val="Calibri Light"/>
        <family val="2"/>
        <scheme val="major"/>
      </rPr>
      <t xml:space="preserve">
Uso de internet wi-fi para os convidados durante o período do evento.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</si>
  <si>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Ar condicionado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</si>
  <si>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Climatização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</si>
  <si>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Ventiladores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</si>
  <si>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Plataforma elevatória - Geni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</si>
  <si>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Frete ida e volta Plataforma elevatória - Geni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</si>
  <si>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Guincho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</si>
  <si>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Guindaste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</si>
  <si>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Munch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</si>
  <si>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Caçamba
</t>
    </r>
    <r>
      <rPr>
        <sz val="12"/>
        <color rgb="FFFF0000"/>
        <rFont val="Calibri Light"/>
        <family val="2"/>
        <scheme val="major"/>
      </rPr>
      <t>Valor sujeito a alteração sem aviso prévio e caso haja alteração do escopo.
Valor e equipamentos sujeitos à disponibilidade em estoque.
Prazo para aprovação:</t>
    </r>
  </si>
  <si>
    <r>
      <t xml:space="preserve">Captação do evento - Vídeo
</t>
    </r>
    <r>
      <rPr>
        <sz val="12"/>
        <rFont val="Calibri Light"/>
        <family val="2"/>
        <scheme val="major"/>
      </rPr>
      <t>Contemplado em orçamento:</t>
    </r>
    <r>
      <rPr>
        <sz val="12"/>
        <color rgb="FFFF0000"/>
        <rFont val="Calibri Light"/>
        <family val="2"/>
        <scheme val="major"/>
      </rPr>
      <t xml:space="preserve">
Período contemplado:
Prazo de produção:
Valor sujeito a alteração sem aviso prévio e caso haja alteração no escopo do projeto.</t>
    </r>
  </si>
  <si>
    <r>
      <t xml:space="preserve">Vinhetas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Período contemplado:
Prazo de produção:
Valor sujeito a alteração sem aviso prévio e caso haja alteração no escopo do projeto.</t>
    </r>
  </si>
  <si>
    <r>
      <t xml:space="preserve">Vídeo de Abertura Plenária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</si>
  <si>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de Encerramento Plenária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</si>
  <si>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Case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</si>
  <si>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Vídeo Depoimento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</si>
  <si>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Conteúdo Bruto Cliente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entrega:
Valor sujeito a alteração sem aviso prévio e caso haja alteração no escopo do projeto.</t>
    </r>
  </si>
  <si>
    <r>
      <t xml:space="preserve">Ppt - Diagramação, profissional especializado e operacional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</si>
  <si>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Conteúdo Projeção Mapeada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</si>
  <si>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Enxoval de comunicação (tela de abertura e encerramento, tela de fuga, tela de aviso, GC, mosca, etc)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</si>
  <si>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Café da Manhã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</si>
  <si>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Almoço e Jantar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</si>
  <si>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Happy Hour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</si>
  <si>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Brunch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</si>
  <si>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Coquetel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</si>
  <si>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Festa de Encerramento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</si>
  <si>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Coffee Break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</si>
  <si>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Alimentação - Mesa de Encerramento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</si>
  <si>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Bebidas - Pacote com e sem álcool
</t>
    </r>
    <r>
      <rPr>
        <sz val="12"/>
        <color rgb="FFFF0000"/>
        <rFont val="Calibri Light"/>
        <family val="2"/>
        <scheme val="major"/>
      </rPr>
      <t>Duração do serviço:
Valor sujeito a alteração sem aviso prévio.
Alterações no cardápio poderão gerar alteração no valor final.
Forma de pagamento:
Prazo para aprovação:</t>
    </r>
  </si>
  <si>
    <r>
      <t xml:space="preserve">Materiais para cozinha (Estrutura para montagem de buffet/ catering: tubulação de gás, dedetização, fogão, geladeira, fechamentos, etc)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</si>
  <si>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Equipe: Garçons, Chef, Maitre
</t>
    </r>
    <r>
      <rPr>
        <sz val="12"/>
        <color rgb="FFFF0000"/>
        <rFont val="Calibri Light"/>
        <family val="2"/>
        <scheme val="major"/>
      </rPr>
      <t>Duração do serviço:
Valor sujeito a alteração sem aviso prévio.
Forma de pagamento:
Prazo para aprovação:</t>
    </r>
  </si>
  <si>
    <r>
      <t xml:space="preserve">Bebidas de Apoio na plenária
</t>
    </r>
    <r>
      <rPr>
        <sz val="12"/>
        <color rgb="FFFF0000"/>
        <rFont val="Calibri Light"/>
        <family val="2"/>
        <scheme val="major"/>
      </rPr>
      <t>Duração do serviço:
Valor sujeito a alteração sem aviso prévio.
Forma de pagamento:
Prazo para aprovação:</t>
    </r>
  </si>
  <si>
    <r>
      <t xml:space="preserve">Alimentação - Doces Personalizados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</si>
  <si>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Taxas Sobre A&amp;B
</t>
    </r>
    <r>
      <rPr>
        <sz val="12"/>
        <color rgb="FFFF0000"/>
        <rFont val="Calibri Light"/>
        <family val="2"/>
        <scheme val="major"/>
      </rPr>
      <t>Valor sujeito a alteração sem aviso prévio.
Forma de pagamento:
Prazo para aprovação:</t>
    </r>
  </si>
  <si>
    <r>
      <t xml:space="preserve">Brinde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Sujeito à disponibilidade em estoque de quantidade, modelo e cor.
Valor sujeito a alteração sem aviso prévio.</t>
    </r>
  </si>
  <si>
    <r>
      <t xml:space="preserve">Tag (brinde, mala, camiseta)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</si>
  <si>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Ecobag / Sacochila / Caixa - Embalagem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Sujeito à disponibilidade em estoque de quantidade, modelo e cor.
Valor sujeito a alteração sem aviso prévio.</t>
    </r>
  </si>
  <si>
    <r>
      <t xml:space="preserve">Carta de Boas Vindas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Valor sujeito a alteração sem aviso prévio.</t>
    </r>
  </si>
  <si>
    <r>
      <t xml:space="preserve">Crachá PS / couchê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 </t>
    </r>
    <r>
      <rPr>
        <sz val="12"/>
        <color rgb="FFFF0000"/>
        <rFont val="Calibri Light"/>
        <family val="2"/>
        <scheme val="major"/>
      </rPr>
      <t>e XX dias úteis para produção e entrega após aprovação da amostra.
Valor sujeito a alteração sem aviso prévio.</t>
    </r>
  </si>
  <si>
    <r>
      <t xml:space="preserve">Bolsa para credencial em PVC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</si>
  <si>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Etiqueta Personalizada para credencial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</si>
  <si>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Cordão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</si>
  <si>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Bloco de anotações / caderno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</si>
  <si>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Caneta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</si>
  <si>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Camisetas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</si>
  <si>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Camisa polo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</si>
  <si>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Ficha de Palco 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</si>
  <si>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Pulseira de identificação participantes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Sujeito à disponibilidade em estoque de quantidade, modelo e cor.
Valor sujeito a alteração sem aviso prévio.</t>
    </r>
  </si>
  <si>
    <r>
      <t xml:space="preserve">Placa de Aeroporto e identificação de van/micro ônibus/ônibus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</si>
  <si>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 identificação de porta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</si>
  <si>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 aviso de uso de imagem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</si>
  <si>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Placas de sinalização do espaço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</si>
  <si>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Capa de cadeira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</si>
  <si>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Uniforme - Promotores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(ATUALIZAR CONFORME A DEMANDA) e XX dias úteis para produção e entrega após aprovação da amostra.
Valor sujeito a alteração sem aviso prévio.</t>
    </r>
  </si>
  <si>
    <r>
      <t xml:space="preserve">Calçados
</t>
    </r>
    <r>
      <rPr>
        <sz val="12"/>
        <color rgb="FFFF0000"/>
        <rFont val="Calibri Light"/>
        <family val="2"/>
        <scheme val="major"/>
      </rPr>
      <t>Sem personalização.
Modelo e cor conforme disponibilidade em loja física ou virtual para compra.
Valor sujeito a alteração sem aviso prévio.</t>
    </r>
  </si>
  <si>
    <r>
      <t xml:space="preserve">Acessórios
</t>
    </r>
    <r>
      <rPr>
        <sz val="12"/>
        <color rgb="FFFF0000"/>
        <rFont val="Calibri Light"/>
        <family val="2"/>
        <scheme val="major"/>
      </rPr>
      <t>Sem personalização.
Modelo e cor conforme disponibilidade em loja física ou virtual para compra.
Valor sujeito a alteração sem aviso prévio.</t>
    </r>
  </si>
  <si>
    <r>
      <t xml:space="preserve">Convite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</si>
  <si>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Envelope Convite / Kit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</si>
  <si>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Tag de carro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</si>
  <si>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Mapa / Agenda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</si>
  <si>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Ingresso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</si>
  <si>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Porta Ingresso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</si>
  <si>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Credencial Estacionamento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</si>
  <si>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Manuseio
</t>
    </r>
    <r>
      <rPr>
        <sz val="12"/>
        <color rgb="FFFF0000"/>
        <rFont val="Calibri Light"/>
        <family val="2"/>
        <scheme val="major"/>
      </rPr>
      <t>Prazo para manuseio:
Valor sujeito a alteração sem aviso prévio ou caso haja alteração do escopo.</t>
    </r>
  </si>
  <si>
    <r>
      <t xml:space="preserve">Guardanapos personalizados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</si>
  <si>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Toalha de Mesa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</si>
  <si>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Cobre Mancha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</si>
  <si>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Toalha - Rosto ou banho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</si>
  <si>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Flip chart - cavalete + folhas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</si>
  <si>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Canetão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</si>
  <si>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Caneta Bic
</t>
    </r>
    <r>
      <rPr>
        <sz val="12"/>
        <color rgb="FFFF0000"/>
        <rFont val="Calibri Light"/>
        <family val="2"/>
        <scheme val="major"/>
      </rPr>
      <t>Sem personalização.
Conforme disponibilidade de modelo e cor em loja física ou virtual.
Valor sujeito a alteração sem aviso prévio conforme disponibilidade de compra.</t>
    </r>
  </si>
  <si>
    <r>
      <t xml:space="preserve">Press Kit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</si>
  <si>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Voucher Guarda volume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</si>
  <si>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Capa de Chuva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</si>
  <si>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Windbanner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
Modelo conforme disponibilidade em estoque.</t>
    </r>
  </si>
  <si>
    <r>
      <t xml:space="preserve">Banner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</si>
  <si>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Colete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</si>
  <si>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Adesivo (chão, vitrine etc)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</si>
  <si>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Balcão degustação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</si>
  <si>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Bandeirola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</si>
  <si>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Bandeja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</si>
  <si>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Blimp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</si>
  <si>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Inflável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</si>
  <si>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Broadside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</si>
  <si>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Calendário
</t>
    </r>
    <r>
      <rPr>
        <sz val="12"/>
        <color rgb="FFFF0000"/>
        <rFont val="Calibri Light"/>
        <family val="2"/>
        <scheme val="major"/>
      </rPr>
      <t xml:space="preserve">Tipo de personalização e tamanho:
Prazo de produção: XX dias úteil após envio da AF para amostra física OU virtual </t>
    </r>
    <r>
      <rPr>
        <b/>
        <sz val="12"/>
        <color rgb="FFFF0000"/>
        <rFont val="Calibri Light"/>
        <family val="2"/>
        <scheme val="major"/>
      </rPr>
      <t>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</si>
  <si>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Cinta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</si>
  <si>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Display (vitrine, mesa, exposição, gôndola, etc)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</si>
  <si>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Etiqueta Personalizada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</t>
    </r>
    <r>
      <rPr>
        <sz val="12"/>
        <color rgb="FFFF0000"/>
        <rFont val="Calibri Light"/>
        <family val="2"/>
        <scheme val="major"/>
      </rPr>
      <t>A) e XX dias úteis para produção e entrega após aprovação da amostra.
Valor sujeito a alteração sem aviso prévio.</t>
    </r>
  </si>
  <si>
    <r>
      <t xml:space="preserve">Faixa de Gôndola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</si>
  <si>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Flâmula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</si>
  <si>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Flyer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</si>
  <si>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Gargalheira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</si>
  <si>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Guarda-sol / Ombrelone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</si>
  <si>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Jogo Americano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</t>
    </r>
    <r>
      <rPr>
        <b/>
        <sz val="12"/>
        <color rgb="FFFF0000"/>
        <rFont val="Calibri Light"/>
        <family val="2"/>
        <scheme val="major"/>
      </rPr>
      <t xml:space="preserve"> (ATUALIZAR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</si>
  <si>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Papel de bandeja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</si>
  <si>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Mochila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
Modelo e cor conforme disponibilidade em estoque.</t>
    </r>
  </si>
  <si>
    <r>
      <t xml:space="preserve">Mock Up
</t>
    </r>
    <r>
      <rPr>
        <sz val="12"/>
        <color rgb="FFFF0000"/>
        <rFont val="Calibri Light"/>
        <family val="2"/>
        <scheme val="major"/>
      </rPr>
      <t>Tipo de personalização e tamanho: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DEMANDA)</t>
    </r>
    <r>
      <rPr>
        <sz val="12"/>
        <color rgb="FFFF0000"/>
        <rFont val="Calibri Light"/>
        <family val="2"/>
        <scheme val="major"/>
      </rPr>
      <t xml:space="preserve"> e XX dias úteis para produção e entrega após aprovação da amostra.
Valor sujeito a alteração sem aviso prévio.</t>
    </r>
  </si>
  <si>
    <r>
      <t xml:space="preserve">EPIs
</t>
    </r>
    <r>
      <rPr>
        <sz val="12"/>
        <color rgb="FFFF0000"/>
        <rFont val="Calibri Light"/>
        <family val="2"/>
        <scheme val="major"/>
      </rPr>
      <t>Sem personalização.
Prazo de entrega:
Valor sujeito a alteração sem aviso prévio.
Modelo e cor conforme disponibilidade em estoque.</t>
    </r>
  </si>
  <si>
    <r>
      <t xml:space="preserve">Limpeza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</si>
  <si>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Segurança Montagem / Evento / Desmontagem - Com cães, motorizado, escolta armada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</si>
  <si>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Carregador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</si>
  <si>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Brigadistas Montagem / Evento / Desmontagem
</t>
    </r>
    <r>
      <rPr>
        <sz val="12"/>
        <color theme="1"/>
        <rFont val="Calibri Light"/>
        <family val="2"/>
        <scheme val="major"/>
      </rPr>
      <t xml:space="preserve">Montagem: XX profissionais x XX diárias
Evento: XX profissionais x XX diárias
Desmontagem: XX profissionais x XX diárias
Carga horária: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</si>
  <si>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Extintores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</si>
  <si>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Ambulância Simples Remoção 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</si>
  <si>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Ambulância UTI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</si>
  <si>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Posto Médico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</si>
  <si>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Promotoras Treinamento
</t>
    </r>
    <r>
      <rPr>
        <sz val="12"/>
        <color theme="1"/>
        <rFont val="Calibri Light"/>
        <family val="2"/>
        <scheme val="major"/>
      </rPr>
      <t xml:space="preserve">XX profissionais x XX diárias
Carga horária:
</t>
    </r>
    <r>
      <rPr>
        <sz val="12"/>
        <color rgb="FFFF0000"/>
        <rFont val="Calibri Light"/>
        <family val="2"/>
        <scheme val="major"/>
      </rPr>
      <t>Prazo para aprovação:
Seleção a ser realizada por foto.</t>
    </r>
  </si>
  <si>
    <r>
      <t xml:space="preserve">Promotoras Evento 
</t>
    </r>
    <r>
      <rPr>
        <sz val="12"/>
        <color theme="1"/>
        <rFont val="Calibri Light"/>
        <family val="2"/>
        <scheme val="major"/>
      </rPr>
      <t xml:space="preserve">Evento: XX profissionais x XX diárias
Carga horária:
</t>
    </r>
    <r>
      <rPr>
        <sz val="12"/>
        <color rgb="FFFF0000"/>
        <rFont val="Calibri Light"/>
        <family val="2"/>
        <scheme val="major"/>
      </rPr>
      <t>Prazo para aprovação:
Seleção a ser realizada por foto.</t>
    </r>
  </si>
  <si>
    <r>
      <t xml:space="preserve">Sistema de catraca
</t>
    </r>
    <r>
      <rPr>
        <sz val="12"/>
        <color theme="1"/>
        <rFont val="Calibri Light"/>
        <family val="2"/>
        <scheme val="major"/>
      </rPr>
      <t>Montagem: XX unidades x XX diárias
Evento: XX unidades x XX diárias
Desmontagem: XX unidades x XX diárias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</si>
  <si>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Pontos de Venda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</si>
  <si>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Promoter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</si>
  <si>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Data Base
</t>
    </r>
    <r>
      <rPr>
        <sz val="12"/>
        <color rgb="FFFF0000"/>
        <rFont val="Calibri Light"/>
        <family val="2"/>
        <scheme val="major"/>
      </rPr>
      <t>Prazo para aprovação:
Forma de pagamento:</t>
    </r>
  </si>
  <si>
    <r>
      <t xml:space="preserve">Locação de veículo para ação (truck, carro, moto, etc)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Modelo e cor sujeito à disponibilidade.</t>
    </r>
  </si>
  <si>
    <r>
      <t xml:space="preserve">Limpeza de veículos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</si>
  <si>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Documentação veículos
</t>
    </r>
    <r>
      <rPr>
        <sz val="12"/>
        <color rgb="FFFF0000"/>
        <rFont val="Calibri Light"/>
        <family val="2"/>
        <scheme val="major"/>
      </rPr>
      <t>Prazo de aprovação:
Valor sujeito a alteração sem aviso prévio e em caso de alteração do escopo.</t>
    </r>
  </si>
  <si>
    <r>
      <t xml:space="preserve">Test Drive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
Modelo e cor sujeito à disponibilidade.</t>
    </r>
  </si>
  <si>
    <r>
      <t xml:space="preserve">Baterias modo show room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
Forma de pagamento:
Modelo e cor sujeito à disponibilidade.</t>
    </r>
  </si>
  <si>
    <r>
      <t xml:space="preserve">Motorista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para aprovação:</t>
    </r>
  </si>
  <si>
    <r>
      <t xml:space="preserve">Combustível e manutenção
</t>
    </r>
    <r>
      <rPr>
        <sz val="12"/>
        <color rgb="FFFF0000"/>
        <rFont val="Calibri Light"/>
        <family val="2"/>
        <scheme val="major"/>
      </rPr>
      <t>Prazo para aprovação:
Valoe sujeito a alteração sem aviso prévio e em caso de alteração do escopo do projeto.</t>
    </r>
  </si>
  <si>
    <r>
      <t xml:space="preserve">Adesivação
</t>
    </r>
    <r>
      <rPr>
        <sz val="12"/>
        <color rgb="FFFF0000"/>
        <rFont val="Calibri Light"/>
        <family val="2"/>
        <scheme val="major"/>
      </rPr>
      <t>Prazo para aprovação:
Prazo de produção: XX dias úteil após envio da AF para amostra física OU virtual (</t>
    </r>
    <r>
      <rPr>
        <b/>
        <sz val="12"/>
        <color rgb="FFFF0000"/>
        <rFont val="Calibri Light"/>
        <family val="2"/>
        <scheme val="major"/>
      </rPr>
      <t>ATUALIZAR CONFORME A DEMANDA</t>
    </r>
    <r>
      <rPr>
        <sz val="12"/>
        <color rgb="FFFF0000"/>
        <rFont val="Calibri Light"/>
        <family val="2"/>
        <scheme val="major"/>
      </rPr>
      <t>) e XX dias úteis para produção e entrega após aprovação da amostra.
Valor sujeito a alteração sem aviso prévio.</t>
    </r>
  </si>
  <si>
    <r>
      <t xml:space="preserve">Visita Guiada - Fones
</t>
    </r>
    <r>
      <rPr>
        <sz val="12"/>
        <color theme="1"/>
        <rFont val="Calibri Light"/>
        <family val="2"/>
        <scheme val="major"/>
      </rPr>
      <t xml:space="preserve">Evento: XX equipamentos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</si>
  <si>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Tradutor de Libras
</t>
    </r>
    <r>
      <rPr>
        <sz val="12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</si>
  <si>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Cabine de tradução + Fones
</t>
    </r>
    <r>
      <rPr>
        <sz val="12"/>
        <rFont val="Calibri Light"/>
        <family val="2"/>
        <scheme val="major"/>
      </rPr>
      <t>Evento: XX equipamentos x XX diárias</t>
    </r>
    <r>
      <rPr>
        <sz val="12"/>
        <color rgb="FFFF0000"/>
        <rFont val="Calibri Light"/>
        <family val="2"/>
        <scheme val="major"/>
      </rPr>
      <t xml:space="preserve">
Carga horária:
Prazo para aprovação:</t>
    </r>
  </si>
  <si>
    <r>
      <t xml:space="preserve">Tradutores (inglês, espanhol, português...)
</t>
    </r>
    <r>
      <rPr>
        <sz val="12"/>
        <color theme="1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</si>
  <si>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Recreadores
</t>
    </r>
    <r>
      <rPr>
        <sz val="12"/>
        <color theme="1"/>
        <rFont val="Calibri Light"/>
        <family val="2"/>
        <scheme val="major"/>
      </rPr>
      <t xml:space="preserve">Evento: XX profissionais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</si>
  <si>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Estacionamento
</t>
    </r>
    <r>
      <rPr>
        <sz val="12"/>
        <color theme="1"/>
        <rFont val="Calibri Light"/>
        <family val="2"/>
        <scheme val="major"/>
      </rPr>
      <t xml:space="preserve">Evento: XX vagas x XX diárias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do evento com a quantidade real de veículos estacionados e conforme o período de uso do serviço.</t>
    </r>
  </si>
  <si>
    <r>
      <t xml:space="preserve">Serviço de Valet
</t>
    </r>
    <r>
      <rPr>
        <sz val="12"/>
        <color theme="1"/>
        <rFont val="Calibri Light"/>
        <family val="2"/>
        <scheme val="major"/>
      </rPr>
      <t xml:space="preserve">Evento: XX vagas x XX diárias
Quantidade de profissionais: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do evento com a quantidade real de veículos estacionados e conforme o período de uso do serviço.</t>
    </r>
  </si>
  <si>
    <r>
      <t xml:space="preserve">Monitoramento (Sistema de cameras com gravação de todos os pontos do evento)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de visita técnica e alinhamentos técnicos.</t>
    </r>
  </si>
  <si>
    <r>
      <t xml:space="preserve">Detectores de metal
</t>
    </r>
    <r>
      <rPr>
        <sz val="12"/>
        <color theme="1"/>
        <rFont val="Calibri Light"/>
        <family val="2"/>
        <scheme val="major"/>
      </rPr>
      <t>Montagem: XX unidades x XX diárias
Evento: XX unidades x XX diárias
Desmontagem: XX unidades x XX diárias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Carga horária:
Prazo para aprovação:
Valor sujeito a alteração após realização de visita técnica e alinhamentos técnicos.</t>
    </r>
  </si>
  <si>
    <r>
      <t xml:space="preserve">Locação de tambores (Locação de Tambores para apreensão de objetos proibidos durante o evento)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</si>
  <si>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Guarda-volumes (Guarda-volumes durante o evento e Achados e Perdidos após o evento : tenda, octanorm, escaninho, mesas, cadeiras, senhas, equipe para operacionalização / Containers)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</si>
  <si>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Assessoria de Imprensa
</t>
    </r>
    <r>
      <rPr>
        <sz val="12"/>
        <color rgb="FFFF0000"/>
        <rFont val="Calibri Light"/>
        <family val="2"/>
        <scheme val="major"/>
      </rPr>
      <t>Prazo para aprovação:
Valor sujeito a alteração em caso de ajuste do escopo do serviço.</t>
    </r>
  </si>
  <si>
    <r>
      <t xml:space="preserve">Guarda Volume (coordenadora + atendentes)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</si>
  <si>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Rádios Comunicadores - HT
</t>
    </r>
    <r>
      <rPr>
        <sz val="12"/>
        <color theme="1"/>
        <rFont val="Calibri Light"/>
        <family val="2"/>
        <scheme val="major"/>
      </rPr>
      <t xml:space="preserve">Quantidade de rádios: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</si>
  <si>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Rádios Comunicadores - Clearcom + in ear
</t>
    </r>
    <r>
      <rPr>
        <sz val="12"/>
        <color theme="1"/>
        <rFont val="Calibri Light"/>
        <family val="2"/>
        <scheme val="major"/>
      </rPr>
      <t xml:space="preserve">Quantidade de cases: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</si>
  <si>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Repetidora de sinal rádio
</t>
    </r>
    <r>
      <rPr>
        <sz val="12"/>
        <color theme="1"/>
        <rFont val="Calibri Light"/>
        <family val="2"/>
        <scheme val="major"/>
      </rPr>
      <t xml:space="preserve">Quantidade de equipamentos:
Período de locação: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</si>
  <si>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Técnico Rádios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</si>
  <si>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Fotógrafo
</t>
    </r>
    <r>
      <rPr>
        <sz val="12"/>
        <color theme="1"/>
        <rFont val="Calibri Light"/>
        <family val="2"/>
        <scheme val="major"/>
      </rPr>
      <t xml:space="preserve">Quantidade de profissionais:
Carga horária:
</t>
    </r>
    <r>
      <rPr>
        <sz val="12"/>
        <color rgb="FFFF0000"/>
        <rFont val="Calibri Light"/>
        <family val="2"/>
        <scheme val="major"/>
      </rPr>
      <t>Prazo para aprovação:
Valor sujeito a alteração sem aviso prévio.</t>
    </r>
  </si>
  <si>
    <r>
      <t xml:space="preserve">Drone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Carga horária:
Prazo para aprovação:</t>
    </r>
  </si>
  <si>
    <r>
      <t xml:space="preserve">Neutralização de Carbono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</si>
  <si>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Ações Sociais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</si>
  <si>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Energia renovável
</t>
    </r>
    <r>
      <rPr>
        <sz val="12"/>
        <color rgb="FFFF0000"/>
        <rFont val="Calibri Light"/>
        <family val="2"/>
        <scheme val="major"/>
      </rPr>
      <t>Prazo de aprovação:
Forma de pagamento:
Valor sujeito a alteração sem aviso prévio e em caso de alteração do escopo.</t>
    </r>
  </si>
  <si>
    <r>
      <t xml:space="preserve">Estrutura de ativação
</t>
    </r>
    <r>
      <rPr>
        <sz val="12"/>
        <color rgb="FFFF0000"/>
        <rFont val="Calibri Light"/>
        <family val="2"/>
        <scheme val="major"/>
      </rPr>
      <t>Prazo para aprovação:
Prazo de produção:
Valor sujeito a alteração sem aviso prévio após definição do roteiro e realização de visita técnica.</t>
    </r>
  </si>
  <si>
    <r>
      <t xml:space="preserve">Atendimento Projeto
</t>
    </r>
    <r>
      <rPr>
        <sz val="12"/>
        <color theme="1"/>
        <rFont val="Calibri Light"/>
        <family val="2"/>
        <scheme val="major"/>
      </rPr>
      <t>Período 1 mês, pré produção, execução e pós produção.</t>
    </r>
  </si>
  <si>
    <r>
      <t xml:space="preserve">Logística terrestre (carro, van, microônibus, ônibus)
</t>
    </r>
    <r>
      <rPr>
        <sz val="12"/>
        <color rgb="FFFF0000"/>
        <rFont val="Calibri Light"/>
        <family val="2"/>
        <scheme val="major"/>
      </rPr>
      <t>Prazo de aprovação:
Veículo sujeito à disponibilidade conforme modelo, cor e capacidade.</t>
    </r>
  </si>
  <si>
    <r>
      <t xml:space="preserve">Horas extras - Logística Terrestre
</t>
    </r>
    <r>
      <rPr>
        <sz val="12"/>
        <color rgb="FFFF0000"/>
        <rFont val="Calibri Light"/>
        <family val="2"/>
        <scheme val="major"/>
      </rPr>
      <t>Prazo de aprovação:
Veículo sujeito à disponibilidade conforme modelo, cor e capacidade.</t>
    </r>
  </si>
  <si>
    <r>
      <t xml:space="preserve">Estacionamento Veículos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Valor sujeito a alteração sem aviso prévio e conforme quantidade de veículos a utilizar o estacionamento.
Forma de pagamento: Ao término do uso.</t>
    </r>
  </si>
  <si>
    <r>
      <t xml:space="preserve">Motorista
</t>
    </r>
    <r>
      <rPr>
        <sz val="12"/>
        <color theme="1"/>
        <rFont val="Calibri Light"/>
        <family val="2"/>
        <scheme val="major"/>
      </rPr>
      <t xml:space="preserve">Montagem: XX unidades x XX diárias
Evento: XX unidades x XX diárias
Desmontagem: XX unidades x XX diárias
</t>
    </r>
    <r>
      <rPr>
        <sz val="12"/>
        <color rgb="FFFF0000"/>
        <rFont val="Calibri Light"/>
        <family val="2"/>
        <scheme val="major"/>
      </rPr>
      <t>Prazo de aprovação:</t>
    </r>
    <r>
      <rPr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conforme quantidade de veículos a utilizar o estacionamento.
Forma de pagamento: Ao término do uso.</t>
    </r>
  </si>
  <si>
    <r>
      <t xml:space="preserve">Coordenadores Aeroportos
</t>
    </r>
    <r>
      <rPr>
        <sz val="12"/>
        <color theme="1"/>
        <rFont val="Calibri Light"/>
        <family val="2"/>
        <scheme val="major"/>
      </rPr>
      <t xml:space="preserve">Quantidade de profissionais XX x local.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</si>
  <si>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Horas extras -  Coordenadores
</t>
    </r>
    <r>
      <rPr>
        <sz val="12"/>
        <color theme="1"/>
        <rFont val="Calibri Light"/>
        <family val="2"/>
        <scheme val="major"/>
      </rPr>
      <t xml:space="preserve">Quantidade de profissionais XX x local.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</si>
  <si>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Água nos Veículos
</t>
    </r>
    <r>
      <rPr>
        <sz val="12"/>
        <color theme="1"/>
        <rFont val="Calibri Light"/>
        <family val="2"/>
        <scheme val="major"/>
      </rPr>
      <t xml:space="preserve">Quantidade contemplada:
</t>
    </r>
    <r>
      <rPr>
        <sz val="12"/>
        <color rgb="FFFF0000"/>
        <rFont val="Calibri Light"/>
        <family val="2"/>
        <scheme val="major"/>
      </rPr>
      <t>Prazo de aprovação:</t>
    </r>
  </si>
  <si>
    <r>
      <t xml:space="preserve">Logística Aérea
</t>
    </r>
    <r>
      <rPr>
        <sz val="12"/>
        <color theme="1"/>
        <rFont val="Calibri Light"/>
        <family val="2"/>
        <scheme val="major"/>
      </rPr>
      <t xml:space="preserve">Prazo de aprovação:
</t>
    </r>
    <r>
      <rPr>
        <sz val="12"/>
        <color rgb="FFFF0000"/>
        <rFont val="Calibri Light"/>
        <family val="2"/>
        <scheme val="major"/>
      </rPr>
      <t>Valor sujeito a a alteração sem aviso prévio e conforme atuallização e disponibilidade das companhias aéreas.
Data da pesquisa:</t>
    </r>
  </si>
  <si>
    <r>
      <t xml:space="preserve">Bagagem extra
</t>
    </r>
    <r>
      <rPr>
        <sz val="12"/>
        <color rgb="FFFF0000"/>
        <rFont val="Calibri Light"/>
        <family val="2"/>
        <scheme val="major"/>
      </rPr>
      <t>Valor a ser atualizado conforme a demanda.
Reserva de verba.
Data da pesquisa:</t>
    </r>
  </si>
  <si>
    <r>
      <t xml:space="preserve">Excesso de bagagem
</t>
    </r>
    <r>
      <rPr>
        <sz val="12"/>
        <color rgb="FFFF0000"/>
        <rFont val="Calibri Light"/>
        <family val="2"/>
        <scheme val="major"/>
      </rPr>
      <t>Valor a ser atualizado conforme a demanda.
Reserva de verba.
Data da pesquisa:</t>
    </r>
  </si>
  <si>
    <r>
      <t xml:space="preserve">Guia Turístico
</t>
    </r>
    <r>
      <rPr>
        <sz val="12"/>
        <color rgb="FFFF0000"/>
        <rFont val="Calibri Light"/>
        <family val="2"/>
        <scheme val="major"/>
      </rPr>
      <t>Quantidade de profissionais XX x local.
Prazo de aprovação:</t>
    </r>
  </si>
  <si>
    <r>
      <t xml:space="preserve">Passeio Turístico
</t>
    </r>
    <r>
      <rPr>
        <sz val="12"/>
        <rFont val="Calibri Light"/>
        <family val="2"/>
        <scheme val="major"/>
      </rPr>
      <t>Orçamento contemplando:</t>
    </r>
    <r>
      <rPr>
        <sz val="12"/>
        <color rgb="FFFF0000"/>
        <rFont val="Calibri Light"/>
        <family val="2"/>
        <scheme val="major"/>
      </rPr>
      <t xml:space="preserve">
Prazo de aprovação:
Valor sujeito a alteração sem aviso prévio e conforme alteração por parte da empresa administradora, variação cambial ou período da prestação do serviço.</t>
    </r>
  </si>
  <si>
    <r>
      <t xml:space="preserve">Entrega de brindes (rodoviário, motoboy)
</t>
    </r>
    <r>
      <rPr>
        <sz val="12"/>
        <color rgb="FFFF0000"/>
        <rFont val="Calibri Light"/>
        <family val="2"/>
        <scheme val="major"/>
      </rPr>
      <t>Tipo de serviço:
Tentativas de entrega:
Cobrança de custo extra:
Prazo de aprovação:
Valr sujeito a alteração confore a grade de entereços.</t>
    </r>
  </si>
  <si>
    <r>
      <t xml:space="preserve">Logística de materiais / produtos cliente
</t>
    </r>
    <r>
      <rPr>
        <sz val="12"/>
        <color theme="1"/>
        <rFont val="Calibri Light"/>
        <family val="2"/>
        <scheme val="major"/>
      </rPr>
      <t>Logística de materiais e produtos do cliente para utilização no evento/ativação (ida e volta)</t>
    </r>
    <r>
      <rPr>
        <b/>
        <sz val="12"/>
        <color theme="1"/>
        <rFont val="Calibri Light"/>
        <family val="2"/>
        <scheme val="major"/>
      </rPr>
      <t>.</t>
    </r>
  </si>
  <si>
    <r>
      <t xml:space="preserve">Hospedagem - Participantes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</si>
  <si>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Mestre de Cerimônias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</si>
  <si>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Palestrante
</t>
    </r>
    <r>
      <rPr>
        <sz val="12"/>
        <color theme="1"/>
        <rFont val="Calibri Light"/>
        <family val="2"/>
        <scheme val="major"/>
      </rPr>
      <t>Categoria x quantidade de quartos x quantidade de diárias.
Incluso café da manhã.
Check in: À partir das XX hs.
Check out: Até as XX hs.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</si>
  <si>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Hospedagem - Banda
</t>
    </r>
    <r>
      <rPr>
        <sz val="12"/>
        <color theme="1"/>
        <rFont val="Calibri Light"/>
        <family val="2"/>
        <scheme val="major"/>
      </rPr>
      <t xml:space="preserve">Categoria x quantidade de quartos x quantidade de diárias.
Incluso café da manhã.
Check in: À partir das XX hs.
Check out: Até as XX hs.
</t>
    </r>
    <r>
      <rPr>
        <sz val="12"/>
        <color rgb="FFFF0000"/>
        <rFont val="Calibri Light"/>
        <family val="2"/>
        <scheme val="major"/>
      </rPr>
      <t>Sujeito à disponibilidade para o período.
Consulta realizada em XX/XX/XX.
Validada da cotação:</t>
    </r>
  </si>
  <si>
    <r>
      <t xml:space="preserve">Taxas Sobre a Hospedagem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</si>
  <si>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Frigobar - Taxa de alteração
</t>
    </r>
    <r>
      <rPr>
        <sz val="12"/>
        <color theme="1"/>
        <rFont val="Calibri Light"/>
        <family val="2"/>
        <scheme val="major"/>
      </rPr>
      <t xml:space="preserve">Regras: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</si>
  <si>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Abertura de porta
</t>
    </r>
    <r>
      <rPr>
        <sz val="12"/>
        <color theme="1"/>
        <rFont val="Calibri Light"/>
        <family val="2"/>
        <scheme val="major"/>
      </rPr>
      <t>Quantidade de quartos x quantidade de abertura.
Regras: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</si>
  <si>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Frigobar - Consumo
</t>
    </r>
    <r>
      <rPr>
        <sz val="12"/>
        <color theme="1"/>
        <rFont val="Calibri Light"/>
        <family val="2"/>
        <scheme val="major"/>
      </rPr>
      <t xml:space="preserve">Regras:
</t>
    </r>
    <r>
      <rPr>
        <sz val="12"/>
        <color rgb="FFFF0000"/>
        <rFont val="Calibri Light"/>
        <family val="2"/>
        <scheme val="major"/>
      </rPr>
      <t>Valor a ser cobrado conforme normas do hotel.
Sujeito a alteração sem aviso prévio.</t>
    </r>
  </si>
  <si>
    <r>
      <t xml:space="preserve">Seguro AP e RC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</si>
  <si>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ECAD - Plenária e evento no geral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</si>
  <si>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TFE e TFA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</si>
  <si>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Alvará (funcionamento, bombeiro)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</si>
  <si>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ASO - Atestado de saúde ocupacional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</si>
  <si>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NRs - Elétrica, altura, etc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</si>
  <si>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Documentação do espaço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</si>
  <si>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Assessoria de Engenharia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</si>
  <si>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Assessoria Jurídica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</si>
  <si>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Regulamento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</si>
  <si>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Recolhimento de taxas promo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</si>
  <si>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CET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</si>
  <si>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Faixas informativas (CET)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</si>
  <si>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PM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</si>
  <si>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Vigilância Sanitária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</si>
  <si>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Vistos trabalhistas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Forma de pagamento:</t>
    </r>
  </si>
  <si>
    <r>
      <t xml:space="preserve">Envio de remessa internacional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</si>
  <si>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Passaporte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</si>
  <si>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Credenciais Evento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</si>
  <si>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Elétrica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</si>
  <si>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Hidráulica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</si>
  <si>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Taxa de Limpeza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</si>
  <si>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Estudo de velocidade do vento (Engenheiro)
</t>
    </r>
    <r>
      <rPr>
        <sz val="12"/>
        <color theme="1"/>
        <rFont val="Calibri Light"/>
        <family val="2"/>
        <scheme val="major"/>
      </rPr>
      <t xml:space="preserve">Considerando:
</t>
    </r>
    <r>
      <rPr>
        <sz val="12"/>
        <color rgb="FFFF0000"/>
        <rFont val="Calibri Light"/>
        <family val="2"/>
        <scheme val="major"/>
      </rPr>
      <t>Valor sujeito a alteração em caso de ajustes/adaptações do projeto.
Prazo para aprovação:
Prazo de entrega:
Forma de pagamento:</t>
    </r>
  </si>
  <si>
    <r>
      <t xml:space="preserve">Verba de Produção
</t>
    </r>
    <r>
      <rPr>
        <sz val="12"/>
        <color theme="1"/>
        <rFont val="Calibri Light"/>
        <family val="2"/>
        <scheme val="major"/>
      </rPr>
      <t>Valores alocados para verba de produção e necessidades emergências de produção.
Entrega e retirada de amostras, motoboy, compra de itens, entre outras demandas.</t>
    </r>
    <r>
      <rPr>
        <sz val="12"/>
        <color rgb="FFFF0000"/>
        <rFont val="Calibri Light"/>
        <family val="2"/>
        <scheme val="major"/>
      </rPr>
      <t xml:space="preserve">
Valores poderão sofrer alteração no decorrer da operação.</t>
    </r>
  </si>
  <si>
    <r>
      <t xml:space="preserve">Logística Aérea Staff
</t>
    </r>
    <r>
      <rPr>
        <sz val="12"/>
        <color rgb="FFFF0000"/>
        <rFont val="Calibri Light"/>
        <family val="2"/>
        <scheme val="major"/>
      </rPr>
      <t>Prazo de aprovação:
Valor sujeito a a alteração sem aviso prévio e conforme atuallização e disponibilidade das companhias aéreas.
Data da pesquisa:</t>
    </r>
  </si>
  <si>
    <r>
      <t xml:space="preserve">Logística terrestre (carro, van, microônibus, ônibus) Staff
</t>
    </r>
    <r>
      <rPr>
        <sz val="12"/>
        <color rgb="FFFF0000"/>
        <rFont val="Calibri Light"/>
        <family val="2"/>
        <scheme val="major"/>
      </rPr>
      <t>Prazo de aprovação:
Valor sujeito a a alteração sem aviso prévio e conforme atuallização e disponibilidade das companhias aéreas.
Data da pesquisa:</t>
    </r>
  </si>
  <si>
    <r>
      <t xml:space="preserve">Hospedagem - Staff
</t>
    </r>
    <r>
      <rPr>
        <sz val="12"/>
        <rFont val="Calibri Light"/>
        <family val="2"/>
        <scheme val="major"/>
      </rPr>
      <t xml:space="preserve">Categoria x quantidade de quartos x quantidade de diárias.
Incluso café da manhã.
</t>
    </r>
    <r>
      <rPr>
        <sz val="12"/>
        <color rgb="FFFF0000"/>
        <rFont val="Calibri Light"/>
        <family val="2"/>
        <scheme val="major"/>
      </rPr>
      <t>Check in: À partir das XX hs.
Check out: Até as XX hs.
Sujeito à disponibilidade para o período.
Consulta realizada em XX/XX/XX.
Validada da cotação:</t>
    </r>
  </si>
  <si>
    <r>
      <t xml:space="preserve">Hospedagem - Fornecedores
</t>
    </r>
    <r>
      <rPr>
        <sz val="12"/>
        <rFont val="Calibri Light"/>
        <family val="2"/>
        <scheme val="major"/>
      </rPr>
      <t xml:space="preserve">Categoria x quantidade de quartos x quantidade de diárias.
Incluso café da manhã.
</t>
    </r>
    <r>
      <rPr>
        <sz val="12"/>
        <color rgb="FFFF0000"/>
        <rFont val="Calibri Light"/>
        <family val="2"/>
        <scheme val="major"/>
      </rPr>
      <t>Check in: À partir das XX hs.
Check out: Até as XX hs.
Sujeito à disponibilidade para o período.
Consulta realizada em XX/XX/XX.
Validada da cotação:</t>
    </r>
  </si>
  <si>
    <r>
      <t xml:space="preserve">Água Staff (montagem, evento e desmontagem)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</si>
  <si>
    <r>
      <t xml:space="preserve">Alimentação - Staff / Serviços / Fornecedores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eventos em SP - 60,00 por alimentação
eventos em SP pavilhão e feiras - 70,00 por alimentação
eventos SPI - 70,00 por alimentação
eventos em outros estados - 80,00 por alimentação</t>
    </r>
  </si>
  <si>
    <r>
      <t xml:space="preserve">Estacionamento Staff - Evento 
</t>
    </r>
    <r>
      <rPr>
        <sz val="12"/>
        <color theme="1"/>
        <rFont val="Calibri Light"/>
        <family val="2"/>
        <scheme val="major"/>
      </rPr>
      <t xml:space="preserve">Montagem: XX profissionais x XX refeições x XX dias
EVento: XX profissionais x XX refeições x XX dias
Desmontagem: XX profissionais x XX refeições x XX dias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</t>
    </r>
  </si>
  <si>
    <r>
      <t xml:space="preserve">Reserva de verba - Visita Técnica (alimentação, logística térrea, logística aérea, hospedagem)
</t>
    </r>
    <r>
      <rPr>
        <sz val="12"/>
        <color rgb="FFFF0000"/>
        <rFont val="Calibri Light"/>
        <family val="2"/>
        <scheme val="major"/>
      </rPr>
      <t>Detalhar a demanda em que se fará necessária a contratação para a realização da VT - ATENÇÃO!
Valor sujeito a alteração sem aviso prévio.
Data da pesquisa:</t>
    </r>
  </si>
  <si>
    <r>
      <t xml:space="preserve">Impressora Sala de Produção + Notebook + Insumos de TI
</t>
    </r>
    <r>
      <rPr>
        <sz val="12"/>
        <color rgb="FFFF0000"/>
        <rFont val="Calibri Light"/>
        <family val="2"/>
        <scheme val="major"/>
      </rPr>
      <t>Valor sujeito a alteração sem aviso prévio.</t>
    </r>
  </si>
  <si>
    <r>
      <t xml:space="preserve">Lavanderia
</t>
    </r>
    <r>
      <rPr>
        <sz val="12"/>
        <color theme="1"/>
        <rFont val="Calibri Light"/>
        <family val="2"/>
        <scheme val="major"/>
      </rPr>
      <t xml:space="preserve">Quantidades de peças:
</t>
    </r>
    <r>
      <rPr>
        <sz val="12"/>
        <color rgb="FFFF0000"/>
        <rFont val="Calibri Light"/>
        <family val="2"/>
        <scheme val="major"/>
      </rPr>
      <t>Valor sujeito a alteração sem aviso prévio.</t>
    </r>
  </si>
  <si>
    <r>
      <t xml:space="preserve">Relatório Final
</t>
    </r>
    <r>
      <rPr>
        <sz val="12"/>
        <color theme="1"/>
        <rFont val="Calibri Light"/>
        <family val="2"/>
        <scheme val="major"/>
      </rPr>
      <t>Relatório de fotos e números gerais do evento.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de entrega: até 7 dias úteis após o término do evento.
Valor sujeito a alteração em caso de alteração do escopo.</t>
    </r>
  </si>
  <si>
    <t>VERIFICAR COM ATENDIMENTO COMO SERÁ COBRADO, DEPENDENDO DO CLIENTE</t>
  </si>
  <si>
    <t>EM AMARELO APENAS ITENS QUE NÃO SE APLICA O BV</t>
  </si>
  <si>
    <t>AMBULÂNCIA SIMPLES</t>
  </si>
  <si>
    <t>AMBULÂNCIA UTI</t>
  </si>
  <si>
    <t>PROMOTORAS</t>
  </si>
  <si>
    <t>qua</t>
  </si>
  <si>
    <t>qui</t>
  </si>
  <si>
    <t>sex</t>
  </si>
  <si>
    <t>sáb</t>
  </si>
  <si>
    <t>dom</t>
  </si>
  <si>
    <t>seg</t>
  </si>
  <si>
    <t>ter</t>
  </si>
  <si>
    <r>
      <t xml:space="preserve">Logística Materiais Diversos
</t>
    </r>
    <r>
      <rPr>
        <sz val="12"/>
        <color theme="1"/>
        <rFont val="Calibri Light"/>
        <family val="2"/>
        <scheme val="major"/>
      </rPr>
      <t xml:space="preserve">Trecho:
</t>
    </r>
    <r>
      <rPr>
        <sz val="12"/>
        <color rgb="FFFF0000"/>
        <rFont val="Calibri Light"/>
        <family val="2"/>
        <scheme val="major"/>
      </rPr>
      <t>Valor sujeito a alteração sem aviso prévio e conforme fechamento dos consumos.
Reserva de verba.
Caso haja alteração no endereço de entrega, o valor será revisado.</t>
    </r>
  </si>
  <si>
    <t>Direitos Autorais e Uso das Informações</t>
  </si>
  <si>
    <t>As ideias, conceitos, propostas visuais e estratégicas apresentados neste material são de autoria da AATB e estão protegidos por direitos autorais. Sua reprodução, utilização ou implementação total ou parcial só poderá ocorrer mediante autorização expressa e/ou intermediação direta da nossa equipe.  </t>
  </si>
  <si>
    <r>
      <t>Prazo de validade dessa proposta:</t>
    </r>
    <r>
      <rPr>
        <sz val="11"/>
        <color rgb="FF000000"/>
        <rFont val="Aptos"/>
        <family val="2"/>
      </rPr>
      <t xml:space="preserve"> 30 dias. </t>
    </r>
  </si>
  <si>
    <t>ENCARGOS</t>
  </si>
  <si>
    <t>SEGURANÇA</t>
  </si>
  <si>
    <r>
      <t xml:space="preserve">Plataforma de interação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</si>
  <si>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QR Code
</t>
    </r>
    <r>
      <rPr>
        <sz val="12"/>
        <color rgb="FFFF0000"/>
        <rFont val="Calibri Light"/>
        <family val="2"/>
        <scheme val="major"/>
      </rPr>
      <t>Conteúdo para link:</t>
    </r>
    <r>
      <rPr>
        <b/>
        <sz val="12"/>
        <color rgb="FFFF0000"/>
        <rFont val="Calibri Light"/>
        <family val="2"/>
        <scheme val="major"/>
      </rPr>
      <t xml:space="preserve"> RESPONSABILIDADE DO CLIENTE OU DA AGÊNCIA?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de produção:
Valor sujeito a alteração sem aviso prévio e caso haja alteração no escopo do projeto.</t>
    </r>
  </si>
  <si>
    <r>
      <t xml:space="preserve">Performance
</t>
    </r>
    <r>
      <rPr>
        <sz val="12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</t>
    </r>
    <r>
      <rPr>
        <sz val="12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Período de ensaio: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e caso haja alteração no escopo do projeto.</t>
    </r>
  </si>
  <si>
    <r>
      <t xml:space="preserve">Curador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</si>
  <si>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Artista Plástico
</t>
    </r>
    <r>
      <rPr>
        <sz val="12"/>
        <color theme="1"/>
        <rFont val="Calibri Light"/>
        <family val="2"/>
        <scheme val="major"/>
      </rPr>
      <t>Contemplado em orçamento: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</si>
  <si>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Mestre de Cerimônias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</si>
  <si>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Necessidades gerais </t>
    </r>
    <r>
      <rPr>
        <b/>
        <sz val="12"/>
        <color rgb="FFFF0000"/>
        <rFont val="Calibri Light"/>
        <family val="2"/>
        <scheme val="major"/>
      </rPr>
      <t>(hospedagem, alimentação, logística, catering, figurino, etc) - ATUALIZAR CONFORME A DEMANDA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theme="1"/>
        <rFont val="Calibri Light"/>
        <family val="2"/>
        <scheme val="major"/>
      </rPr>
      <t>Contemplado em orçamento:</t>
    </r>
    <r>
      <rPr>
        <b/>
        <sz val="12"/>
        <color theme="1"/>
        <rFont val="Calibri Light"/>
        <family val="2"/>
        <scheme val="major"/>
      </rPr>
      <t xml:space="preserve">
</t>
    </r>
    <r>
      <rPr>
        <sz val="12"/>
        <color rgb="FFFF0000"/>
        <rFont val="Calibri Light"/>
        <family val="2"/>
        <scheme val="major"/>
      </rPr>
      <t>Valor sujeito a alteração sem aviso prévio conforme solicitações do profissional que poderão ser alinhadas durante a contratação.</t>
    </r>
  </si>
  <si>
    <r>
      <t xml:space="preserve">Palestrante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</si>
  <si>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DJ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</si>
  <si>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Rider Técnico
</t>
    </r>
    <r>
      <rPr>
        <sz val="12"/>
        <rFont val="Calibri Light"/>
        <family val="2"/>
        <scheme val="major"/>
      </rPr>
      <t>Contemplado em orçamento:</t>
    </r>
    <r>
      <rPr>
        <sz val="12"/>
        <color rgb="FFFF0000"/>
        <rFont val="Calibri Light"/>
        <family val="2"/>
        <scheme val="major"/>
      </rPr>
      <t xml:space="preserve">
Prazo para aprovação:
Valor sujeito a alteração sem aviso prévio e caso haja alteração no escopo do projeto.</t>
    </r>
  </si>
  <si>
    <r>
      <t xml:space="preserve">Rider Camarim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</si>
  <si>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Rider Logístico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</si>
  <si>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Banda
</t>
    </r>
    <r>
      <rPr>
        <sz val="12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Forma de pagamento:
Valor sujeito a alteração sem aviso prévio e caso haja alteração no escopo do projeto.
Sujeito à disponibilidade de data em uma próxima consulta.</t>
    </r>
  </si>
  <si>
    <r>
      <t xml:space="preserve">Figurinista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</si>
  <si>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Figurino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</si>
  <si>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Maquiador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</si>
  <si>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r>
      <t xml:space="preserve">Cabelereiro
</t>
    </r>
    <r>
      <rPr>
        <sz val="12"/>
        <color theme="1"/>
        <rFont val="Calibri Light"/>
        <family val="2"/>
        <scheme val="major"/>
      </rPr>
      <t xml:space="preserve">Contemplado em orçamento:
</t>
    </r>
    <r>
      <rPr>
        <sz val="12"/>
        <color rgb="FFFF0000"/>
        <rFont val="Calibri Light"/>
        <family val="2"/>
        <scheme val="major"/>
      </rPr>
      <t>Prazo para aprovação:
Valor sujeito a alteração sem aviso prévio e caso haja alteração no escopo do projeto.</t>
    </r>
  </si>
  <si>
    <t>de 13 a 14k</t>
  </si>
  <si>
    <t>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</si>
</sst>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&quot;R$ &quot;#,##0.00;[Red]&quot;R$ &quot;#,##0.00"/>
    <numFmt numFmtId="166" formatCode="&quot;R$&quot;\ #,##0.00"/>
    <numFmt numFmtId="167" formatCode="_(&quot;R$ &quot;* #,##0.00_);_(&quot;R$ &quot;* \(#,##0.00\);_(&quot;R$ &quot;* &quot;-&quot;??_);_(@_)"/>
    <numFmt numFmtId="168" formatCode="_-* #,##0.00_-;\-* #,##0.00_-;_-* &quot;-&quot;??_-;_-@"/>
    <numFmt numFmtId="169" formatCode="_-&quot;R$&quot;* #,##0.00_-;\-&quot;R$&quot;* #,##0.00_-;_-&quot;R$&quot;* &quot;-&quot;??_-;_-@"/>
    <numFmt numFmtId="170" formatCode="_-&quot;R$&quot;\ * #,##0.00_-;\-&quot;R$&quot;\ * #,##0.00_-;_-&quot;R$&quot;\ * &quot;-&quot;??_-;_-@"/>
    <numFmt numFmtId="171" formatCode="dd/mm/yy"/>
    <numFmt numFmtId="172" formatCode="[$-416]d\-mmm;@"/>
    <numFmt numFmtId="173" formatCode="00"/>
  </numFmts>
  <fonts count="4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entury Gothic"/>
      <family val="2"/>
    </font>
    <font>
      <b/>
      <sz val="14"/>
      <name val="Century Gothic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Century Gothic"/>
      <family val="2"/>
    </font>
    <font>
      <sz val="10"/>
      <name val="Arial"/>
      <family val="2"/>
    </font>
    <font>
      <b/>
      <sz val="14"/>
      <color theme="1"/>
      <name val="Century Gothic"/>
      <family val="2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b/>
      <sz val="28"/>
      <color rgb="FFFF0000"/>
      <name val="Century Gothic"/>
      <family val="2"/>
    </font>
    <font>
      <sz val="12"/>
      <color theme="1"/>
      <name val="Calibri Light"/>
      <family val="2"/>
      <scheme val="major"/>
    </font>
    <font>
      <b/>
      <sz val="22"/>
      <color rgb="FFFFFF00"/>
      <name val="Century Gothic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sz val="12"/>
      <name val="Calibri Light"/>
      <family val="2"/>
      <scheme val="major"/>
    </font>
    <font>
      <b/>
      <sz val="12"/>
      <color rgb="FFFF0000"/>
      <name val="Calibri Light"/>
      <family val="2"/>
      <scheme val="major"/>
    </font>
    <font>
      <b/>
      <sz val="12"/>
      <color theme="0"/>
      <name val="Calibri Light"/>
      <family val="2"/>
      <scheme val="major"/>
    </font>
    <font>
      <sz val="12"/>
      <color rgb="FFFF0000"/>
      <name val="Calibri Light"/>
      <family val="2"/>
      <scheme val="major"/>
    </font>
    <font>
      <b/>
      <sz val="12"/>
      <color theme="1"/>
      <name val="Century Gothic"/>
      <family val="2"/>
    </font>
    <font>
      <b/>
      <sz val="12"/>
      <name val="Century Gothic"/>
      <family val="2"/>
    </font>
    <font>
      <b/>
      <sz val="12"/>
      <name val="Calibri Light"/>
      <family val="2"/>
      <scheme val="major"/>
    </font>
    <font>
      <sz val="12"/>
      <color theme="1"/>
      <name val="Century Gothic"/>
      <family val="2"/>
    </font>
    <font>
      <b/>
      <sz val="12"/>
      <color rgb="FF00B050"/>
      <name val="Calibri Light"/>
      <family val="2"/>
      <scheme val="major"/>
    </font>
    <font>
      <b/>
      <sz val="10"/>
      <color theme="1"/>
      <name val="Century Gothic"/>
      <family val="2"/>
    </font>
    <font>
      <sz val="14"/>
      <color rgb="FF000000"/>
      <name val="Calibri Light"/>
      <family val="2"/>
      <scheme val="maj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sz val="14"/>
      <name val="Century Gothic"/>
      <family val="1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charset val="1"/>
    </font>
    <font>
      <b/>
      <sz val="16"/>
      <color rgb="FF000000"/>
      <name val="Calibri"/>
      <family val="2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entury Gothic"/>
      <family val="2"/>
    </font>
    <font>
      <b/>
      <sz val="14"/>
      <color rgb="FFFF0000"/>
      <name val="Century Gothic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rgb="FFD0CECE"/>
      </patternFill>
    </fill>
    <fill>
      <patternFill patternType="solid">
        <fgColor theme="0" tint="-0.249977111117893"/>
        <bgColor theme="0"/>
      </patternFill>
    </fill>
    <fill>
      <patternFill patternType="solid">
        <fgColor rgb="FF87AFD2"/>
        <bgColor rgb="FF87AFD2"/>
      </patternFill>
    </fill>
    <fill>
      <patternFill patternType="solid">
        <fgColor rgb="FFDEEAF6"/>
        <bgColor rgb="FFDEEAF6"/>
      </patternFill>
    </fill>
    <fill>
      <patternFill patternType="solid">
        <fgColor rgb="FF247AB4"/>
        <bgColor indexed="64"/>
      </patternFill>
    </fill>
    <fill>
      <patternFill patternType="solid">
        <fgColor rgb="FF247AB4"/>
        <bgColor rgb="FF247AB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/>
        <bgColor rgb="FFD8D8D8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87AFD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FF00"/>
        <bgColor theme="0"/>
      </patternFill>
    </fill>
    <fill>
      <patternFill patternType="solid">
        <fgColor rgb="FFBFBFBF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33CC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rgb="FF000000"/>
      </bottom>
      <diagonal/>
    </border>
  </borders>
  <cellStyleXfs count="41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0" fontId="8" fillId="0" borderId="0"/>
    <xf numFmtId="44" fontId="2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</cellStyleXfs>
  <cellXfs count="397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3" applyFont="1" applyFill="1" applyAlignment="1">
      <alignment vertical="center"/>
    </xf>
    <xf numFmtId="0" fontId="0" fillId="2" borderId="0" xfId="0" applyFill="1"/>
    <xf numFmtId="0" fontId="4" fillId="2" borderId="17" xfId="0" applyFont="1" applyFill="1" applyBorder="1" applyAlignment="1">
      <alignment horizontal="center" vertical="center" wrapText="1"/>
    </xf>
    <xf numFmtId="0" fontId="7" fillId="0" borderId="0" xfId="3" applyFont="1" applyAlignment="1">
      <alignment vertical="center"/>
    </xf>
    <xf numFmtId="43" fontId="7" fillId="2" borderId="0" xfId="3" applyNumberFormat="1" applyFont="1" applyFill="1" applyAlignment="1">
      <alignment vertical="center"/>
    </xf>
    <xf numFmtId="44" fontId="3" fillId="0" borderId="0" xfId="5" applyFont="1" applyFill="1" applyBorder="1" applyAlignment="1">
      <alignment horizontal="center" vertical="center"/>
    </xf>
    <xf numFmtId="43" fontId="7" fillId="0" borderId="0" xfId="3" applyNumberFormat="1" applyFont="1" applyAlignment="1">
      <alignment vertical="center"/>
    </xf>
    <xf numFmtId="0" fontId="10" fillId="5" borderId="0" xfId="0" applyFont="1" applyFill="1" applyAlignment="1">
      <alignment vertical="center"/>
    </xf>
    <xf numFmtId="168" fontId="11" fillId="5" borderId="0" xfId="0" applyNumberFormat="1" applyFont="1" applyFill="1" applyAlignment="1">
      <alignment vertical="center"/>
    </xf>
    <xf numFmtId="44" fontId="3" fillId="2" borderId="0" xfId="1" applyFont="1" applyFill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10" fontId="7" fillId="0" borderId="0" xfId="3" applyNumberFormat="1" applyFont="1" applyAlignment="1">
      <alignment vertical="center"/>
    </xf>
    <xf numFmtId="0" fontId="3" fillId="2" borderId="29" xfId="0" applyFont="1" applyFill="1" applyBorder="1" applyAlignment="1">
      <alignment horizontal="center" vertical="center" wrapText="1"/>
    </xf>
    <xf numFmtId="167" fontId="10" fillId="2" borderId="17" xfId="0" applyNumberFormat="1" applyFont="1" applyFill="1" applyBorder="1" applyAlignment="1">
      <alignment horizontal="center" vertical="center" wrapText="1"/>
    </xf>
    <xf numFmtId="166" fontId="7" fillId="2" borderId="17" xfId="3" applyNumberFormat="1" applyFont="1" applyFill="1" applyBorder="1" applyAlignment="1">
      <alignment horizontal="center" vertical="center"/>
    </xf>
    <xf numFmtId="9" fontId="4" fillId="2" borderId="17" xfId="0" applyNumberFormat="1" applyFont="1" applyFill="1" applyBorder="1" applyAlignment="1">
      <alignment horizontal="center" vertical="center" wrapText="1"/>
    </xf>
    <xf numFmtId="166" fontId="4" fillId="2" borderId="17" xfId="0" applyNumberFormat="1" applyFont="1" applyFill="1" applyBorder="1" applyAlignment="1">
      <alignment horizontal="center" vertical="center" wrapText="1"/>
    </xf>
    <xf numFmtId="0" fontId="14" fillId="5" borderId="0" xfId="0" applyFont="1" applyFill="1" applyAlignment="1">
      <alignment vertical="center"/>
    </xf>
    <xf numFmtId="0" fontId="14" fillId="0" borderId="0" xfId="0" applyFont="1"/>
    <xf numFmtId="16" fontId="4" fillId="2" borderId="17" xfId="0" applyNumberFormat="1" applyFont="1" applyFill="1" applyBorder="1" applyAlignment="1">
      <alignment horizontal="center" vertical="center" wrapText="1"/>
    </xf>
    <xf numFmtId="49" fontId="10" fillId="2" borderId="17" xfId="0" applyNumberFormat="1" applyFont="1" applyFill="1" applyBorder="1" applyAlignment="1">
      <alignment horizontal="center" vertical="center" wrapText="1"/>
    </xf>
    <xf numFmtId="0" fontId="4" fillId="6" borderId="0" xfId="0" applyFont="1" applyFill="1" applyAlignment="1">
      <alignment vertical="center"/>
    </xf>
    <xf numFmtId="0" fontId="16" fillId="6" borderId="0" xfId="0" applyFont="1" applyFill="1"/>
    <xf numFmtId="0" fontId="4" fillId="6" borderId="0" xfId="4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2" fillId="6" borderId="0" xfId="3" applyFont="1" applyFill="1" applyAlignment="1">
      <alignment vertical="center"/>
    </xf>
    <xf numFmtId="0" fontId="15" fillId="6" borderId="0" xfId="3" applyFont="1" applyFill="1" applyAlignment="1">
      <alignment vertical="center" textRotation="90"/>
    </xf>
    <xf numFmtId="0" fontId="14" fillId="5" borderId="0" xfId="0" applyFont="1" applyFill="1"/>
    <xf numFmtId="9" fontId="17" fillId="8" borderId="31" xfId="2" applyFont="1" applyFill="1" applyBorder="1" applyAlignment="1">
      <alignment horizontal="center" vertical="center"/>
    </xf>
    <xf numFmtId="170" fontId="17" fillId="8" borderId="32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4" fillId="0" borderId="33" xfId="0" applyNumberFormat="1" applyFont="1" applyBorder="1" applyAlignment="1">
      <alignment horizontal="center" vertical="center"/>
    </xf>
    <xf numFmtId="169" fontId="14" fillId="0" borderId="25" xfId="0" applyNumberFormat="1" applyFont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70" fontId="17" fillId="8" borderId="28" xfId="0" applyNumberFormat="1" applyFont="1" applyFill="1" applyBorder="1" applyAlignment="1">
      <alignment horizontal="center" vertical="center"/>
    </xf>
    <xf numFmtId="169" fontId="14" fillId="5" borderId="15" xfId="0" applyNumberFormat="1" applyFont="1" applyFill="1" applyBorder="1" applyAlignment="1">
      <alignment horizontal="center" vertical="center"/>
    </xf>
    <xf numFmtId="169" fontId="14" fillId="5" borderId="11" xfId="0" applyNumberFormat="1" applyFont="1" applyFill="1" applyBorder="1" applyAlignment="1">
      <alignment horizontal="center" vertical="center"/>
    </xf>
    <xf numFmtId="0" fontId="17" fillId="9" borderId="33" xfId="0" applyFont="1" applyFill="1" applyBorder="1" applyAlignment="1">
      <alignment horizontal="center" vertical="center"/>
    </xf>
    <xf numFmtId="0" fontId="17" fillId="9" borderId="25" xfId="0" applyFont="1" applyFill="1" applyBorder="1" applyAlignment="1">
      <alignment horizontal="center" vertical="center"/>
    </xf>
    <xf numFmtId="170" fontId="17" fillId="9" borderId="15" xfId="0" applyNumberFormat="1" applyFont="1" applyFill="1" applyBorder="1" applyAlignment="1">
      <alignment horizontal="center" vertical="center"/>
    </xf>
    <xf numFmtId="170" fontId="17" fillId="9" borderId="11" xfId="0" applyNumberFormat="1" applyFont="1" applyFill="1" applyBorder="1" applyAlignment="1">
      <alignment horizontal="center" vertical="center" wrapText="1"/>
    </xf>
    <xf numFmtId="167" fontId="17" fillId="9" borderId="15" xfId="0" applyNumberFormat="1" applyFont="1" applyFill="1" applyBorder="1" applyAlignment="1">
      <alignment horizontal="center" vertical="center" wrapText="1"/>
    </xf>
    <xf numFmtId="166" fontId="14" fillId="5" borderId="0" xfId="0" applyNumberFormat="1" applyFont="1" applyFill="1"/>
    <xf numFmtId="49" fontId="17" fillId="5" borderId="40" xfId="0" applyNumberFormat="1" applyFont="1" applyFill="1" applyBorder="1" applyAlignment="1">
      <alignment horizontal="center" vertical="center"/>
    </xf>
    <xf numFmtId="49" fontId="14" fillId="11" borderId="41" xfId="0" applyNumberFormat="1" applyFont="1" applyFill="1" applyBorder="1" applyAlignment="1">
      <alignment horizontal="left" vertical="center"/>
    </xf>
    <xf numFmtId="0" fontId="17" fillId="11" borderId="42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165" fontId="17" fillId="11" borderId="0" xfId="0" applyNumberFormat="1" applyFont="1" applyFill="1" applyAlignment="1">
      <alignment horizontal="right" vertical="center"/>
    </xf>
    <xf numFmtId="0" fontId="17" fillId="11" borderId="4" xfId="0" applyFont="1" applyFill="1" applyBorder="1" applyAlignment="1">
      <alignment horizontal="left" vertical="center"/>
    </xf>
    <xf numFmtId="14" fontId="14" fillId="0" borderId="5" xfId="0" applyNumberFormat="1" applyFont="1" applyBorder="1" applyAlignment="1">
      <alignment horizontal="center" vertical="center"/>
    </xf>
    <xf numFmtId="0" fontId="17" fillId="11" borderId="3" xfId="0" applyFont="1" applyFill="1" applyBorder="1" applyAlignment="1">
      <alignment horizontal="right" vertical="center"/>
    </xf>
    <xf numFmtId="165" fontId="14" fillId="11" borderId="2" xfId="0" applyNumberFormat="1" applyFont="1" applyFill="1" applyBorder="1" applyAlignment="1">
      <alignment horizontal="right" vertical="center"/>
    </xf>
    <xf numFmtId="0" fontId="17" fillId="11" borderId="1" xfId="0" applyFont="1" applyFill="1" applyBorder="1" applyAlignment="1">
      <alignment horizontal="left" vertical="center"/>
    </xf>
    <xf numFmtId="165" fontId="17" fillId="5" borderId="0" xfId="0" applyNumberFormat="1" applyFont="1" applyFill="1" applyAlignment="1">
      <alignment vertical="center" wrapText="1"/>
    </xf>
    <xf numFmtId="165" fontId="17" fillId="5" borderId="0" xfId="0" applyNumberFormat="1" applyFont="1" applyFill="1" applyAlignment="1">
      <alignment vertical="center"/>
    </xf>
    <xf numFmtId="165" fontId="17" fillId="11" borderId="0" xfId="0" applyNumberFormat="1" applyFont="1" applyFill="1" applyAlignment="1">
      <alignment vertical="center"/>
    </xf>
    <xf numFmtId="169" fontId="14" fillId="5" borderId="0" xfId="0" applyNumberFormat="1" applyFont="1" applyFill="1" applyAlignment="1">
      <alignment vertical="center"/>
    </xf>
    <xf numFmtId="0" fontId="17" fillId="11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/>
    </xf>
    <xf numFmtId="165" fontId="14" fillId="5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/>
    </xf>
    <xf numFmtId="165" fontId="14" fillId="11" borderId="0" xfId="0" applyNumberFormat="1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49" fontId="14" fillId="11" borderId="0" xfId="0" applyNumberFormat="1" applyFont="1" applyFill="1" applyAlignment="1">
      <alignment horizontal="center" vertical="center" wrapText="1"/>
    </xf>
    <xf numFmtId="49" fontId="14" fillId="11" borderId="0" xfId="0" applyNumberFormat="1" applyFont="1" applyFill="1" applyAlignment="1">
      <alignment vertical="center" wrapText="1"/>
    </xf>
    <xf numFmtId="169" fontId="17" fillId="13" borderId="15" xfId="0" applyNumberFormat="1" applyFont="1" applyFill="1" applyBorder="1" applyAlignment="1">
      <alignment vertical="center"/>
    </xf>
    <xf numFmtId="169" fontId="17" fillId="13" borderId="11" xfId="0" applyNumberFormat="1" applyFont="1" applyFill="1" applyBorder="1" applyAlignment="1">
      <alignment vertical="center"/>
    </xf>
    <xf numFmtId="169" fontId="14" fillId="5" borderId="15" xfId="0" applyNumberFormat="1" applyFont="1" applyFill="1" applyBorder="1" applyAlignment="1">
      <alignment vertical="center" wrapText="1"/>
    </xf>
    <xf numFmtId="169" fontId="14" fillId="5" borderId="11" xfId="0" applyNumberFormat="1" applyFont="1" applyFill="1" applyBorder="1" applyAlignment="1">
      <alignment vertical="center"/>
    </xf>
    <xf numFmtId="49" fontId="17" fillId="15" borderId="43" xfId="0" applyNumberFormat="1" applyFont="1" applyFill="1" applyBorder="1" applyAlignment="1">
      <alignment horizontal="center" vertical="center" wrapText="1"/>
    </xf>
    <xf numFmtId="9" fontId="17" fillId="15" borderId="22" xfId="0" applyNumberFormat="1" applyFont="1" applyFill="1" applyBorder="1" applyAlignment="1">
      <alignment horizontal="center" vertical="center" wrapText="1"/>
    </xf>
    <xf numFmtId="9" fontId="17" fillId="15" borderId="45" xfId="0" applyNumberFormat="1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horizontal="center" vertical="center" wrapText="1"/>
    </xf>
    <xf numFmtId="169" fontId="17" fillId="5" borderId="0" xfId="0" applyNumberFormat="1" applyFont="1" applyFill="1" applyAlignment="1">
      <alignment vertical="center" wrapText="1"/>
    </xf>
    <xf numFmtId="169" fontId="17" fillId="5" borderId="0" xfId="0" applyNumberFormat="1" applyFont="1" applyFill="1" applyAlignment="1">
      <alignment vertical="center"/>
    </xf>
    <xf numFmtId="44" fontId="14" fillId="0" borderId="0" xfId="0" applyNumberFormat="1" applyFont="1"/>
    <xf numFmtId="169" fontId="17" fillId="13" borderId="28" xfId="0" applyNumberFormat="1" applyFont="1" applyFill="1" applyBorder="1" applyAlignment="1">
      <alignment vertical="center"/>
    </xf>
    <xf numFmtId="169" fontId="17" fillId="13" borderId="27" xfId="0" applyNumberFormat="1" applyFont="1" applyFill="1" applyBorder="1" applyAlignment="1">
      <alignment vertical="center"/>
    </xf>
    <xf numFmtId="0" fontId="17" fillId="14" borderId="19" xfId="0" applyFont="1" applyFill="1" applyBorder="1" applyAlignment="1">
      <alignment vertical="center"/>
    </xf>
    <xf numFmtId="167" fontId="14" fillId="5" borderId="15" xfId="0" applyNumberFormat="1" applyFont="1" applyFill="1" applyBorder="1" applyAlignment="1">
      <alignment horizontal="center" vertical="center" wrapText="1"/>
    </xf>
    <xf numFmtId="167" fontId="14" fillId="5" borderId="11" xfId="0" applyNumberFormat="1" applyFont="1" applyFill="1" applyBorder="1" applyAlignment="1">
      <alignment horizontal="center" vertical="center" wrapText="1"/>
    </xf>
    <xf numFmtId="167" fontId="14" fillId="0" borderId="20" xfId="0" applyNumberFormat="1" applyFont="1" applyBorder="1" applyAlignment="1">
      <alignment horizontal="center" vertical="center"/>
    </xf>
    <xf numFmtId="167" fontId="14" fillId="0" borderId="18" xfId="0" applyNumberFormat="1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 wrapText="1"/>
    </xf>
    <xf numFmtId="49" fontId="17" fillId="2" borderId="24" xfId="0" applyNumberFormat="1" applyFont="1" applyFill="1" applyBorder="1" applyAlignment="1">
      <alignment horizontal="left" vertical="center" wrapText="1"/>
    </xf>
    <xf numFmtId="167" fontId="14" fillId="5" borderId="11" xfId="0" applyNumberFormat="1" applyFont="1" applyFill="1" applyBorder="1" applyAlignment="1">
      <alignment horizontal="center" vertical="center"/>
    </xf>
    <xf numFmtId="0" fontId="17" fillId="5" borderId="24" xfId="0" applyFont="1" applyFill="1" applyBorder="1" applyAlignment="1">
      <alignment horizontal="left" vertical="center" wrapText="1"/>
    </xf>
    <xf numFmtId="49" fontId="17" fillId="2" borderId="18" xfId="0" applyNumberFormat="1" applyFont="1" applyFill="1" applyBorder="1" applyAlignment="1">
      <alignment horizontal="left" vertical="center" wrapText="1"/>
    </xf>
    <xf numFmtId="0" fontId="17" fillId="14" borderId="15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center" vertical="center" wrapText="1"/>
    </xf>
    <xf numFmtId="167" fontId="14" fillId="18" borderId="11" xfId="0" applyNumberFormat="1" applyFont="1" applyFill="1" applyBorder="1" applyAlignment="1">
      <alignment horizontal="center" vertical="center" wrapText="1"/>
    </xf>
    <xf numFmtId="167" fontId="14" fillId="18" borderId="11" xfId="0" applyNumberFormat="1" applyFont="1" applyFill="1" applyBorder="1" applyAlignment="1">
      <alignment horizontal="center" vertical="center"/>
    </xf>
    <xf numFmtId="0" fontId="17" fillId="18" borderId="18" xfId="0" applyFont="1" applyFill="1" applyBorder="1" applyAlignment="1">
      <alignment horizontal="left" vertical="top" wrapText="1"/>
    </xf>
    <xf numFmtId="0" fontId="14" fillId="5" borderId="24" xfId="0" applyFont="1" applyFill="1" applyBorder="1" applyAlignment="1">
      <alignment horizontal="left" vertical="center" wrapText="1"/>
    </xf>
    <xf numFmtId="0" fontId="17" fillId="2" borderId="24" xfId="0" applyFont="1" applyFill="1" applyBorder="1" applyAlignment="1">
      <alignment horizontal="left" vertical="center" wrapText="1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7" fontId="14" fillId="0" borderId="20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left" vertical="center" wrapText="1"/>
    </xf>
    <xf numFmtId="167" fontId="14" fillId="5" borderId="20" xfId="0" applyNumberFormat="1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 wrapText="1"/>
    </xf>
    <xf numFmtId="167" fontId="14" fillId="2" borderId="20" xfId="0" applyNumberFormat="1" applyFont="1" applyFill="1" applyBorder="1" applyAlignment="1">
      <alignment horizontal="center" vertical="center"/>
    </xf>
    <xf numFmtId="0" fontId="14" fillId="5" borderId="18" xfId="0" applyFont="1" applyFill="1" applyBorder="1" applyAlignment="1">
      <alignment horizontal="center" vertical="center"/>
    </xf>
    <xf numFmtId="167" fontId="14" fillId="4" borderId="20" xfId="0" applyNumberFormat="1" applyFont="1" applyFill="1" applyBorder="1" applyAlignment="1">
      <alignment horizontal="center" vertical="center"/>
    </xf>
    <xf numFmtId="167" fontId="14" fillId="4" borderId="15" xfId="0" applyNumberFormat="1" applyFont="1" applyFill="1" applyBorder="1" applyAlignment="1">
      <alignment horizontal="center" vertical="center"/>
    </xf>
    <xf numFmtId="167" fontId="14" fillId="4" borderId="11" xfId="0" applyNumberFormat="1" applyFont="1" applyFill="1" applyBorder="1" applyAlignment="1">
      <alignment horizontal="center" vertical="center"/>
    </xf>
    <xf numFmtId="167" fontId="14" fillId="4" borderId="18" xfId="0" applyNumberFormat="1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49" fontId="14" fillId="4" borderId="18" xfId="0" applyNumberFormat="1" applyFont="1" applyFill="1" applyBorder="1" applyAlignment="1">
      <alignment horizontal="center" vertical="center" wrapText="1"/>
    </xf>
    <xf numFmtId="0" fontId="17" fillId="20" borderId="18" xfId="0" applyFont="1" applyFill="1" applyBorder="1" applyAlignment="1">
      <alignment horizontal="left" vertical="top" wrapText="1"/>
    </xf>
    <xf numFmtId="167" fontId="25" fillId="0" borderId="18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167" fontId="14" fillId="5" borderId="18" xfId="0" applyNumberFormat="1" applyFont="1" applyFill="1" applyBorder="1" applyAlignment="1">
      <alignment horizontal="center" vertical="center"/>
    </xf>
    <xf numFmtId="0" fontId="17" fillId="18" borderId="24" xfId="0" applyFont="1" applyFill="1" applyBorder="1" applyAlignment="1">
      <alignment horizontal="left" vertical="center" wrapText="1"/>
    </xf>
    <xf numFmtId="0" fontId="14" fillId="18" borderId="18" xfId="0" applyFont="1" applyFill="1" applyBorder="1" applyAlignment="1">
      <alignment horizontal="left" vertical="top" wrapText="1"/>
    </xf>
    <xf numFmtId="167" fontId="14" fillId="22" borderId="15" xfId="0" applyNumberFormat="1" applyFont="1" applyFill="1" applyBorder="1" applyAlignment="1">
      <alignment horizontal="center" vertical="center" wrapText="1"/>
    </xf>
    <xf numFmtId="0" fontId="17" fillId="19" borderId="24" xfId="0" applyFont="1" applyFill="1" applyBorder="1" applyAlignment="1">
      <alignment horizontal="left" vertical="center" wrapText="1"/>
    </xf>
    <xf numFmtId="0" fontId="17" fillId="14" borderId="19" xfId="0" applyFont="1" applyFill="1" applyBorder="1" applyAlignment="1">
      <alignment vertical="center" wrapText="1"/>
    </xf>
    <xf numFmtId="167" fontId="17" fillId="23" borderId="15" xfId="0" applyNumberFormat="1" applyFont="1" applyFill="1" applyBorder="1" applyAlignment="1">
      <alignment horizontal="center" vertical="center" wrapText="1"/>
    </xf>
    <xf numFmtId="167" fontId="17" fillId="4" borderId="17" xfId="0" applyNumberFormat="1" applyFont="1" applyFill="1" applyBorder="1" applyAlignment="1">
      <alignment horizontal="center" vertical="center" wrapText="1"/>
    </xf>
    <xf numFmtId="167" fontId="14" fillId="0" borderId="24" xfId="0" applyNumberFormat="1" applyFont="1" applyBorder="1" applyAlignment="1">
      <alignment horizontal="center" vertical="center"/>
    </xf>
    <xf numFmtId="0" fontId="17" fillId="19" borderId="18" xfId="0" applyFont="1" applyFill="1" applyBorder="1" applyAlignment="1">
      <alignment horizontal="left" vertical="center" wrapText="1"/>
    </xf>
    <xf numFmtId="167" fontId="17" fillId="11" borderId="0" xfId="0" applyNumberFormat="1" applyFont="1" applyFill="1" applyAlignment="1">
      <alignment horizontal="right" vertical="center" wrapText="1"/>
    </xf>
    <xf numFmtId="167" fontId="17" fillId="11" borderId="0" xfId="0" applyNumberFormat="1" applyFont="1" applyFill="1" applyAlignment="1">
      <alignment horizontal="right" vertical="center"/>
    </xf>
    <xf numFmtId="0" fontId="14" fillId="11" borderId="0" xfId="0" applyFont="1" applyFill="1" applyAlignment="1">
      <alignment horizontal="right" vertical="center" wrapText="1"/>
    </xf>
    <xf numFmtId="0" fontId="14" fillId="11" borderId="0" xfId="0" applyFont="1" applyFill="1" applyAlignment="1">
      <alignment horizontal="right" vertical="center"/>
    </xf>
    <xf numFmtId="171" fontId="14" fillId="11" borderId="0" xfId="0" applyNumberFormat="1" applyFont="1" applyFill="1" applyAlignment="1">
      <alignment horizontal="right" vertical="center" wrapText="1"/>
    </xf>
    <xf numFmtId="171" fontId="14" fillId="11" borderId="0" xfId="0" applyNumberFormat="1" applyFont="1" applyFill="1" applyAlignment="1">
      <alignment horizontal="right" vertical="center"/>
    </xf>
    <xf numFmtId="16" fontId="14" fillId="11" borderId="0" xfId="0" applyNumberFormat="1" applyFont="1" applyFill="1" applyAlignment="1">
      <alignment horizontal="right" vertical="center" wrapText="1"/>
    </xf>
    <xf numFmtId="16" fontId="14" fillId="11" borderId="0" xfId="0" applyNumberFormat="1" applyFont="1" applyFill="1" applyAlignment="1">
      <alignment horizontal="right" vertical="center"/>
    </xf>
    <xf numFmtId="0" fontId="17" fillId="11" borderId="0" xfId="0" applyFont="1" applyFill="1" applyAlignment="1">
      <alignment horizontal="right" vertical="center" wrapText="1"/>
    </xf>
    <xf numFmtId="0" fontId="17" fillId="11" borderId="0" xfId="0" applyFont="1" applyFill="1" applyAlignment="1">
      <alignment horizontal="right" vertical="center"/>
    </xf>
    <xf numFmtId="165" fontId="22" fillId="16" borderId="16" xfId="0" applyNumberFormat="1" applyFont="1" applyFill="1" applyBorder="1" applyAlignment="1">
      <alignment horizontal="center" vertical="center"/>
    </xf>
    <xf numFmtId="0" fontId="23" fillId="24" borderId="12" xfId="3" applyFont="1" applyFill="1" applyBorder="1" applyAlignment="1">
      <alignment horizontal="center" vertical="center"/>
    </xf>
    <xf numFmtId="166" fontId="23" fillId="24" borderId="17" xfId="3" applyNumberFormat="1" applyFont="1" applyFill="1" applyBorder="1" applyAlignment="1">
      <alignment horizontal="center" vertical="center"/>
    </xf>
    <xf numFmtId="166" fontId="23" fillId="24" borderId="14" xfId="3" applyNumberFormat="1" applyFont="1" applyFill="1" applyBorder="1" applyAlignment="1">
      <alignment horizontal="center" vertical="center"/>
    </xf>
    <xf numFmtId="0" fontId="1" fillId="0" borderId="0" xfId="0" applyFont="1"/>
    <xf numFmtId="49" fontId="22" fillId="24" borderId="17" xfId="0" applyNumberFormat="1" applyFont="1" applyFill="1" applyBorder="1" applyAlignment="1">
      <alignment horizontal="center" vertical="center" wrapText="1"/>
    </xf>
    <xf numFmtId="165" fontId="22" fillId="16" borderId="17" xfId="0" applyNumberFormat="1" applyFont="1" applyFill="1" applyBorder="1" applyAlignment="1">
      <alignment horizontal="center" vertical="center"/>
    </xf>
    <xf numFmtId="0" fontId="22" fillId="24" borderId="12" xfId="3" applyFont="1" applyFill="1" applyBorder="1" applyAlignment="1">
      <alignment horizontal="center" vertical="center"/>
    </xf>
    <xf numFmtId="166" fontId="22" fillId="24" borderId="17" xfId="3" applyNumberFormat="1" applyFont="1" applyFill="1" applyBorder="1" applyAlignment="1">
      <alignment horizontal="center" vertical="center"/>
    </xf>
    <xf numFmtId="166" fontId="22" fillId="24" borderId="14" xfId="3" applyNumberFormat="1" applyFont="1" applyFill="1" applyBorder="1" applyAlignment="1">
      <alignment horizontal="center" vertical="center"/>
    </xf>
    <xf numFmtId="49" fontId="27" fillId="24" borderId="17" xfId="0" applyNumberFormat="1" applyFont="1" applyFill="1" applyBorder="1" applyAlignment="1">
      <alignment horizontal="center" vertical="center" wrapText="1"/>
    </xf>
    <xf numFmtId="0" fontId="15" fillId="6" borderId="0" xfId="3" applyFont="1" applyFill="1" applyAlignment="1">
      <alignment horizontal="center" vertical="center" textRotation="90" wrapText="1"/>
    </xf>
    <xf numFmtId="49" fontId="14" fillId="11" borderId="2" xfId="0" applyNumberFormat="1" applyFont="1" applyFill="1" applyBorder="1" applyAlignment="1">
      <alignment horizontal="left" vertical="center"/>
    </xf>
    <xf numFmtId="49" fontId="14" fillId="5" borderId="2" xfId="0" applyNumberFormat="1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165" fontId="14" fillId="5" borderId="2" xfId="0" applyNumberFormat="1" applyFont="1" applyFill="1" applyBorder="1" applyAlignment="1">
      <alignment horizontal="center" vertical="center"/>
    </xf>
    <xf numFmtId="49" fontId="14" fillId="11" borderId="0" xfId="0" applyNumberFormat="1" applyFont="1" applyFill="1" applyAlignment="1">
      <alignment horizontal="left" vertical="center"/>
    </xf>
    <xf numFmtId="49" fontId="14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49" fontId="17" fillId="5" borderId="0" xfId="0" applyNumberFormat="1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7" fillId="14" borderId="25" xfId="0" applyFont="1" applyFill="1" applyBorder="1" applyAlignment="1">
      <alignment horizontal="center" vertical="center"/>
    </xf>
    <xf numFmtId="167" fontId="17" fillId="14" borderId="50" xfId="0" applyNumberFormat="1" applyFont="1" applyFill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168" fontId="21" fillId="5" borderId="5" xfId="0" applyNumberFormat="1" applyFont="1" applyFill="1" applyBorder="1" applyAlignment="1">
      <alignment horizontal="center" vertical="center" wrapText="1"/>
    </xf>
    <xf numFmtId="168" fontId="14" fillId="5" borderId="5" xfId="0" applyNumberFormat="1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168" fontId="21" fillId="0" borderId="5" xfId="0" applyNumberFormat="1" applyFont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/>
    </xf>
    <xf numFmtId="0" fontId="14" fillId="21" borderId="21" xfId="0" applyFont="1" applyFill="1" applyBorder="1" applyAlignment="1">
      <alignment horizontal="center" vertical="center"/>
    </xf>
    <xf numFmtId="168" fontId="21" fillId="0" borderId="5" xfId="0" applyNumberFormat="1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44" fontId="21" fillId="5" borderId="49" xfId="1" applyFont="1" applyFill="1" applyBorder="1" applyAlignment="1">
      <alignment horizontal="center" vertical="center" wrapText="1"/>
    </xf>
    <xf numFmtId="44" fontId="21" fillId="5" borderId="49" xfId="1" applyFont="1" applyFill="1" applyBorder="1" applyAlignment="1">
      <alignment vertical="center"/>
    </xf>
    <xf numFmtId="169" fontId="17" fillId="15" borderId="47" xfId="0" applyNumberFormat="1" applyFont="1" applyFill="1" applyBorder="1" applyAlignment="1">
      <alignment vertical="center"/>
    </xf>
    <xf numFmtId="169" fontId="17" fillId="15" borderId="33" xfId="0" applyNumberFormat="1" applyFont="1" applyFill="1" applyBorder="1" applyAlignment="1">
      <alignment vertical="center"/>
    </xf>
    <xf numFmtId="169" fontId="17" fillId="15" borderId="23" xfId="0" applyNumberFormat="1" applyFont="1" applyFill="1" applyBorder="1" applyAlignment="1">
      <alignment vertical="center"/>
    </xf>
    <xf numFmtId="169" fontId="17" fillId="14" borderId="57" xfId="0" applyNumberFormat="1" applyFont="1" applyFill="1" applyBorder="1" applyAlignment="1">
      <alignment vertical="center"/>
    </xf>
    <xf numFmtId="165" fontId="17" fillId="11" borderId="0" xfId="0" applyNumberFormat="1" applyFont="1" applyFill="1" applyAlignment="1">
      <alignment vertical="center" wrapText="1"/>
    </xf>
    <xf numFmtId="49" fontId="17" fillId="5" borderId="41" xfId="0" applyNumberFormat="1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14" fillId="5" borderId="41" xfId="0" applyFont="1" applyFill="1" applyBorder="1" applyAlignment="1">
      <alignment horizontal="center" vertical="center"/>
    </xf>
    <xf numFmtId="165" fontId="14" fillId="5" borderId="41" xfId="0" applyNumberFormat="1" applyFont="1" applyFill="1" applyBorder="1" applyAlignment="1">
      <alignment horizontal="center" vertical="center"/>
    </xf>
    <xf numFmtId="165" fontId="17" fillId="11" borderId="41" xfId="0" applyNumberFormat="1" applyFont="1" applyFill="1" applyBorder="1" applyAlignment="1">
      <alignment horizontal="right" vertical="center"/>
    </xf>
    <xf numFmtId="167" fontId="17" fillId="11" borderId="40" xfId="0" applyNumberFormat="1" applyFont="1" applyFill="1" applyBorder="1" applyAlignment="1">
      <alignment horizontal="right" vertical="center"/>
    </xf>
    <xf numFmtId="44" fontId="7" fillId="0" borderId="0" xfId="1" applyFont="1" applyAlignment="1">
      <alignment vertical="center"/>
    </xf>
    <xf numFmtId="167" fontId="14" fillId="4" borderId="17" xfId="0" applyNumberFormat="1" applyFont="1" applyFill="1" applyBorder="1" applyAlignment="1">
      <alignment horizontal="center" vertical="center"/>
    </xf>
    <xf numFmtId="44" fontId="4" fillId="2" borderId="29" xfId="1" applyFont="1" applyFill="1" applyBorder="1" applyAlignment="1">
      <alignment vertical="center"/>
    </xf>
    <xf numFmtId="0" fontId="28" fillId="0" borderId="34" xfId="0" applyFont="1" applyBorder="1" applyAlignment="1">
      <alignment vertical="center"/>
    </xf>
    <xf numFmtId="9" fontId="4" fillId="2" borderId="29" xfId="2" applyFont="1" applyFill="1" applyBorder="1" applyAlignment="1">
      <alignment horizontal="center" vertical="center"/>
    </xf>
    <xf numFmtId="0" fontId="7" fillId="2" borderId="0" xfId="3" applyFont="1" applyFill="1" applyAlignment="1">
      <alignment horizontal="right" vertical="center"/>
    </xf>
    <xf numFmtId="0" fontId="28" fillId="0" borderId="34" xfId="0" applyFont="1" applyBorder="1" applyAlignment="1">
      <alignment horizontal="right" vertical="center"/>
    </xf>
    <xf numFmtId="10" fontId="4" fillId="2" borderId="29" xfId="2" applyNumberFormat="1" applyFont="1" applyFill="1" applyBorder="1" applyAlignment="1">
      <alignment horizontal="right" vertical="center"/>
    </xf>
    <xf numFmtId="0" fontId="7" fillId="0" borderId="0" xfId="3" applyFont="1" applyAlignment="1">
      <alignment horizontal="right" vertical="center"/>
    </xf>
    <xf numFmtId="0" fontId="3" fillId="2" borderId="29" xfId="0" applyFont="1" applyFill="1" applyBorder="1" applyAlignment="1">
      <alignment horizontal="right" vertical="center" wrapText="1"/>
    </xf>
    <xf numFmtId="166" fontId="4" fillId="2" borderId="29" xfId="0" applyNumberFormat="1" applyFont="1" applyFill="1" applyBorder="1" applyAlignment="1">
      <alignment horizontal="right" vertical="center"/>
    </xf>
    <xf numFmtId="166" fontId="4" fillId="2" borderId="29" xfId="1" applyNumberFormat="1" applyFont="1" applyFill="1" applyBorder="1" applyAlignment="1">
      <alignment horizontal="right" vertical="center"/>
    </xf>
    <xf numFmtId="44" fontId="7" fillId="0" borderId="17" xfId="1" applyFont="1" applyBorder="1" applyAlignment="1">
      <alignment vertical="center"/>
    </xf>
    <xf numFmtId="169" fontId="14" fillId="5" borderId="18" xfId="0" applyNumberFormat="1" applyFont="1" applyFill="1" applyBorder="1" applyAlignment="1">
      <alignment vertical="center"/>
    </xf>
    <xf numFmtId="0" fontId="14" fillId="0" borderId="17" xfId="0" applyFont="1" applyBorder="1"/>
    <xf numFmtId="0" fontId="23" fillId="24" borderId="58" xfId="3" applyFont="1" applyFill="1" applyBorder="1" applyAlignment="1">
      <alignment horizontal="center" vertical="center"/>
    </xf>
    <xf numFmtId="166" fontId="23" fillId="24" borderId="16" xfId="3" applyNumberFormat="1" applyFont="1" applyFill="1" applyBorder="1" applyAlignment="1">
      <alignment horizontal="center" vertical="center"/>
    </xf>
    <xf numFmtId="166" fontId="23" fillId="24" borderId="26" xfId="3" applyNumberFormat="1" applyFont="1" applyFill="1" applyBorder="1" applyAlignment="1">
      <alignment horizontal="center" vertical="center"/>
    </xf>
    <xf numFmtId="169" fontId="17" fillId="13" borderId="7" xfId="0" applyNumberFormat="1" applyFont="1" applyFill="1" applyBorder="1" applyAlignment="1">
      <alignment vertical="center"/>
    </xf>
    <xf numFmtId="169" fontId="17" fillId="13" borderId="8" xfId="0" applyNumberFormat="1" applyFont="1" applyFill="1" applyBorder="1" applyAlignment="1">
      <alignment vertical="center"/>
    </xf>
    <xf numFmtId="0" fontId="17" fillId="0" borderId="18" xfId="0" applyFont="1" applyBorder="1" applyAlignment="1">
      <alignment horizontal="left" vertical="top" wrapText="1"/>
    </xf>
    <xf numFmtId="0" fontId="14" fillId="0" borderId="24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168" fontId="21" fillId="0" borderId="23" xfId="0" applyNumberFormat="1" applyFont="1" applyBorder="1" applyAlignment="1">
      <alignment vertical="center" wrapText="1"/>
    </xf>
    <xf numFmtId="168" fontId="21" fillId="0" borderId="49" xfId="0" applyNumberFormat="1" applyFont="1" applyBorder="1" applyAlignment="1">
      <alignment vertical="center" wrapText="1"/>
    </xf>
    <xf numFmtId="168" fontId="21" fillId="0" borderId="47" xfId="0" applyNumberFormat="1" applyFont="1" applyBorder="1" applyAlignment="1">
      <alignment vertical="center" wrapText="1"/>
    </xf>
    <xf numFmtId="0" fontId="26" fillId="0" borderId="0" xfId="0" applyFont="1" applyAlignment="1">
      <alignment horizontal="center"/>
    </xf>
    <xf numFmtId="169" fontId="14" fillId="5" borderId="0" xfId="0" applyNumberFormat="1" applyFont="1" applyFill="1" applyAlignment="1">
      <alignment vertical="center" wrapText="1"/>
    </xf>
    <xf numFmtId="0" fontId="17" fillId="14" borderId="17" xfId="0" applyFont="1" applyFill="1" applyBorder="1" applyAlignment="1">
      <alignment horizontal="center" vertical="center"/>
    </xf>
    <xf numFmtId="167" fontId="14" fillId="22" borderId="17" xfId="0" applyNumberFormat="1" applyFont="1" applyFill="1" applyBorder="1" applyAlignment="1">
      <alignment horizontal="center" vertical="center" wrapText="1"/>
    </xf>
    <xf numFmtId="167" fontId="14" fillId="5" borderId="17" xfId="0" applyNumberFormat="1" applyFont="1" applyFill="1" applyBorder="1" applyAlignment="1">
      <alignment horizontal="center" vertical="center" wrapText="1"/>
    </xf>
    <xf numFmtId="167" fontId="17" fillId="23" borderId="17" xfId="0" applyNumberFormat="1" applyFont="1" applyFill="1" applyBorder="1" applyAlignment="1">
      <alignment horizontal="center" vertical="center" wrapText="1"/>
    </xf>
    <xf numFmtId="169" fontId="17" fillId="13" borderId="17" xfId="0" applyNumberFormat="1" applyFont="1" applyFill="1" applyBorder="1" applyAlignment="1">
      <alignment vertical="center"/>
    </xf>
    <xf numFmtId="0" fontId="16" fillId="0" borderId="0" xfId="0" applyFont="1"/>
    <xf numFmtId="0" fontId="14" fillId="0" borderId="0" xfId="0" applyFont="1" applyAlignment="1">
      <alignment vertical="center"/>
    </xf>
    <xf numFmtId="0" fontId="32" fillId="2" borderId="17" xfId="0" applyFont="1" applyFill="1" applyBorder="1" applyAlignment="1">
      <alignment horizontal="center" vertical="center" wrapText="1"/>
    </xf>
    <xf numFmtId="0" fontId="33" fillId="3" borderId="17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wrapText="1"/>
    </xf>
    <xf numFmtId="0" fontId="28" fillId="0" borderId="41" xfId="0" applyFont="1" applyBorder="1" applyAlignment="1">
      <alignment vertical="center"/>
    </xf>
    <xf numFmtId="0" fontId="17" fillId="25" borderId="6" xfId="0" applyFont="1" applyFill="1" applyBorder="1" applyAlignment="1">
      <alignment horizontal="center"/>
    </xf>
    <xf numFmtId="9" fontId="17" fillId="25" borderId="30" xfId="0" applyNumberFormat="1" applyFont="1" applyFill="1" applyBorder="1" applyAlignment="1">
      <alignment horizontal="center" wrapText="1"/>
    </xf>
    <xf numFmtId="0" fontId="17" fillId="26" borderId="29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168" fontId="21" fillId="27" borderId="5" xfId="0" applyNumberFormat="1" applyFont="1" applyFill="1" applyBorder="1" applyAlignment="1">
      <alignment horizontal="center" vertical="center"/>
    </xf>
    <xf numFmtId="166" fontId="7" fillId="3" borderId="17" xfId="3" applyNumberFormat="1" applyFont="1" applyFill="1" applyBorder="1" applyAlignment="1">
      <alignment horizontal="center" vertical="center"/>
    </xf>
    <xf numFmtId="49" fontId="14" fillId="0" borderId="59" xfId="0" applyNumberFormat="1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/>
    </xf>
    <xf numFmtId="167" fontId="14" fillId="0" borderId="59" xfId="0" applyNumberFormat="1" applyFont="1" applyBorder="1" applyAlignment="1">
      <alignment horizontal="center" vertical="center"/>
    </xf>
    <xf numFmtId="167" fontId="14" fillId="0" borderId="48" xfId="0" applyNumberFormat="1" applyFont="1" applyBorder="1" applyAlignment="1">
      <alignment horizontal="center" vertical="center"/>
    </xf>
    <xf numFmtId="49" fontId="14" fillId="0" borderId="20" xfId="0" applyNumberFormat="1" applyFont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vertical="center" wrapText="1"/>
    </xf>
    <xf numFmtId="0" fontId="17" fillId="10" borderId="17" xfId="7" applyFont="1" applyFill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/>
    </xf>
    <xf numFmtId="167" fontId="14" fillId="0" borderId="17" xfId="0" applyNumberFormat="1" applyFont="1" applyBorder="1" applyAlignment="1">
      <alignment horizontal="center" vertical="center"/>
    </xf>
    <xf numFmtId="0" fontId="17" fillId="14" borderId="62" xfId="0" applyFont="1" applyFill="1" applyBorder="1" applyAlignment="1">
      <alignment vertical="center"/>
    </xf>
    <xf numFmtId="0" fontId="17" fillId="14" borderId="63" xfId="0" applyFont="1" applyFill="1" applyBorder="1" applyAlignment="1">
      <alignment vertical="center"/>
    </xf>
    <xf numFmtId="0" fontId="17" fillId="14" borderId="38" xfId="0" applyFont="1" applyFill="1" applyBorder="1" applyAlignment="1">
      <alignment horizontal="right" vertical="center"/>
    </xf>
    <xf numFmtId="170" fontId="17" fillId="14" borderId="64" xfId="0" applyNumberFormat="1" applyFont="1" applyFill="1" applyBorder="1" applyAlignment="1">
      <alignment vertical="center"/>
    </xf>
    <xf numFmtId="167" fontId="17" fillId="14" borderId="68" xfId="0" applyNumberFormat="1" applyFont="1" applyFill="1" applyBorder="1" applyAlignment="1">
      <alignment vertical="center"/>
    </xf>
    <xf numFmtId="169" fontId="17" fillId="11" borderId="10" xfId="0" applyNumberFormat="1" applyFont="1" applyFill="1" applyBorder="1" applyAlignment="1">
      <alignment vertical="center"/>
    </xf>
    <xf numFmtId="169" fontId="17" fillId="5" borderId="15" xfId="0" applyNumberFormat="1" applyFont="1" applyFill="1" applyBorder="1" applyAlignment="1">
      <alignment vertical="center"/>
    </xf>
    <xf numFmtId="169" fontId="17" fillId="11" borderId="15" xfId="0" applyNumberFormat="1" applyFont="1" applyFill="1" applyBorder="1" applyAlignment="1">
      <alignment vertical="center"/>
    </xf>
    <xf numFmtId="172" fontId="35" fillId="28" borderId="72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72" fontId="35" fillId="28" borderId="29" xfId="0" applyNumberFormat="1" applyFont="1" applyFill="1" applyBorder="1" applyAlignment="1">
      <alignment horizontal="center" vertical="center"/>
    </xf>
    <xf numFmtId="0" fontId="36" fillId="30" borderId="9" xfId="0" applyFont="1" applyFill="1" applyBorder="1" applyAlignment="1">
      <alignment horizontal="center" vertical="center"/>
    </xf>
    <xf numFmtId="0" fontId="36" fillId="31" borderId="11" xfId="0" applyFont="1" applyFill="1" applyBorder="1" applyAlignment="1">
      <alignment horizontal="center" vertical="center"/>
    </xf>
    <xf numFmtId="0" fontId="36" fillId="31" borderId="27" xfId="0" applyFont="1" applyFill="1" applyBorder="1" applyAlignment="1">
      <alignment horizontal="center" vertical="center"/>
    </xf>
    <xf numFmtId="172" fontId="35" fillId="28" borderId="69" xfId="0" applyNumberFormat="1" applyFont="1" applyFill="1" applyBorder="1" applyAlignment="1">
      <alignment horizontal="center" vertical="center"/>
    </xf>
    <xf numFmtId="0" fontId="36" fillId="30" borderId="17" xfId="0" applyFont="1" applyFill="1" applyBorder="1" applyAlignment="1">
      <alignment horizontal="center" vertical="center"/>
    </xf>
    <xf numFmtId="0" fontId="36" fillId="31" borderId="17" xfId="0" applyFont="1" applyFill="1" applyBorder="1" applyAlignment="1">
      <alignment horizontal="center" vertical="center"/>
    </xf>
    <xf numFmtId="0" fontId="36" fillId="31" borderId="12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16" fontId="0" fillId="0" borderId="37" xfId="0" applyNumberFormat="1" applyBorder="1" applyAlignment="1">
      <alignment horizontal="center" vertical="center"/>
    </xf>
    <xf numFmtId="16" fontId="0" fillId="31" borderId="10" xfId="0" applyNumberFormat="1" applyFill="1" applyBorder="1" applyAlignment="1">
      <alignment horizontal="center" vertical="center"/>
    </xf>
    <xf numFmtId="172" fontId="35" fillId="28" borderId="73" xfId="0" applyNumberFormat="1" applyFont="1" applyFill="1" applyBorder="1" applyAlignment="1">
      <alignment horizontal="center" vertical="center"/>
    </xf>
    <xf numFmtId="0" fontId="37" fillId="0" borderId="60" xfId="0" applyFont="1" applyBorder="1" applyAlignment="1">
      <alignment vertical="center"/>
    </xf>
    <xf numFmtId="172" fontId="37" fillId="0" borderId="60" xfId="0" applyNumberFormat="1" applyFont="1" applyBorder="1" applyAlignment="1">
      <alignment horizontal="center" vertical="center"/>
    </xf>
    <xf numFmtId="0" fontId="37" fillId="0" borderId="60" xfId="0" applyFont="1" applyBorder="1" applyAlignment="1">
      <alignment horizontal="center" vertical="center"/>
    </xf>
    <xf numFmtId="0" fontId="38" fillId="0" borderId="60" xfId="0" applyFont="1" applyBorder="1" applyAlignment="1">
      <alignment vertical="center"/>
    </xf>
    <xf numFmtId="0" fontId="37" fillId="0" borderId="60" xfId="0" applyFont="1" applyBorder="1" applyAlignment="1">
      <alignment horizontal="left" vertical="center"/>
    </xf>
    <xf numFmtId="173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61" xfId="0" applyFont="1" applyBorder="1" applyAlignment="1">
      <alignment vertical="center"/>
    </xf>
    <xf numFmtId="172" fontId="37" fillId="0" borderId="61" xfId="0" applyNumberFormat="1" applyFont="1" applyBorder="1" applyAlignment="1">
      <alignment horizontal="center" vertical="center"/>
    </xf>
    <xf numFmtId="0" fontId="37" fillId="0" borderId="61" xfId="0" applyFont="1" applyBorder="1" applyAlignment="1">
      <alignment horizontal="center" vertical="center"/>
    </xf>
    <xf numFmtId="0" fontId="38" fillId="0" borderId="61" xfId="0" applyFont="1" applyBorder="1" applyAlignment="1">
      <alignment vertical="center"/>
    </xf>
    <xf numFmtId="0" fontId="37" fillId="0" borderId="61" xfId="0" applyFont="1" applyBorder="1" applyAlignment="1">
      <alignment horizontal="left" vertical="center"/>
    </xf>
    <xf numFmtId="0" fontId="39" fillId="0" borderId="0" xfId="22" applyFont="1" applyAlignment="1">
      <alignment horizontal="left" vertical="center" wrapText="1"/>
    </xf>
    <xf numFmtId="172" fontId="40" fillId="0" borderId="0" xfId="22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173" fontId="37" fillId="2" borderId="0" xfId="0" applyNumberFormat="1" applyFont="1" applyFill="1" applyAlignment="1">
      <alignment horizontal="center" vertical="center"/>
    </xf>
    <xf numFmtId="0" fontId="41" fillId="0" borderId="0" xfId="0" applyFont="1" applyAlignment="1">
      <alignment vertical="center"/>
    </xf>
    <xf numFmtId="172" fontId="41" fillId="0" borderId="0" xfId="0" applyNumberFormat="1" applyFont="1" applyAlignment="1">
      <alignment vertical="center"/>
    </xf>
    <xf numFmtId="172" fontId="37" fillId="0" borderId="0" xfId="0" applyNumberFormat="1" applyFont="1" applyAlignment="1">
      <alignment vertical="center"/>
    </xf>
    <xf numFmtId="173" fontId="37" fillId="0" borderId="0" xfId="0" applyNumberFormat="1" applyFont="1" applyAlignment="1">
      <alignment vertical="center" textRotation="90"/>
    </xf>
    <xf numFmtId="173" fontId="37" fillId="34" borderId="0" xfId="0" applyNumberFormat="1" applyFont="1" applyFill="1" applyAlignment="1">
      <alignment vertical="center" textRotation="90"/>
    </xf>
    <xf numFmtId="0" fontId="42" fillId="35" borderId="41" xfId="0" applyFont="1" applyFill="1" applyBorder="1" applyAlignment="1">
      <alignment vertical="center"/>
    </xf>
    <xf numFmtId="172" fontId="42" fillId="35" borderId="41" xfId="0" applyNumberFormat="1" applyFont="1" applyFill="1" applyBorder="1" applyAlignment="1">
      <alignment horizontal="center" vertical="center"/>
    </xf>
    <xf numFmtId="0" fontId="42" fillId="35" borderId="41" xfId="0" applyFont="1" applyFill="1" applyBorder="1" applyAlignment="1">
      <alignment horizontal="center" vertical="center" wrapText="1"/>
    </xf>
    <xf numFmtId="0" fontId="42" fillId="35" borderId="41" xfId="0" applyFont="1" applyFill="1" applyBorder="1" applyAlignment="1">
      <alignment horizontal="center" vertical="center"/>
    </xf>
    <xf numFmtId="0" fontId="42" fillId="35" borderId="41" xfId="0" applyFont="1" applyFill="1" applyBorder="1" applyAlignment="1">
      <alignment horizontal="left" vertical="center"/>
    </xf>
    <xf numFmtId="172" fontId="41" fillId="35" borderId="41" xfId="0" applyNumberFormat="1" applyFont="1" applyFill="1" applyBorder="1" applyAlignment="1">
      <alignment horizontal="center" vertical="center" textRotation="90"/>
    </xf>
    <xf numFmtId="0" fontId="43" fillId="4" borderId="0" xfId="0" applyFont="1" applyFill="1" applyAlignment="1">
      <alignment vertical="center"/>
    </xf>
    <xf numFmtId="172" fontId="43" fillId="4" borderId="0" xfId="0" applyNumberFormat="1" applyFont="1" applyFill="1" applyAlignment="1">
      <alignment horizontal="center" vertical="center"/>
    </xf>
    <xf numFmtId="0" fontId="43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left" vertical="center"/>
    </xf>
    <xf numFmtId="0" fontId="43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172" fontId="37" fillId="34" borderId="0" xfId="0" applyNumberFormat="1" applyFont="1" applyFill="1" applyAlignment="1">
      <alignment horizontal="center" vertical="center" textRotation="90"/>
    </xf>
    <xf numFmtId="0" fontId="37" fillId="0" borderId="74" xfId="0" applyFont="1" applyBorder="1" applyAlignment="1">
      <alignment vertical="center"/>
    </xf>
    <xf numFmtId="172" fontId="37" fillId="0" borderId="74" xfId="0" applyNumberFormat="1" applyFont="1" applyBorder="1" applyAlignment="1">
      <alignment horizontal="center" vertical="center"/>
    </xf>
    <xf numFmtId="0" fontId="37" fillId="0" borderId="75" xfId="0" applyFont="1" applyBorder="1" applyAlignment="1">
      <alignment horizontal="center" vertical="center"/>
    </xf>
    <xf numFmtId="0" fontId="37" fillId="2" borderId="74" xfId="0" applyFont="1" applyFill="1" applyBorder="1" applyAlignment="1">
      <alignment horizontal="left" vertical="center"/>
    </xf>
    <xf numFmtId="0" fontId="38" fillId="0" borderId="75" xfId="0" applyFont="1" applyBorder="1" applyAlignment="1">
      <alignment horizontal="center" vertical="center"/>
    </xf>
    <xf numFmtId="0" fontId="37" fillId="0" borderId="75" xfId="0" applyFont="1" applyBorder="1" applyAlignment="1">
      <alignment horizontal="left" vertical="center"/>
    </xf>
    <xf numFmtId="173" fontId="37" fillId="34" borderId="75" xfId="0" applyNumberFormat="1" applyFont="1" applyFill="1" applyBorder="1" applyAlignment="1">
      <alignment horizontal="center" vertical="center"/>
    </xf>
    <xf numFmtId="173" fontId="37" fillId="0" borderId="75" xfId="0" applyNumberFormat="1" applyFont="1" applyBorder="1" applyAlignment="1">
      <alignment horizontal="center" vertical="center"/>
    </xf>
    <xf numFmtId="173" fontId="37" fillId="2" borderId="75" xfId="0" applyNumberFormat="1" applyFont="1" applyFill="1" applyBorder="1" applyAlignment="1">
      <alignment horizontal="center" vertical="center"/>
    </xf>
    <xf numFmtId="173" fontId="37" fillId="36" borderId="75" xfId="0" applyNumberFormat="1" applyFont="1" applyFill="1" applyBorder="1" applyAlignment="1">
      <alignment horizontal="center" vertical="center"/>
    </xf>
    <xf numFmtId="0" fontId="37" fillId="0" borderId="74" xfId="0" applyFont="1" applyBorder="1" applyAlignment="1">
      <alignment vertical="center" wrapText="1"/>
    </xf>
    <xf numFmtId="172" fontId="37" fillId="0" borderId="0" xfId="0" applyNumberFormat="1" applyFont="1" applyAlignment="1">
      <alignment horizontal="center" vertical="center"/>
    </xf>
    <xf numFmtId="0" fontId="17" fillId="3" borderId="7" xfId="0" applyFont="1" applyFill="1" applyBorder="1"/>
    <xf numFmtId="0" fontId="17" fillId="3" borderId="76" xfId="0" applyFont="1" applyFill="1" applyBorder="1"/>
    <xf numFmtId="0" fontId="20" fillId="17" borderId="77" xfId="0" applyFont="1" applyFill="1" applyBorder="1" applyAlignment="1">
      <alignment horizontal="center" vertical="center"/>
    </xf>
    <xf numFmtId="49" fontId="20" fillId="17" borderId="78" xfId="0" applyNumberFormat="1" applyFont="1" applyFill="1" applyBorder="1" applyAlignment="1">
      <alignment horizontal="center" vertical="center" wrapText="1"/>
    </xf>
    <xf numFmtId="0" fontId="20" fillId="17" borderId="78" xfId="0" applyFont="1" applyFill="1" applyBorder="1" applyAlignment="1">
      <alignment horizontal="center" vertical="center"/>
    </xf>
    <xf numFmtId="165" fontId="20" fillId="17" borderId="78" xfId="0" applyNumberFormat="1" applyFont="1" applyFill="1" applyBorder="1" applyAlignment="1">
      <alignment horizontal="center" vertical="center"/>
    </xf>
    <xf numFmtId="165" fontId="20" fillId="17" borderId="79" xfId="0" applyNumberFormat="1" applyFont="1" applyFill="1" applyBorder="1" applyAlignment="1">
      <alignment horizontal="center" vertical="center"/>
    </xf>
    <xf numFmtId="168" fontId="21" fillId="0" borderId="80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17" fillId="0" borderId="19" xfId="0" applyFont="1" applyBorder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49" fontId="22" fillId="24" borderId="12" xfId="0" applyNumberFormat="1" applyFont="1" applyFill="1" applyBorder="1" applyAlignment="1">
      <alignment horizontal="center" vertical="center" wrapText="1"/>
    </xf>
    <xf numFmtId="49" fontId="22" fillId="24" borderId="14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30" xfId="0" applyFont="1" applyFill="1" applyBorder="1" applyAlignment="1">
      <alignment horizontal="right" vertical="center" wrapText="1"/>
    </xf>
    <xf numFmtId="165" fontId="20" fillId="17" borderId="9" xfId="0" applyNumberFormat="1" applyFont="1" applyFill="1" applyBorder="1" applyAlignment="1">
      <alignment horizontal="center" vertical="center"/>
    </xf>
    <xf numFmtId="0" fontId="18" fillId="0" borderId="10" xfId="0" applyFont="1" applyBorder="1"/>
    <xf numFmtId="0" fontId="26" fillId="0" borderId="0" xfId="0" applyFont="1" applyAlignment="1">
      <alignment horizont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horizontal="center" vertical="center"/>
    </xf>
    <xf numFmtId="165" fontId="31" fillId="17" borderId="17" xfId="0" applyNumberFormat="1" applyFont="1" applyFill="1" applyBorder="1" applyAlignment="1">
      <alignment horizontal="center" vertical="center"/>
    </xf>
    <xf numFmtId="0" fontId="17" fillId="26" borderId="6" xfId="0" applyFont="1" applyFill="1" applyBorder="1" applyAlignment="1">
      <alignment horizontal="center" vertical="center" wrapText="1"/>
    </xf>
    <xf numFmtId="0" fontId="17" fillId="26" borderId="30" xfId="0" applyFont="1" applyFill="1" applyBorder="1" applyAlignment="1">
      <alignment horizontal="center" vertical="center" wrapText="1"/>
    </xf>
    <xf numFmtId="10" fontId="45" fillId="3" borderId="69" xfId="3" applyNumberFormat="1" applyFont="1" applyFill="1" applyBorder="1" applyAlignment="1">
      <alignment horizontal="center" vertical="center" wrapText="1"/>
    </xf>
    <xf numFmtId="10" fontId="45" fillId="3" borderId="70" xfId="3" applyNumberFormat="1" applyFont="1" applyFill="1" applyBorder="1" applyAlignment="1">
      <alignment horizontal="center" vertical="center" wrapText="1"/>
    </xf>
    <xf numFmtId="49" fontId="17" fillId="15" borderId="52" xfId="0" applyNumberFormat="1" applyFont="1" applyFill="1" applyBorder="1" applyAlignment="1">
      <alignment horizontal="right" vertical="center" wrapText="1"/>
    </xf>
    <xf numFmtId="0" fontId="18" fillId="0" borderId="44" xfId="0" applyFont="1" applyBorder="1"/>
    <xf numFmtId="49" fontId="17" fillId="14" borderId="54" xfId="0" applyNumberFormat="1" applyFont="1" applyFill="1" applyBorder="1" applyAlignment="1">
      <alignment horizontal="right" vertical="center" wrapText="1"/>
    </xf>
    <xf numFmtId="0" fontId="18" fillId="0" borderId="55" xfId="0" applyFont="1" applyBorder="1"/>
    <xf numFmtId="0" fontId="18" fillId="0" borderId="56" xfId="0" applyFont="1" applyBorder="1"/>
    <xf numFmtId="165" fontId="17" fillId="12" borderId="27" xfId="0" applyNumberFormat="1" applyFont="1" applyFill="1" applyBorder="1" applyAlignment="1">
      <alignment horizontal="center" vertical="center"/>
    </xf>
    <xf numFmtId="165" fontId="17" fillId="12" borderId="28" xfId="0" applyNumberFormat="1" applyFont="1" applyFill="1" applyBorder="1" applyAlignment="1">
      <alignment horizontal="center" vertical="center"/>
    </xf>
    <xf numFmtId="49" fontId="17" fillId="11" borderId="9" xfId="0" applyNumberFormat="1" applyFont="1" applyFill="1" applyBorder="1" applyAlignment="1">
      <alignment horizontal="right" vertical="center" wrapText="1"/>
    </xf>
    <xf numFmtId="49" fontId="17" fillId="11" borderId="37" xfId="0" applyNumberFormat="1" applyFont="1" applyFill="1" applyBorder="1" applyAlignment="1">
      <alignment horizontal="right" vertical="center" wrapText="1"/>
    </xf>
    <xf numFmtId="49" fontId="17" fillId="11" borderId="11" xfId="0" applyNumberFormat="1" applyFont="1" applyFill="1" applyBorder="1" applyAlignment="1">
      <alignment horizontal="right" vertical="center" wrapText="1"/>
    </xf>
    <xf numFmtId="49" fontId="17" fillId="11" borderId="17" xfId="0" applyNumberFormat="1" applyFont="1" applyFill="1" applyBorder="1" applyAlignment="1">
      <alignment horizontal="right" vertical="center" wrapText="1"/>
    </xf>
    <xf numFmtId="49" fontId="24" fillId="14" borderId="65" xfId="0" applyNumberFormat="1" applyFont="1" applyFill="1" applyBorder="1" applyAlignment="1">
      <alignment horizontal="right" vertical="center" wrapText="1"/>
    </xf>
    <xf numFmtId="0" fontId="18" fillId="0" borderId="66" xfId="0" applyFont="1" applyBorder="1"/>
    <xf numFmtId="0" fontId="18" fillId="0" borderId="67" xfId="0" applyFont="1" applyBorder="1"/>
    <xf numFmtId="49" fontId="24" fillId="15" borderId="53" xfId="0" applyNumberFormat="1" applyFont="1" applyFill="1" applyBorder="1" applyAlignment="1">
      <alignment horizontal="right" vertical="center" wrapText="1"/>
    </xf>
    <xf numFmtId="0" fontId="18" fillId="0" borderId="46" xfId="0" applyFont="1" applyBorder="1" applyAlignment="1">
      <alignment horizontal="right"/>
    </xf>
    <xf numFmtId="49" fontId="17" fillId="15" borderId="51" xfId="0" applyNumberFormat="1" applyFont="1" applyFill="1" applyBorder="1" applyAlignment="1">
      <alignment horizontal="right" vertical="center" wrapText="1"/>
    </xf>
    <xf numFmtId="0" fontId="18" fillId="0" borderId="19" xfId="0" applyFont="1" applyBorder="1"/>
    <xf numFmtId="0" fontId="19" fillId="10" borderId="39" xfId="0" applyFont="1" applyFill="1" applyBorder="1" applyAlignment="1">
      <alignment horizontal="center"/>
    </xf>
    <xf numFmtId="0" fontId="18" fillId="0" borderId="38" xfId="0" applyFont="1" applyBorder="1"/>
    <xf numFmtId="0" fontId="17" fillId="8" borderId="36" xfId="0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70" fontId="17" fillId="8" borderId="27" xfId="0" applyNumberFormat="1" applyFont="1" applyFill="1" applyBorder="1" applyAlignment="1">
      <alignment horizontal="center" vertical="center"/>
    </xf>
    <xf numFmtId="170" fontId="17" fillId="8" borderId="34" xfId="0" applyNumberFormat="1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 wrapText="1"/>
    </xf>
    <xf numFmtId="0" fontId="17" fillId="8" borderId="37" xfId="0" applyFont="1" applyFill="1" applyBorder="1" applyAlignment="1">
      <alignment horizontal="center" vertical="center" wrapText="1"/>
    </xf>
    <xf numFmtId="0" fontId="17" fillId="8" borderId="10" xfId="0" applyFont="1" applyFill="1" applyBorder="1" applyAlignment="1">
      <alignment horizontal="center" vertical="center" wrapText="1"/>
    </xf>
    <xf numFmtId="0" fontId="17" fillId="8" borderId="9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7" fontId="17" fillId="9" borderId="11" xfId="0" applyNumberFormat="1" applyFont="1" applyFill="1" applyBorder="1" applyAlignment="1">
      <alignment horizontal="center" vertical="center" wrapText="1"/>
    </xf>
    <xf numFmtId="167" fontId="17" fillId="9" borderId="17" xfId="0" applyNumberFormat="1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left" vertical="center" wrapText="1"/>
    </xf>
    <xf numFmtId="0" fontId="17" fillId="5" borderId="17" xfId="0" applyFont="1" applyFill="1" applyBorder="1" applyAlignment="1">
      <alignment horizontal="left" vertical="center" wrapText="1"/>
    </xf>
    <xf numFmtId="0" fontId="34" fillId="0" borderId="17" xfId="0" applyFont="1" applyBorder="1" applyAlignment="1">
      <alignment horizontal="left" vertical="center" wrapText="1"/>
    </xf>
    <xf numFmtId="0" fontId="35" fillId="33" borderId="6" xfId="0" applyFont="1" applyFill="1" applyBorder="1" applyAlignment="1">
      <alignment horizontal="center" vertical="center"/>
    </xf>
    <xf numFmtId="0" fontId="35" fillId="33" borderId="71" xfId="0" applyFont="1" applyFill="1" applyBorder="1" applyAlignment="1">
      <alignment horizontal="center" vertical="center"/>
    </xf>
    <xf numFmtId="0" fontId="35" fillId="33" borderId="30" xfId="0" applyFont="1" applyFill="1" applyBorder="1" applyAlignment="1">
      <alignment horizontal="center" vertical="center"/>
    </xf>
    <xf numFmtId="0" fontId="35" fillId="32" borderId="6" xfId="0" applyFont="1" applyFill="1" applyBorder="1" applyAlignment="1">
      <alignment horizontal="center" vertical="center"/>
    </xf>
    <xf numFmtId="0" fontId="35" fillId="32" borderId="71" xfId="0" applyFont="1" applyFill="1" applyBorder="1" applyAlignment="1">
      <alignment horizontal="center" vertical="center"/>
    </xf>
    <xf numFmtId="0" fontId="35" fillId="32" borderId="30" xfId="0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left" vertical="center" wrapText="1"/>
    </xf>
    <xf numFmtId="0" fontId="35" fillId="29" borderId="6" xfId="0" applyFont="1" applyFill="1" applyBorder="1" applyAlignment="1">
      <alignment horizontal="center" vertical="center"/>
    </xf>
    <xf numFmtId="0" fontId="35" fillId="29" borderId="71" xfId="0" applyFont="1" applyFill="1" applyBorder="1" applyAlignment="1">
      <alignment horizontal="center" vertical="center"/>
    </xf>
    <xf numFmtId="0" fontId="35" fillId="29" borderId="30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0" fontId="35" fillId="3" borderId="71" xfId="0" applyFont="1" applyFill="1" applyBorder="1" applyAlignment="1">
      <alignment horizontal="center" vertical="center"/>
    </xf>
    <xf numFmtId="0" fontId="35" fillId="3" borderId="30" xfId="0" applyFont="1" applyFill="1" applyBorder="1" applyAlignment="1">
      <alignment horizontal="center" vertical="center"/>
    </xf>
  </cellXfs>
  <cellStyles count="41">
    <cellStyle name="Moeda" xfId="1" builtinId="4"/>
    <cellStyle name="Moeda 13" xfId="5" xr:uid="{00000000-0005-0000-0000-000001000000}"/>
    <cellStyle name="Moeda 2" xfId="9" xr:uid="{00000000-0005-0000-0000-000002000000}"/>
    <cellStyle name="Moeda 2 2" xfId="25" xr:uid="{00000000-0005-0000-0000-000003000000}"/>
    <cellStyle name="Moeda 2 2 2 2" xfId="6" xr:uid="{00000000-0005-0000-0000-000004000000}"/>
    <cellStyle name="Moeda 3" xfId="11" xr:uid="{00000000-0005-0000-0000-000005000000}"/>
    <cellStyle name="Moeda 3 2" xfId="27" xr:uid="{00000000-0005-0000-0000-000006000000}"/>
    <cellStyle name="Moeda 4" xfId="15" xr:uid="{00000000-0005-0000-0000-000007000000}"/>
    <cellStyle name="Moeda 4 2" xfId="31" xr:uid="{00000000-0005-0000-0000-000008000000}"/>
    <cellStyle name="Moeda 5" xfId="17" xr:uid="{00000000-0005-0000-0000-000009000000}"/>
    <cellStyle name="Moeda 5 2" xfId="33" xr:uid="{00000000-0005-0000-0000-00000A000000}"/>
    <cellStyle name="Normal" xfId="0" builtinId="0"/>
    <cellStyle name="Normal 10" xfId="7" xr:uid="{00000000-0005-0000-0000-00000C000000}"/>
    <cellStyle name="Normal 2" xfId="8" xr:uid="{00000000-0005-0000-0000-00000D000000}"/>
    <cellStyle name="Normal 2 2" xfId="4" xr:uid="{00000000-0005-0000-0000-00000E000000}"/>
    <cellStyle name="Normal 2 2 2" xfId="26" xr:uid="{00000000-0005-0000-0000-00000F000000}"/>
    <cellStyle name="Normal 2 2 3" xfId="10" xr:uid="{00000000-0005-0000-0000-000010000000}"/>
    <cellStyle name="Normal 2 3" xfId="24" xr:uid="{00000000-0005-0000-0000-000011000000}"/>
    <cellStyle name="Normal 2 4" xfId="39" xr:uid="{00000000-0005-0000-0000-000012000000}"/>
    <cellStyle name="Normal 3" xfId="12" xr:uid="{00000000-0005-0000-0000-000013000000}"/>
    <cellStyle name="Normal 3 2" xfId="28" xr:uid="{00000000-0005-0000-0000-000014000000}"/>
    <cellStyle name="Normal 4" xfId="16" xr:uid="{00000000-0005-0000-0000-000015000000}"/>
    <cellStyle name="Normal 4 2" xfId="32" xr:uid="{00000000-0005-0000-0000-000016000000}"/>
    <cellStyle name="Normal 5" xfId="13" xr:uid="{00000000-0005-0000-0000-000017000000}"/>
    <cellStyle name="Normal 5 2" xfId="22" xr:uid="{00000000-0005-0000-0000-000018000000}"/>
    <cellStyle name="Normal 5 3" xfId="29" xr:uid="{00000000-0005-0000-0000-000019000000}"/>
    <cellStyle name="Normal 5 4" xfId="40" xr:uid="{00000000-0005-0000-0000-00001A000000}"/>
    <cellStyle name="Normal 6" xfId="18" xr:uid="{00000000-0005-0000-0000-00001B000000}"/>
    <cellStyle name="Normal 6 2" xfId="34" xr:uid="{00000000-0005-0000-0000-00001C000000}"/>
    <cellStyle name="Normal 7" xfId="21" xr:uid="{00000000-0005-0000-0000-00001D000000}"/>
    <cellStyle name="Normal 7 2" xfId="37" xr:uid="{00000000-0005-0000-0000-00001E000000}"/>
    <cellStyle name="Normal 8" xfId="23" xr:uid="{00000000-0005-0000-0000-00001F000000}"/>
    <cellStyle name="Normal 9" xfId="38" xr:uid="{00000000-0005-0000-0000-000020000000}"/>
    <cellStyle name="Normal_Xl0000065" xfId="3" xr:uid="{00000000-0005-0000-0000-000021000000}"/>
    <cellStyle name="Porcentagem" xfId="2" builtinId="5"/>
    <cellStyle name="Porcentagem 2" xfId="14" xr:uid="{00000000-0005-0000-0000-000023000000}"/>
    <cellStyle name="Porcentagem 2 2" xfId="30" xr:uid="{00000000-0005-0000-0000-000024000000}"/>
    <cellStyle name="Porcentagem 3" xfId="19" xr:uid="{00000000-0005-0000-0000-000025000000}"/>
    <cellStyle name="Porcentagem 3 2" xfId="35" xr:uid="{00000000-0005-0000-0000-000026000000}"/>
    <cellStyle name="Vírgula 2" xfId="20" xr:uid="{00000000-0005-0000-0000-000027000000}"/>
    <cellStyle name="Vírgula 2 2" xfId="36" xr:uid="{00000000-0005-0000-0000-000028000000}"/>
  </cellStyles>
  <dxfs count="24">
    <dxf>
      <fill>
        <patternFill>
          <bgColor rgb="FF0033CC"/>
        </patternFill>
      </fill>
    </dxf>
    <dxf>
      <fill>
        <patternFill>
          <bgColor theme="0" tint="-0.34998626667073579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ill>
        <patternFill patternType="solid">
          <fgColor auto="1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0000"/>
          <bgColor rgb="FFFF000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  <dxf>
      <fill>
        <patternFill>
          <fgColor rgb="FFFF0000"/>
          <bgColor rgb="FFFF0000"/>
        </patternFill>
      </fill>
    </dxf>
    <dxf>
      <fill>
        <patternFill patternType="solid">
          <fgColor auto="1"/>
          <bgColor rgb="FF92D050"/>
        </patternFill>
      </fill>
    </dxf>
    <dxf>
      <fill>
        <patternFill>
          <fgColor rgb="FFFFFF00"/>
          <bgColor rgb="FFFFFF00"/>
        </patternFill>
      </fill>
    </dxf>
    <dxf>
      <fill>
        <patternFill>
          <fgColor rgb="FF92D050"/>
          <bgColor rgb="FF92D050"/>
        </patternFill>
      </fill>
    </dxf>
    <dxf>
      <fill>
        <patternFill>
          <fgColor rgb="FFFFC000"/>
          <bgColor rgb="FFFFC000"/>
        </patternFill>
      </fill>
    </dxf>
  </dxfs>
  <tableStyles count="0" defaultTableStyle="TableStyleMedium2" defaultPivotStyle="PivotStyleLight16"/>
  <colors>
    <mruColors>
      <color rgb="FF9875A4"/>
      <color rgb="FF87AFD2"/>
      <color rgb="FF247A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</xdr:colOff>
      <xdr:row>2</xdr:row>
      <xdr:rowOff>79375</xdr:rowOff>
    </xdr:from>
    <xdr:to>
      <xdr:col>2</xdr:col>
      <xdr:colOff>129840</xdr:colOff>
      <xdr:row>7</xdr:row>
      <xdr:rowOff>15875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4CBB78-C487-F88D-A92B-F600FD060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92125"/>
          <a:ext cx="3527090" cy="968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494631</xdr:colOff>
      <xdr:row>2</xdr:row>
      <xdr:rowOff>173789</xdr:rowOff>
    </xdr:from>
    <xdr:to>
      <xdr:col>2</xdr:col>
      <xdr:colOff>5690584</xdr:colOff>
      <xdr:row>9</xdr:row>
      <xdr:rowOff>158805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255FD81-D860-0445-8CD6-66EC744B7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999" y="588210"/>
          <a:ext cx="5797532" cy="1591733"/>
        </a:xfrm>
        <a:prstGeom prst="rect">
          <a:avLst/>
        </a:prstGeom>
      </xdr:spPr>
    </xdr:pic>
    <xdr:clientData/>
  </xdr:twoCellAnchor>
  <xdr:oneCellAnchor>
    <xdr:from>
      <xdr:col>13</xdr:col>
      <xdr:colOff>124398</xdr:colOff>
      <xdr:row>0</xdr:row>
      <xdr:rowOff>100079</xdr:rowOff>
    </xdr:from>
    <xdr:ext cx="468013" cy="4716612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9B52784-4512-551D-8A80-CD07692F9F94}"/>
            </a:ext>
          </a:extLst>
        </xdr:cNvPr>
        <xdr:cNvSpPr txBox="1"/>
      </xdr:nvSpPr>
      <xdr:spPr>
        <a:xfrm rot="16200000">
          <a:off x="30177888" y="2224378"/>
          <a:ext cx="4716612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2400" b="1">
              <a:solidFill>
                <a:srgbClr val="FFFF00"/>
              </a:solidFill>
            </a:rPr>
            <a:t>Excluir para o cliente a partir daqui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180975</xdr:rowOff>
    </xdr:from>
    <xdr:to>
      <xdr:col>2</xdr:col>
      <xdr:colOff>37802</xdr:colOff>
      <xdr:row>5</xdr:row>
      <xdr:rowOff>174625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B574ED-95DB-497F-9FF2-BEFE14F83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371475"/>
          <a:ext cx="2644477" cy="755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173877</xdr:colOff>
      <xdr:row>2</xdr:row>
      <xdr:rowOff>25400</xdr:rowOff>
    </xdr:from>
    <xdr:ext cx="3925048" cy="6953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C3331DC9-73C2-477B-BE50-E513727E31B8}"/>
            </a:ext>
          </a:extLst>
        </xdr:cNvPr>
        <xdr:cNvSpPr txBox="1"/>
      </xdr:nvSpPr>
      <xdr:spPr>
        <a:xfrm>
          <a:off x="5184027" y="520700"/>
          <a:ext cx="3925048" cy="695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3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CLIENTE 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NOME</a:t>
          </a:r>
          <a:r>
            <a:rPr lang="en-US" sz="1100" b="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PROJETO</a:t>
          </a:r>
          <a:r>
            <a:rPr lang="en-US" sz="11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- N</a:t>
          </a:r>
          <a:r>
            <a:rPr lang="en-US" sz="1100" b="0" baseline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DO PROJETO</a:t>
          </a:r>
          <a:endParaRPr lang="en-US" sz="1100" b="0">
            <a:solidFill>
              <a:sysClr val="windowText" lastClr="000000"/>
            </a:solidFill>
            <a:latin typeface="+mn-lt"/>
            <a:ea typeface="+mn-ea"/>
            <a:cs typeface="+mn-cs"/>
            <a:sym typeface="Calibri"/>
          </a:endParaRPr>
        </a:p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300"/>
            <a:buFont typeface="Calibri"/>
            <a:buNone/>
          </a:pPr>
          <a:r>
            <a:rPr lang="en-US" sz="1600" b="1">
              <a:solidFill>
                <a:schemeClr val="dk1"/>
              </a:solidFill>
              <a:latin typeface="Verdana"/>
              <a:ea typeface="Verdana"/>
              <a:cs typeface="Verdana"/>
              <a:sym typeface="Verdana"/>
            </a:rPr>
            <a:t>CRONOGRAMA</a:t>
          </a:r>
          <a:r>
            <a:rPr lang="en-US" sz="1600" b="1" baseline="0">
              <a:solidFill>
                <a:schemeClr val="dk1"/>
              </a:solidFill>
              <a:latin typeface="Verdana"/>
              <a:ea typeface="Verdana"/>
              <a:cs typeface="Verdana"/>
              <a:sym typeface="Verdana"/>
            </a:rPr>
            <a:t> GERAL 2025</a:t>
          </a:r>
          <a:endParaRPr sz="1600" b="1">
            <a:latin typeface="Verdana"/>
            <a:ea typeface="Verdana"/>
            <a:cs typeface="Verdana"/>
            <a:sym typeface="Verdana"/>
          </a:endParaRPr>
        </a:p>
      </xdr:txBody>
    </xdr:sp>
    <xdr:clientData fLocksWithSheet="0"/>
  </xdr:oneCellAnchor>
  <xdr:twoCellAnchor editAs="oneCell">
    <xdr:from>
      <xdr:col>1</xdr:col>
      <xdr:colOff>161925</xdr:colOff>
      <xdr:row>1</xdr:row>
      <xdr:rowOff>190500</xdr:rowOff>
    </xdr:from>
    <xdr:to>
      <xdr:col>2</xdr:col>
      <xdr:colOff>3141890</xdr:colOff>
      <xdr:row>5</xdr:row>
      <xdr:rowOff>62890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E8786A2-38C8-4EB5-9B73-40E9862BD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438150"/>
          <a:ext cx="3143250" cy="8629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nata Gentil" id="{51210E64-2F9E-4C58-A97B-4E5A04064C83}" userId="S::renata.gentil@allaroundbrand.onmicrosoft.com::864843ea-074f-4905-82a8-6eb34b4ef088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H8" dT="2024-11-26T20:23:44.80" personId="{51210E64-2F9E-4C58-A97B-4E5A04064C83}" id="{2358C578-DAAC-4900-B6DE-6797D66F92EB}">
    <text xml:space="preserve">Aniversário de São Paulo </text>
  </threadedComment>
  <threadedComment ref="BT8" dT="2024-11-26T20:18:14.47" personId="{51210E64-2F9E-4C58-A97B-4E5A04064C83}" id="{E1A537EF-0754-490C-8BDB-5BE3051FBE59}">
    <text>Carnaval - Ponto Facultativo</text>
  </threadedComment>
  <threadedComment ref="DM8" dT="2024-11-26T20:11:58.17" personId="{51210E64-2F9E-4C58-A97B-4E5A04064C83}" id="{D7A07032-1674-4369-8E42-474764A91F33}">
    <text>Sexta-feira Santa - Nacional</text>
  </threadedComment>
  <threadedComment ref="DO8" dT="2024-11-26T20:21:38.00" personId="{51210E64-2F9E-4C58-A97B-4E5A04064C83}" id="{2FF42FAF-B69A-43D5-93B6-7820341A8E6D}">
    <text xml:space="preserve">Domingo de Páscoa </text>
  </threadedComment>
  <threadedComment ref="DP8" dT="2024-11-26T20:12:43.82" personId="{51210E64-2F9E-4C58-A97B-4E5A04064C83}" id="{27A79EF0-F5A0-4A3A-9E86-A697484C4FF9}">
    <text>Tiradentes - Nacional</text>
  </threadedComment>
  <threadedComment ref="DZ8" dT="2024-11-26T20:13:11.85" personId="{51210E64-2F9E-4C58-A97B-4E5A04064C83}" id="{A48635D6-FD77-4560-98D6-67D10A54C4F5}">
    <text>Dia do trabalhador - Nacional</text>
  </threadedComment>
  <threadedComment ref="FW8" dT="2024-11-26T20:19:04.27" personId="{51210E64-2F9E-4C58-A97B-4E5A04064C83}" id="{70DB106E-6C0C-469F-81F0-0522D23C6B60}">
    <text>Corpus Christi - Ponto Facultativo</text>
  </threadedComment>
  <threadedComment ref="GQ8" dT="2024-11-26T20:22:24.57" personId="{51210E64-2F9E-4C58-A97B-4E5A04064C83}" id="{6F917E3B-176C-4110-BEAF-8B624DCAC555}">
    <text>Revolução Constitucionalista de 1932 - Estadual São Paulo</text>
  </threadedComment>
  <threadedComment ref="IY8" dT="2024-11-26T20:13:55.51" personId="{51210E64-2F9E-4C58-A97B-4E5A04064C83}" id="{1E7985C3-C1EA-4423-902F-D5F2FEA05DD0}">
    <text>Independência do Brasil - Nacional</text>
  </threadedComment>
  <threadedComment ref="KH8" dT="2024-11-26T20:14:23.62" personId="{51210E64-2F9E-4C58-A97B-4E5A04064C83}" id="{069F9D44-A466-4149-A644-66AF3145AE9E}">
    <text>Nossa Senhora Aparecida - Nacional</text>
  </threadedComment>
  <threadedComment ref="LC8" dT="2024-11-26T20:14:59.48" personId="{51210E64-2F9E-4C58-A97B-4E5A04064C83}" id="{401EB6A8-2B14-42E1-8B92-04CAB46CE5C4}">
    <text>Finados - Nacional</text>
  </threadedComment>
  <threadedComment ref="LP8" dT="2024-11-26T20:15:31.04" personId="{51210E64-2F9E-4C58-A97B-4E5A04064C83}" id="{F451C9CB-A35D-49C3-B503-5C33767AEC9A}">
    <text>Proclamação da República - Nacional</text>
  </threadedComment>
  <threadedComment ref="LU8" dT="2024-11-26T20:16:18.78" personId="{51210E64-2F9E-4C58-A97B-4E5A04064C83}" id="{13CD7A9D-3DEA-4B9A-B3DC-4E30442EB275}">
    <text>Dia da Consciência Negra - Nacional</text>
  </threadedComment>
  <threadedComment ref="NC8" dT="2024-11-26T20:19:40.32" personId="{51210E64-2F9E-4C58-A97B-4E5A04064C83}" id="{C0FB5944-3010-4CAE-9D27-52C8D65971C6}">
    <text>Véspera de Natal - Ponto Facultativo</text>
  </threadedComment>
  <threadedComment ref="ND8" dT="2024-11-26T20:16:47.79" personId="{51210E64-2F9E-4C58-A97B-4E5A04064C83}" id="{69C3C214-FA56-4EAB-8D21-15EEB21F6263}">
    <text>Natal - Nacional</text>
  </threadedComment>
  <threadedComment ref="NJ8" dT="2024-11-26T20:20:03.89" personId="{51210E64-2F9E-4C58-A97B-4E5A04064C83}" id="{0F717D73-8588-4FA1-BFF6-E601C8588BFD}">
    <text>Véspera do Ano Novo - Ponto Facultativo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0"/>
  <sheetViews>
    <sheetView showGridLines="0" zoomScale="80" zoomScaleNormal="80" workbookViewId="0">
      <selection activeCell="B14" sqref="B14:D14"/>
    </sheetView>
  </sheetViews>
  <sheetFormatPr defaultColWidth="14.42578125" defaultRowHeight="15" customHeight="1" x14ac:dyDescent="0.25"/>
  <cols>
    <col min="1" max="1" width="3.42578125" style="25" customWidth="1"/>
    <col min="2" max="2" width="45.28515625" style="25" customWidth="1"/>
    <col min="3" max="4" width="28.85546875" style="25" customWidth="1"/>
    <col min="5" max="5" width="18" style="25" customWidth="1"/>
    <col min="6" max="7" width="32" style="25" customWidth="1"/>
    <col min="8" max="8" width="8.85546875" style="25" customWidth="1"/>
    <col min="9" max="10" width="28.85546875" style="25" customWidth="1"/>
    <col min="11" max="11" width="14.42578125" style="25"/>
    <col min="12" max="13" width="28.85546875" style="25" customWidth="1"/>
    <col min="14" max="16384" width="14.42578125" style="25"/>
  </cols>
  <sheetData>
    <row r="1" spans="1:13" ht="15.75" x14ac:dyDescent="0.25">
      <c r="B1" s="59"/>
      <c r="C1" s="58"/>
      <c r="D1" s="57" t="s">
        <v>0</v>
      </c>
    </row>
    <row r="2" spans="1:13" ht="15.75" x14ac:dyDescent="0.25">
      <c r="B2" s="55"/>
      <c r="C2" s="54" t="s">
        <v>1</v>
      </c>
      <c r="D2" s="53"/>
    </row>
    <row r="3" spans="1:13" ht="15.75" x14ac:dyDescent="0.25">
      <c r="B3" s="55"/>
      <c r="C3" s="54" t="s">
        <v>2</v>
      </c>
      <c r="D3" s="56"/>
    </row>
    <row r="4" spans="1:13" ht="15.75" x14ac:dyDescent="0.25">
      <c r="B4" s="55"/>
      <c r="C4" s="54" t="s">
        <v>3</v>
      </c>
      <c r="D4" s="53"/>
    </row>
    <row r="5" spans="1:13" ht="15.75" x14ac:dyDescent="0.25">
      <c r="B5" s="55"/>
      <c r="C5" s="54" t="s">
        <v>4</v>
      </c>
      <c r="D5" s="53"/>
    </row>
    <row r="6" spans="1:13" ht="15.75" x14ac:dyDescent="0.25">
      <c r="B6" s="55"/>
      <c r="C6" s="54" t="s">
        <v>5</v>
      </c>
      <c r="D6" s="53"/>
    </row>
    <row r="7" spans="1:13" ht="15.75" x14ac:dyDescent="0.25">
      <c r="B7" s="55"/>
      <c r="C7" s="54" t="s">
        <v>6</v>
      </c>
      <c r="D7" s="53"/>
    </row>
    <row r="8" spans="1:13" ht="15.75" x14ac:dyDescent="0.25">
      <c r="B8" s="55"/>
      <c r="C8" s="54" t="s">
        <v>7</v>
      </c>
      <c r="D8" s="53"/>
    </row>
    <row r="9" spans="1:13" ht="15.75" x14ac:dyDescent="0.25">
      <c r="B9" s="55"/>
      <c r="C9" s="54" t="s">
        <v>82</v>
      </c>
      <c r="D9" s="53"/>
    </row>
    <row r="10" spans="1:13" ht="15.75" x14ac:dyDescent="0.25">
      <c r="B10" s="55"/>
      <c r="C10" s="54" t="s">
        <v>81</v>
      </c>
      <c r="D10" s="53"/>
    </row>
    <row r="11" spans="1:13" ht="16.5" thickBot="1" x14ac:dyDescent="0.3">
      <c r="B11" s="52"/>
      <c r="C11" s="51"/>
      <c r="D11" s="50"/>
    </row>
    <row r="12" spans="1:13" ht="15.75" customHeight="1" x14ac:dyDescent="0.25">
      <c r="A12" s="34"/>
      <c r="B12" s="34"/>
      <c r="C12" s="49"/>
      <c r="D12" s="34"/>
      <c r="E12" s="34"/>
      <c r="F12" s="34"/>
      <c r="G12" s="34"/>
      <c r="H12" s="34"/>
      <c r="I12" s="34"/>
      <c r="J12" s="34"/>
      <c r="L12" s="34"/>
      <c r="M12" s="34"/>
    </row>
    <row r="13" spans="1:13" ht="16.5" thickBot="1" x14ac:dyDescent="0.3">
      <c r="A13" s="34"/>
      <c r="B13" s="34"/>
      <c r="C13" s="49"/>
      <c r="D13" s="34"/>
      <c r="F13" s="34"/>
      <c r="G13" s="34"/>
      <c r="H13" s="34"/>
      <c r="I13" s="368" t="s">
        <v>80</v>
      </c>
      <c r="J13" s="369"/>
      <c r="L13" s="368" t="s">
        <v>80</v>
      </c>
      <c r="M13" s="369"/>
    </row>
    <row r="14" spans="1:13" s="37" customFormat="1" ht="15.75" x14ac:dyDescent="0.25">
      <c r="A14" s="40"/>
      <c r="B14" s="374" t="s">
        <v>79</v>
      </c>
      <c r="C14" s="375"/>
      <c r="D14" s="376"/>
      <c r="E14" s="25"/>
      <c r="F14" s="377" t="s">
        <v>78</v>
      </c>
      <c r="G14" s="378"/>
      <c r="H14" s="40"/>
      <c r="I14" s="370" t="s">
        <v>509</v>
      </c>
      <c r="J14" s="371"/>
      <c r="L14" s="370" t="s">
        <v>510</v>
      </c>
      <c r="M14" s="371"/>
    </row>
    <row r="15" spans="1:13" s="37" customFormat="1" ht="31.5" x14ac:dyDescent="0.25">
      <c r="A15" s="40"/>
      <c r="B15" s="379" t="s">
        <v>77</v>
      </c>
      <c r="C15" s="380"/>
      <c r="D15" s="48" t="s">
        <v>76</v>
      </c>
      <c r="E15" s="25"/>
      <c r="F15" s="47" t="s">
        <v>75</v>
      </c>
      <c r="G15" s="46" t="s">
        <v>74</v>
      </c>
      <c r="H15" s="40"/>
      <c r="I15" s="45" t="s">
        <v>73</v>
      </c>
      <c r="J15" s="44" t="s">
        <v>72</v>
      </c>
      <c r="L15" s="45" t="s">
        <v>73</v>
      </c>
      <c r="M15" s="44" t="s">
        <v>72</v>
      </c>
    </row>
    <row r="16" spans="1:13" s="37" customFormat="1" ht="26.1" customHeight="1" x14ac:dyDescent="0.25">
      <c r="A16" s="40"/>
      <c r="B16" s="381" t="s">
        <v>71</v>
      </c>
      <c r="C16" s="382"/>
      <c r="D16" s="42">
        <f>GERAL!I$428</f>
        <v>0</v>
      </c>
      <c r="E16" s="25"/>
      <c r="F16" s="43">
        <f>GERAL!K$428</f>
        <v>0</v>
      </c>
      <c r="G16" s="42">
        <f>GERAL!L$428</f>
        <v>0</v>
      </c>
      <c r="H16" s="40"/>
      <c r="I16" s="39">
        <f>GERAL!W424</f>
        <v>0</v>
      </c>
      <c r="J16" s="38" t="e">
        <f>GERAL!W425</f>
        <v>#DIV/0!</v>
      </c>
      <c r="L16" s="39">
        <f>GERAL!W427</f>
        <v>0</v>
      </c>
      <c r="M16" s="38" t="e">
        <f>GERAL!W428</f>
        <v>#DIV/0!</v>
      </c>
    </row>
    <row r="17" spans="1:13" s="37" customFormat="1" ht="16.5" thickBot="1" x14ac:dyDescent="0.3">
      <c r="A17" s="40"/>
      <c r="B17" s="372"/>
      <c r="C17" s="373"/>
      <c r="D17" s="41">
        <f>SUM(D16:D16)</f>
        <v>0</v>
      </c>
      <c r="E17" s="25"/>
      <c r="F17" s="36">
        <f>SUM(F16:F16)</f>
        <v>0</v>
      </c>
      <c r="G17" s="41">
        <f>SUM(G16:G16)</f>
        <v>0</v>
      </c>
      <c r="H17" s="40"/>
      <c r="I17" s="36"/>
      <c r="J17" s="35"/>
      <c r="K17" s="25"/>
      <c r="L17" s="36"/>
      <c r="M17" s="35"/>
    </row>
    <row r="18" spans="1:13" ht="15.75" customHeight="1" x14ac:dyDescent="0.25">
      <c r="A18" s="34"/>
      <c r="I18" s="34"/>
      <c r="J18" s="34"/>
      <c r="L18" s="34"/>
      <c r="M18" s="34"/>
    </row>
    <row r="19" spans="1:13" ht="15.75" customHeight="1" thickBot="1" x14ac:dyDescent="0.3">
      <c r="A19" s="34"/>
    </row>
    <row r="20" spans="1:13" ht="15.75" customHeight="1" thickBot="1" x14ac:dyDescent="0.3">
      <c r="A20" s="34"/>
      <c r="C20" s="319" t="s">
        <v>567</v>
      </c>
      <c r="D20" s="320"/>
    </row>
    <row r="21" spans="1:13" ht="15.75" customHeight="1" x14ac:dyDescent="0.25">
      <c r="A21" s="34"/>
    </row>
    <row r="22" spans="1:13" ht="15.75" customHeight="1" x14ac:dyDescent="0.25">
      <c r="A22" s="34"/>
    </row>
    <row r="23" spans="1:13" ht="15.75" customHeight="1" x14ac:dyDescent="0.25">
      <c r="A23" s="34"/>
    </row>
    <row r="24" spans="1:13" ht="15.75" customHeight="1" x14ac:dyDescent="0.25">
      <c r="A24" s="34"/>
    </row>
    <row r="25" spans="1:13" ht="15.75" customHeight="1" x14ac:dyDescent="0.25">
      <c r="A25" s="34"/>
    </row>
    <row r="26" spans="1:13" ht="15.75" customHeight="1" x14ac:dyDescent="0.25">
      <c r="A26" s="34"/>
    </row>
    <row r="27" spans="1:13" ht="15.75" customHeight="1" x14ac:dyDescent="0.25">
      <c r="A27" s="34"/>
    </row>
    <row r="28" spans="1:13" ht="15.75" customHeight="1" x14ac:dyDescent="0.25">
      <c r="A28" s="34"/>
    </row>
    <row r="29" spans="1:13" ht="15.75" customHeight="1" x14ac:dyDescent="0.25">
      <c r="A29" s="34"/>
    </row>
    <row r="30" spans="1:13" ht="15.75" customHeight="1" x14ac:dyDescent="0.25">
      <c r="A30" s="34"/>
    </row>
    <row r="31" spans="1:13" ht="15.75" customHeight="1" x14ac:dyDescent="0.25">
      <c r="A31" s="34"/>
    </row>
    <row r="32" spans="1:13" ht="15.75" customHeight="1" x14ac:dyDescent="0.25">
      <c r="A32" s="34"/>
    </row>
    <row r="33" spans="1:1" ht="15.75" customHeight="1" x14ac:dyDescent="0.25">
      <c r="A33" s="34"/>
    </row>
    <row r="34" spans="1:1" ht="15.75" customHeight="1" x14ac:dyDescent="0.25">
      <c r="A34" s="34"/>
    </row>
    <row r="35" spans="1:1" ht="15.75" customHeight="1" x14ac:dyDescent="0.25">
      <c r="A35" s="34"/>
    </row>
    <row r="36" spans="1:1" ht="15.75" customHeight="1" x14ac:dyDescent="0.25">
      <c r="A36" s="34"/>
    </row>
    <row r="37" spans="1:1" ht="15.75" customHeight="1" x14ac:dyDescent="0.25">
      <c r="A37" s="34"/>
    </row>
    <row r="38" spans="1:1" ht="15.75" customHeight="1" x14ac:dyDescent="0.25">
      <c r="A38" s="34"/>
    </row>
    <row r="39" spans="1:1" ht="15.75" customHeight="1" x14ac:dyDescent="0.25">
      <c r="A39" s="34"/>
    </row>
    <row r="40" spans="1:1" ht="15.75" customHeight="1" x14ac:dyDescent="0.25">
      <c r="A40" s="34"/>
    </row>
    <row r="41" spans="1:1" ht="15.75" customHeight="1" x14ac:dyDescent="0.25">
      <c r="A41" s="34"/>
    </row>
    <row r="42" spans="1:1" ht="15.75" customHeight="1" x14ac:dyDescent="0.25">
      <c r="A42" s="34"/>
    </row>
    <row r="43" spans="1:1" ht="15.75" customHeight="1" x14ac:dyDescent="0.25">
      <c r="A43" s="34"/>
    </row>
    <row r="44" spans="1:1" ht="15.75" customHeight="1" x14ac:dyDescent="0.25">
      <c r="A44" s="34"/>
    </row>
    <row r="45" spans="1:1" ht="15.75" customHeight="1" x14ac:dyDescent="0.25">
      <c r="A45" s="34"/>
    </row>
    <row r="46" spans="1:1" ht="15.75" customHeight="1" x14ac:dyDescent="0.25">
      <c r="A46" s="34"/>
    </row>
    <row r="47" spans="1:1" ht="15.75" customHeight="1" x14ac:dyDescent="0.25">
      <c r="A47" s="34"/>
    </row>
    <row r="48" spans="1:1" ht="15.75" customHeight="1" x14ac:dyDescent="0.25">
      <c r="A48" s="34"/>
    </row>
    <row r="49" spans="1:1" ht="15.75" customHeight="1" x14ac:dyDescent="0.25">
      <c r="A49" s="34"/>
    </row>
    <row r="50" spans="1:1" ht="15.75" customHeight="1" x14ac:dyDescent="0.25">
      <c r="A50" s="34"/>
    </row>
    <row r="51" spans="1:1" ht="15.75" customHeight="1" x14ac:dyDescent="0.25">
      <c r="A51" s="34"/>
    </row>
    <row r="52" spans="1:1" ht="15.75" customHeight="1" x14ac:dyDescent="0.25">
      <c r="A52" s="34"/>
    </row>
    <row r="53" spans="1:1" ht="15.75" customHeight="1" x14ac:dyDescent="0.25">
      <c r="A53" s="34"/>
    </row>
    <row r="54" spans="1:1" ht="15.75" customHeight="1" x14ac:dyDescent="0.25">
      <c r="A54" s="34"/>
    </row>
    <row r="55" spans="1:1" ht="15.75" customHeight="1" x14ac:dyDescent="0.25">
      <c r="A55" s="34"/>
    </row>
    <row r="56" spans="1:1" ht="15.75" customHeight="1" x14ac:dyDescent="0.25">
      <c r="A56" s="34"/>
    </row>
    <row r="57" spans="1:1" ht="15.75" customHeight="1" x14ac:dyDescent="0.25">
      <c r="A57" s="34"/>
    </row>
    <row r="58" spans="1:1" ht="15.75" customHeight="1" x14ac:dyDescent="0.25">
      <c r="A58" s="34"/>
    </row>
    <row r="59" spans="1:1" ht="15.75" customHeight="1" x14ac:dyDescent="0.25">
      <c r="A59" s="34"/>
    </row>
    <row r="60" spans="1:1" ht="15.75" customHeight="1" x14ac:dyDescent="0.25">
      <c r="A60" s="34"/>
    </row>
    <row r="61" spans="1:1" ht="15.75" customHeight="1" x14ac:dyDescent="0.25">
      <c r="A61" s="34"/>
    </row>
    <row r="62" spans="1:1" ht="15.75" customHeight="1" x14ac:dyDescent="0.25">
      <c r="A62" s="34"/>
    </row>
    <row r="63" spans="1:1" ht="15.75" customHeight="1" x14ac:dyDescent="0.25">
      <c r="A63" s="34"/>
    </row>
    <row r="64" spans="1:1" ht="15.75" customHeight="1" x14ac:dyDescent="0.25">
      <c r="A64" s="34"/>
    </row>
    <row r="65" spans="1:1" ht="15.75" customHeight="1" x14ac:dyDescent="0.25">
      <c r="A65" s="34"/>
    </row>
    <row r="66" spans="1:1" ht="15.75" customHeight="1" x14ac:dyDescent="0.25">
      <c r="A66" s="34"/>
    </row>
    <row r="67" spans="1:1" ht="15.75" customHeight="1" x14ac:dyDescent="0.25">
      <c r="A67" s="34"/>
    </row>
    <row r="68" spans="1:1" ht="15.75" customHeight="1" x14ac:dyDescent="0.25">
      <c r="A68" s="34"/>
    </row>
    <row r="69" spans="1:1" ht="15.75" customHeight="1" x14ac:dyDescent="0.25">
      <c r="A69" s="34"/>
    </row>
    <row r="70" spans="1:1" ht="15.75" customHeight="1" x14ac:dyDescent="0.25">
      <c r="A70" s="34"/>
    </row>
    <row r="71" spans="1:1" ht="15.75" customHeight="1" x14ac:dyDescent="0.25">
      <c r="A71" s="34"/>
    </row>
    <row r="72" spans="1:1" ht="15.75" customHeight="1" x14ac:dyDescent="0.25">
      <c r="A72" s="34"/>
    </row>
    <row r="73" spans="1:1" ht="15.75" customHeight="1" x14ac:dyDescent="0.25">
      <c r="A73" s="34"/>
    </row>
    <row r="74" spans="1:1" ht="15.75" customHeight="1" x14ac:dyDescent="0.25">
      <c r="A74" s="34"/>
    </row>
    <row r="75" spans="1:1" ht="15.75" customHeight="1" x14ac:dyDescent="0.25">
      <c r="A75" s="34"/>
    </row>
    <row r="76" spans="1:1" ht="15.75" customHeight="1" x14ac:dyDescent="0.25">
      <c r="A76" s="34"/>
    </row>
    <row r="77" spans="1:1" ht="15.75" customHeight="1" x14ac:dyDescent="0.25">
      <c r="A77" s="34"/>
    </row>
    <row r="78" spans="1:1" ht="15.75" customHeight="1" x14ac:dyDescent="0.25">
      <c r="A78" s="34"/>
    </row>
    <row r="79" spans="1:1" ht="15.75" customHeight="1" x14ac:dyDescent="0.25">
      <c r="A79" s="34"/>
    </row>
    <row r="80" spans="1:1" ht="15.75" customHeight="1" x14ac:dyDescent="0.25">
      <c r="A80" s="34"/>
    </row>
    <row r="81" spans="1:1" ht="15.75" customHeight="1" x14ac:dyDescent="0.25">
      <c r="A81" s="34"/>
    </row>
    <row r="82" spans="1:1" ht="15.75" customHeight="1" x14ac:dyDescent="0.25">
      <c r="A82" s="34"/>
    </row>
    <row r="83" spans="1:1" ht="15.75" customHeight="1" x14ac:dyDescent="0.25">
      <c r="A83" s="34"/>
    </row>
    <row r="84" spans="1:1" ht="15.75" customHeight="1" x14ac:dyDescent="0.25">
      <c r="A84" s="34"/>
    </row>
    <row r="85" spans="1:1" ht="15.75" customHeight="1" x14ac:dyDescent="0.25">
      <c r="A85" s="34"/>
    </row>
    <row r="86" spans="1:1" ht="15.75" customHeight="1" x14ac:dyDescent="0.25">
      <c r="A86" s="34"/>
    </row>
    <row r="87" spans="1:1" ht="15.75" customHeight="1" x14ac:dyDescent="0.25">
      <c r="A87" s="34"/>
    </row>
    <row r="88" spans="1:1" ht="15.75" customHeight="1" x14ac:dyDescent="0.25">
      <c r="A88" s="34"/>
    </row>
    <row r="89" spans="1:1" ht="15.75" customHeight="1" x14ac:dyDescent="0.25">
      <c r="A89" s="34"/>
    </row>
    <row r="90" spans="1:1" ht="15.75" customHeight="1" x14ac:dyDescent="0.25">
      <c r="A90" s="34"/>
    </row>
    <row r="91" spans="1:1" ht="15.75" customHeight="1" x14ac:dyDescent="0.25">
      <c r="A91" s="34"/>
    </row>
    <row r="92" spans="1:1" ht="15.75" customHeight="1" x14ac:dyDescent="0.25">
      <c r="A92" s="34"/>
    </row>
    <row r="93" spans="1:1" ht="15.75" customHeight="1" x14ac:dyDescent="0.25">
      <c r="A93" s="34"/>
    </row>
    <row r="94" spans="1:1" ht="15.75" customHeight="1" x14ac:dyDescent="0.25">
      <c r="A94" s="34"/>
    </row>
    <row r="95" spans="1:1" ht="15.75" customHeight="1" x14ac:dyDescent="0.25">
      <c r="A95" s="34"/>
    </row>
    <row r="96" spans="1:1" ht="15.75" customHeight="1" x14ac:dyDescent="0.25">
      <c r="A96" s="34"/>
    </row>
    <row r="97" spans="1:1" ht="15.75" customHeight="1" x14ac:dyDescent="0.25">
      <c r="A97" s="34"/>
    </row>
    <row r="98" spans="1:1" ht="15.75" customHeight="1" x14ac:dyDescent="0.25">
      <c r="A98" s="34"/>
    </row>
    <row r="99" spans="1:1" ht="15.75" customHeight="1" x14ac:dyDescent="0.25">
      <c r="A99" s="34"/>
    </row>
    <row r="100" spans="1:1" ht="15.75" customHeight="1" x14ac:dyDescent="0.25">
      <c r="A100" s="34"/>
    </row>
    <row r="101" spans="1:1" ht="15.75" customHeight="1" x14ac:dyDescent="0.25">
      <c r="A101" s="34"/>
    </row>
    <row r="102" spans="1:1" ht="15.75" customHeight="1" x14ac:dyDescent="0.25">
      <c r="A102" s="34"/>
    </row>
    <row r="103" spans="1:1" ht="15.75" customHeight="1" x14ac:dyDescent="0.25">
      <c r="A103" s="34"/>
    </row>
    <row r="104" spans="1:1" ht="15.75" customHeight="1" x14ac:dyDescent="0.25">
      <c r="A104" s="34"/>
    </row>
    <row r="105" spans="1:1" ht="15.75" customHeight="1" x14ac:dyDescent="0.25">
      <c r="A105" s="34"/>
    </row>
    <row r="106" spans="1:1" ht="15.75" customHeight="1" x14ac:dyDescent="0.25">
      <c r="A106" s="34"/>
    </row>
    <row r="107" spans="1:1" ht="15.75" customHeight="1" x14ac:dyDescent="0.25">
      <c r="A107" s="34"/>
    </row>
    <row r="108" spans="1:1" ht="15.75" customHeight="1" x14ac:dyDescent="0.25">
      <c r="A108" s="34"/>
    </row>
    <row r="109" spans="1:1" ht="15.75" customHeight="1" x14ac:dyDescent="0.25">
      <c r="A109" s="34"/>
    </row>
    <row r="110" spans="1:1" ht="15.75" customHeight="1" x14ac:dyDescent="0.25">
      <c r="A110" s="34"/>
    </row>
    <row r="111" spans="1:1" ht="15.75" customHeight="1" x14ac:dyDescent="0.25">
      <c r="A111" s="34"/>
    </row>
    <row r="112" spans="1:1" ht="15.75" customHeight="1" x14ac:dyDescent="0.25">
      <c r="A112" s="34"/>
    </row>
    <row r="113" spans="1:1" ht="15.75" customHeight="1" x14ac:dyDescent="0.25">
      <c r="A113" s="34"/>
    </row>
    <row r="114" spans="1:1" ht="15.75" customHeight="1" x14ac:dyDescent="0.25">
      <c r="A114" s="34"/>
    </row>
    <row r="115" spans="1:1" ht="15.75" customHeight="1" x14ac:dyDescent="0.25">
      <c r="A115" s="34"/>
    </row>
    <row r="116" spans="1:1" ht="15.75" customHeight="1" x14ac:dyDescent="0.25">
      <c r="A116" s="34"/>
    </row>
    <row r="117" spans="1:1" ht="15.75" customHeight="1" x14ac:dyDescent="0.25">
      <c r="A117" s="34"/>
    </row>
    <row r="118" spans="1:1" ht="15.75" customHeight="1" x14ac:dyDescent="0.25">
      <c r="A118" s="34"/>
    </row>
    <row r="119" spans="1:1" ht="15.75" customHeight="1" x14ac:dyDescent="0.25">
      <c r="A119" s="34"/>
    </row>
    <row r="120" spans="1:1" ht="15.75" customHeight="1" x14ac:dyDescent="0.25">
      <c r="A120" s="34"/>
    </row>
    <row r="121" spans="1:1" ht="15.75" customHeight="1" x14ac:dyDescent="0.25">
      <c r="A121" s="34"/>
    </row>
    <row r="122" spans="1:1" ht="15.75" customHeight="1" x14ac:dyDescent="0.25">
      <c r="A122" s="34"/>
    </row>
    <row r="123" spans="1:1" ht="15.75" customHeight="1" x14ac:dyDescent="0.25">
      <c r="A123" s="34"/>
    </row>
    <row r="124" spans="1:1" ht="15.75" customHeight="1" x14ac:dyDescent="0.25">
      <c r="A124" s="34"/>
    </row>
    <row r="125" spans="1:1" ht="15.75" customHeight="1" x14ac:dyDescent="0.25">
      <c r="A125" s="34"/>
    </row>
    <row r="126" spans="1:1" ht="15.75" customHeight="1" x14ac:dyDescent="0.25">
      <c r="A126" s="34"/>
    </row>
    <row r="127" spans="1:1" ht="15.75" customHeight="1" x14ac:dyDescent="0.25">
      <c r="A127" s="34"/>
    </row>
    <row r="128" spans="1:1" ht="15.75" customHeight="1" x14ac:dyDescent="0.25">
      <c r="A128" s="34"/>
    </row>
    <row r="129" spans="1:1" ht="15.75" customHeight="1" x14ac:dyDescent="0.25">
      <c r="A129" s="34"/>
    </row>
    <row r="130" spans="1:1" ht="15.75" customHeight="1" x14ac:dyDescent="0.25">
      <c r="A130" s="34"/>
    </row>
    <row r="131" spans="1:1" ht="15.75" customHeight="1" x14ac:dyDescent="0.25">
      <c r="A131" s="34"/>
    </row>
    <row r="132" spans="1:1" ht="15.75" customHeight="1" x14ac:dyDescent="0.25">
      <c r="A132" s="34"/>
    </row>
    <row r="133" spans="1:1" ht="15.75" customHeight="1" x14ac:dyDescent="0.25">
      <c r="A133" s="34"/>
    </row>
    <row r="134" spans="1:1" ht="15.75" customHeight="1" x14ac:dyDescent="0.25">
      <c r="A134" s="34"/>
    </row>
    <row r="135" spans="1:1" ht="15.75" customHeight="1" x14ac:dyDescent="0.25">
      <c r="A135" s="34"/>
    </row>
    <row r="136" spans="1:1" ht="15.75" customHeight="1" x14ac:dyDescent="0.25">
      <c r="A136" s="34"/>
    </row>
    <row r="137" spans="1:1" ht="15.75" customHeight="1" x14ac:dyDescent="0.25">
      <c r="A137" s="34"/>
    </row>
    <row r="138" spans="1:1" ht="15.75" customHeight="1" x14ac:dyDescent="0.25">
      <c r="A138" s="34"/>
    </row>
    <row r="139" spans="1:1" ht="15.75" customHeight="1" x14ac:dyDescent="0.25">
      <c r="A139" s="34"/>
    </row>
    <row r="140" spans="1:1" ht="15.75" customHeight="1" x14ac:dyDescent="0.25">
      <c r="A140" s="34"/>
    </row>
    <row r="141" spans="1:1" ht="15.75" customHeight="1" x14ac:dyDescent="0.25">
      <c r="A141" s="34"/>
    </row>
    <row r="142" spans="1:1" ht="15.75" customHeight="1" x14ac:dyDescent="0.25">
      <c r="A142" s="34"/>
    </row>
    <row r="143" spans="1:1" ht="15.75" customHeight="1" x14ac:dyDescent="0.25">
      <c r="A143" s="34"/>
    </row>
    <row r="144" spans="1:1" ht="15.75" customHeight="1" x14ac:dyDescent="0.25">
      <c r="A144" s="34"/>
    </row>
    <row r="145" spans="1:1" ht="15.75" customHeight="1" x14ac:dyDescent="0.25">
      <c r="A145" s="34"/>
    </row>
    <row r="146" spans="1:1" ht="15.75" customHeight="1" x14ac:dyDescent="0.25">
      <c r="A146" s="34"/>
    </row>
    <row r="147" spans="1:1" ht="15.75" customHeight="1" x14ac:dyDescent="0.25">
      <c r="A147" s="34"/>
    </row>
    <row r="148" spans="1:1" ht="15.75" customHeight="1" x14ac:dyDescent="0.25">
      <c r="A148" s="34"/>
    </row>
    <row r="149" spans="1:1" ht="15.75" customHeight="1" x14ac:dyDescent="0.25">
      <c r="A149" s="34"/>
    </row>
    <row r="150" spans="1:1" ht="15.75" customHeight="1" x14ac:dyDescent="0.25">
      <c r="A150" s="34"/>
    </row>
    <row r="151" spans="1:1" ht="15.75" customHeight="1" x14ac:dyDescent="0.25">
      <c r="A151" s="34"/>
    </row>
    <row r="152" spans="1:1" ht="15.75" customHeight="1" x14ac:dyDescent="0.25">
      <c r="A152" s="34"/>
    </row>
    <row r="153" spans="1:1" ht="15.75" customHeight="1" x14ac:dyDescent="0.25">
      <c r="A153" s="34"/>
    </row>
    <row r="154" spans="1:1" ht="15.75" customHeight="1" x14ac:dyDescent="0.25">
      <c r="A154" s="34"/>
    </row>
    <row r="155" spans="1:1" ht="15.75" customHeight="1" x14ac:dyDescent="0.25">
      <c r="A155" s="34"/>
    </row>
    <row r="156" spans="1:1" ht="15.75" customHeight="1" x14ac:dyDescent="0.25">
      <c r="A156" s="34"/>
    </row>
    <row r="157" spans="1:1" ht="15.75" customHeight="1" x14ac:dyDescent="0.25">
      <c r="A157" s="34"/>
    </row>
    <row r="158" spans="1:1" ht="15.75" customHeight="1" x14ac:dyDescent="0.25">
      <c r="A158" s="34"/>
    </row>
    <row r="159" spans="1:1" ht="15.75" customHeight="1" x14ac:dyDescent="0.25">
      <c r="A159" s="34"/>
    </row>
    <row r="160" spans="1:1" ht="15.75" customHeight="1" x14ac:dyDescent="0.25">
      <c r="A160" s="34"/>
    </row>
    <row r="161" spans="1:1" ht="15.75" customHeight="1" x14ac:dyDescent="0.25">
      <c r="A161" s="34"/>
    </row>
    <row r="162" spans="1:1" ht="15.75" customHeight="1" x14ac:dyDescent="0.25">
      <c r="A162" s="34"/>
    </row>
    <row r="163" spans="1:1" ht="15.75" customHeight="1" x14ac:dyDescent="0.25">
      <c r="A163" s="34"/>
    </row>
    <row r="164" spans="1:1" ht="15.75" customHeight="1" x14ac:dyDescent="0.25">
      <c r="A164" s="34"/>
    </row>
    <row r="165" spans="1:1" ht="15.75" customHeight="1" x14ac:dyDescent="0.25">
      <c r="A165" s="34"/>
    </row>
    <row r="166" spans="1:1" ht="15.75" customHeight="1" x14ac:dyDescent="0.25">
      <c r="A166" s="34"/>
    </row>
    <row r="167" spans="1:1" ht="15.75" customHeight="1" x14ac:dyDescent="0.25">
      <c r="A167" s="34"/>
    </row>
    <row r="168" spans="1:1" ht="15.75" customHeight="1" x14ac:dyDescent="0.25">
      <c r="A168" s="34"/>
    </row>
    <row r="169" spans="1:1" ht="15.75" customHeight="1" x14ac:dyDescent="0.25">
      <c r="A169" s="34"/>
    </row>
    <row r="170" spans="1:1" ht="15.75" customHeight="1" x14ac:dyDescent="0.25">
      <c r="A170" s="34"/>
    </row>
    <row r="171" spans="1:1" ht="15.75" customHeight="1" x14ac:dyDescent="0.25">
      <c r="A171" s="34"/>
    </row>
    <row r="172" spans="1:1" ht="15.75" customHeight="1" x14ac:dyDescent="0.25">
      <c r="A172" s="34"/>
    </row>
    <row r="173" spans="1:1" ht="15.75" customHeight="1" x14ac:dyDescent="0.25">
      <c r="A173" s="34"/>
    </row>
    <row r="174" spans="1:1" ht="15.75" customHeight="1" x14ac:dyDescent="0.25">
      <c r="A174" s="34"/>
    </row>
    <row r="175" spans="1:1" ht="15.75" customHeight="1" x14ac:dyDescent="0.25">
      <c r="A175" s="34"/>
    </row>
    <row r="176" spans="1:1" ht="15.75" customHeight="1" x14ac:dyDescent="0.25">
      <c r="A176" s="34"/>
    </row>
    <row r="177" spans="1:1" ht="15.75" customHeight="1" x14ac:dyDescent="0.25">
      <c r="A177" s="34"/>
    </row>
    <row r="178" spans="1:1" ht="15.75" customHeight="1" x14ac:dyDescent="0.25">
      <c r="A178" s="34"/>
    </row>
    <row r="179" spans="1:1" ht="15.75" customHeight="1" x14ac:dyDescent="0.25">
      <c r="A179" s="34"/>
    </row>
    <row r="180" spans="1:1" ht="15.75" customHeight="1" x14ac:dyDescent="0.25">
      <c r="A180" s="34"/>
    </row>
    <row r="181" spans="1:1" ht="15.75" customHeight="1" x14ac:dyDescent="0.25">
      <c r="A181" s="34"/>
    </row>
    <row r="182" spans="1:1" ht="15.75" customHeight="1" x14ac:dyDescent="0.25">
      <c r="A182" s="34"/>
    </row>
    <row r="183" spans="1:1" ht="15.75" customHeight="1" x14ac:dyDescent="0.25">
      <c r="A183" s="34"/>
    </row>
    <row r="184" spans="1:1" ht="15.75" customHeight="1" x14ac:dyDescent="0.25">
      <c r="A184" s="34"/>
    </row>
    <row r="185" spans="1:1" ht="15.75" customHeight="1" x14ac:dyDescent="0.25">
      <c r="A185" s="34"/>
    </row>
    <row r="186" spans="1:1" ht="15.75" customHeight="1" x14ac:dyDescent="0.25">
      <c r="A186" s="34"/>
    </row>
    <row r="187" spans="1:1" ht="15.75" customHeight="1" x14ac:dyDescent="0.25">
      <c r="A187" s="34"/>
    </row>
    <row r="188" spans="1:1" ht="15.75" customHeight="1" x14ac:dyDescent="0.25">
      <c r="A188" s="34"/>
    </row>
    <row r="189" spans="1:1" ht="15.75" customHeight="1" x14ac:dyDescent="0.25">
      <c r="A189" s="34"/>
    </row>
    <row r="190" spans="1:1" ht="15.75" customHeight="1" x14ac:dyDescent="0.25">
      <c r="A190" s="34"/>
    </row>
    <row r="191" spans="1:1" ht="15.75" customHeight="1" x14ac:dyDescent="0.25">
      <c r="A191" s="34"/>
    </row>
    <row r="192" spans="1:1" ht="15.75" customHeight="1" x14ac:dyDescent="0.25">
      <c r="A192" s="34"/>
    </row>
    <row r="193" spans="1:1" ht="15.75" customHeight="1" x14ac:dyDescent="0.25">
      <c r="A193" s="34"/>
    </row>
    <row r="194" spans="1:1" ht="15.75" customHeight="1" x14ac:dyDescent="0.25">
      <c r="A194" s="34"/>
    </row>
    <row r="195" spans="1:1" ht="15.75" customHeight="1" x14ac:dyDescent="0.25">
      <c r="A195" s="34"/>
    </row>
    <row r="196" spans="1:1" ht="15.75" customHeight="1" x14ac:dyDescent="0.25">
      <c r="A196" s="34"/>
    </row>
    <row r="197" spans="1:1" ht="15.75" customHeight="1" x14ac:dyDescent="0.25">
      <c r="A197" s="34"/>
    </row>
    <row r="198" spans="1:1" ht="15.75" customHeight="1" x14ac:dyDescent="0.25">
      <c r="A198" s="34"/>
    </row>
    <row r="199" spans="1:1" ht="15.75" customHeight="1" x14ac:dyDescent="0.25">
      <c r="A199" s="34"/>
    </row>
    <row r="200" spans="1:1" ht="15.75" customHeight="1" x14ac:dyDescent="0.25">
      <c r="A200" s="34"/>
    </row>
    <row r="201" spans="1:1" ht="15.75" customHeight="1" x14ac:dyDescent="0.25">
      <c r="A201" s="34"/>
    </row>
    <row r="202" spans="1:1" ht="15.75" customHeight="1" x14ac:dyDescent="0.25">
      <c r="A202" s="34"/>
    </row>
    <row r="203" spans="1:1" ht="15.75" customHeight="1" x14ac:dyDescent="0.25">
      <c r="A203" s="34"/>
    </row>
    <row r="204" spans="1:1" ht="15.75" customHeight="1" x14ac:dyDescent="0.25">
      <c r="A204" s="34"/>
    </row>
    <row r="205" spans="1:1" ht="15.75" customHeight="1" x14ac:dyDescent="0.25">
      <c r="A205" s="34"/>
    </row>
    <row r="206" spans="1:1" ht="15.75" customHeight="1" x14ac:dyDescent="0.25">
      <c r="A206" s="34"/>
    </row>
    <row r="207" spans="1:1" ht="15.75" customHeight="1" x14ac:dyDescent="0.25">
      <c r="A207" s="34"/>
    </row>
    <row r="208" spans="1:1" ht="15.75" customHeight="1" x14ac:dyDescent="0.25">
      <c r="A208" s="34"/>
    </row>
    <row r="209" spans="1:1" ht="15.75" customHeight="1" x14ac:dyDescent="0.25">
      <c r="A209" s="34"/>
    </row>
    <row r="210" spans="1:1" ht="15.75" customHeight="1" x14ac:dyDescent="0.25">
      <c r="A210" s="34"/>
    </row>
    <row r="211" spans="1:1" ht="15.75" customHeight="1" x14ac:dyDescent="0.25">
      <c r="A211" s="34"/>
    </row>
    <row r="212" spans="1:1" ht="15.75" customHeight="1" x14ac:dyDescent="0.25">
      <c r="A212" s="34"/>
    </row>
    <row r="213" spans="1:1" ht="15.75" customHeight="1" x14ac:dyDescent="0.25">
      <c r="A213" s="34"/>
    </row>
    <row r="214" spans="1:1" ht="15.75" customHeight="1" x14ac:dyDescent="0.25">
      <c r="A214" s="34"/>
    </row>
    <row r="215" spans="1:1" ht="15.75" customHeight="1" x14ac:dyDescent="0.25">
      <c r="A215" s="34"/>
    </row>
    <row r="216" spans="1:1" ht="15.75" customHeight="1" x14ac:dyDescent="0.25">
      <c r="A216" s="34"/>
    </row>
    <row r="217" spans="1:1" ht="15.75" customHeight="1" x14ac:dyDescent="0.25">
      <c r="A217" s="34"/>
    </row>
    <row r="218" spans="1:1" ht="15.75" customHeight="1" x14ac:dyDescent="0.25">
      <c r="A218" s="34"/>
    </row>
    <row r="219" spans="1:1" ht="15.75" customHeight="1" x14ac:dyDescent="0.25">
      <c r="A219" s="34"/>
    </row>
    <row r="220" spans="1:1" ht="15.75" customHeight="1" x14ac:dyDescent="0.25">
      <c r="A220" s="34"/>
    </row>
    <row r="221" spans="1:1" ht="15.75" customHeight="1" x14ac:dyDescent="0.25">
      <c r="A221" s="34"/>
    </row>
    <row r="222" spans="1:1" ht="15.75" customHeight="1" x14ac:dyDescent="0.25">
      <c r="A222" s="34"/>
    </row>
    <row r="223" spans="1:1" ht="15.75" customHeight="1" x14ac:dyDescent="0.25">
      <c r="A223" s="34"/>
    </row>
    <row r="224" spans="1:1" ht="15.75" customHeight="1" x14ac:dyDescent="0.25">
      <c r="A224" s="34"/>
    </row>
    <row r="225" spans="1:1" ht="15.75" customHeight="1" x14ac:dyDescent="0.25">
      <c r="A225" s="34"/>
    </row>
    <row r="226" spans="1:1" ht="15.75" customHeight="1" x14ac:dyDescent="0.25">
      <c r="A226" s="34"/>
    </row>
    <row r="227" spans="1:1" ht="15.75" customHeight="1" x14ac:dyDescent="0.25">
      <c r="A227" s="34"/>
    </row>
    <row r="228" spans="1:1" ht="15.75" customHeight="1" x14ac:dyDescent="0.25">
      <c r="A228" s="34"/>
    </row>
    <row r="229" spans="1:1" ht="15.75" customHeight="1" x14ac:dyDescent="0.25">
      <c r="A229" s="34"/>
    </row>
    <row r="230" spans="1:1" ht="15.75" customHeight="1" x14ac:dyDescent="0.25">
      <c r="A230" s="34"/>
    </row>
    <row r="231" spans="1:1" ht="15.75" customHeight="1" x14ac:dyDescent="0.25">
      <c r="A231" s="34"/>
    </row>
    <row r="232" spans="1:1" ht="15.75" customHeight="1" x14ac:dyDescent="0.25">
      <c r="A232" s="34"/>
    </row>
    <row r="233" spans="1:1" ht="15.75" customHeight="1" x14ac:dyDescent="0.25">
      <c r="A233" s="34"/>
    </row>
    <row r="234" spans="1:1" ht="15.75" customHeight="1" x14ac:dyDescent="0.25">
      <c r="A234" s="34"/>
    </row>
    <row r="235" spans="1:1" ht="15.75" customHeight="1" x14ac:dyDescent="0.25">
      <c r="A235" s="34"/>
    </row>
    <row r="236" spans="1:1" ht="15.75" customHeight="1" x14ac:dyDescent="0.25">
      <c r="A236" s="34"/>
    </row>
    <row r="237" spans="1:1" ht="15.75" customHeight="1" x14ac:dyDescent="0.25">
      <c r="A237" s="34"/>
    </row>
    <row r="238" spans="1:1" ht="15.75" customHeight="1" x14ac:dyDescent="0.25">
      <c r="A238" s="34"/>
    </row>
    <row r="239" spans="1:1" ht="15.75" customHeight="1" x14ac:dyDescent="0.25">
      <c r="A239" s="34"/>
    </row>
    <row r="240" spans="1:1" ht="15.75" customHeight="1" x14ac:dyDescent="0.25">
      <c r="A240" s="34"/>
    </row>
    <row r="241" spans="1:1" ht="15.75" customHeight="1" x14ac:dyDescent="0.25">
      <c r="A241" s="34"/>
    </row>
    <row r="242" spans="1:1" ht="15.75" customHeight="1" x14ac:dyDescent="0.25">
      <c r="A242" s="34"/>
    </row>
    <row r="243" spans="1:1" ht="15.75" customHeight="1" x14ac:dyDescent="0.25">
      <c r="A243" s="34"/>
    </row>
    <row r="244" spans="1:1" ht="15.75" customHeight="1" x14ac:dyDescent="0.25">
      <c r="A244" s="34"/>
    </row>
    <row r="245" spans="1:1" ht="15.75" customHeight="1" x14ac:dyDescent="0.25">
      <c r="A245" s="34"/>
    </row>
    <row r="246" spans="1:1" ht="15.75" customHeight="1" x14ac:dyDescent="0.25">
      <c r="A246" s="34"/>
    </row>
    <row r="247" spans="1:1" ht="15.75" customHeight="1" x14ac:dyDescent="0.25">
      <c r="A247" s="34"/>
    </row>
    <row r="248" spans="1:1" ht="15.75" customHeight="1" x14ac:dyDescent="0.25">
      <c r="A248" s="34"/>
    </row>
    <row r="249" spans="1:1" ht="15.75" customHeight="1" x14ac:dyDescent="0.25">
      <c r="A249" s="34"/>
    </row>
    <row r="250" spans="1:1" ht="15.75" customHeight="1" x14ac:dyDescent="0.25">
      <c r="A250" s="34"/>
    </row>
    <row r="251" spans="1:1" ht="15.75" customHeight="1" x14ac:dyDescent="0.25">
      <c r="A251" s="34"/>
    </row>
    <row r="252" spans="1:1" ht="15.75" customHeight="1" x14ac:dyDescent="0.25">
      <c r="A252" s="34"/>
    </row>
    <row r="253" spans="1:1" ht="15.75" customHeight="1" x14ac:dyDescent="0.25">
      <c r="A253" s="34"/>
    </row>
    <row r="254" spans="1:1" ht="15.75" customHeight="1" x14ac:dyDescent="0.25">
      <c r="A254" s="34"/>
    </row>
    <row r="255" spans="1:1" ht="15.75" customHeight="1" x14ac:dyDescent="0.25">
      <c r="A255" s="34"/>
    </row>
    <row r="256" spans="1:1" ht="15.75" customHeight="1" x14ac:dyDescent="0.25">
      <c r="A256" s="34"/>
    </row>
    <row r="257" spans="1:1" ht="15.75" customHeight="1" x14ac:dyDescent="0.25">
      <c r="A257" s="34"/>
    </row>
    <row r="258" spans="1:1" ht="15.75" customHeight="1" x14ac:dyDescent="0.25">
      <c r="A258" s="34"/>
    </row>
    <row r="259" spans="1:1" ht="15.75" customHeight="1" x14ac:dyDescent="0.25">
      <c r="A259" s="34"/>
    </row>
    <row r="260" spans="1:1" ht="15.75" customHeight="1" x14ac:dyDescent="0.25">
      <c r="A260" s="34"/>
    </row>
    <row r="261" spans="1:1" ht="15.75" customHeight="1" x14ac:dyDescent="0.25">
      <c r="A261" s="34"/>
    </row>
    <row r="262" spans="1:1" ht="15.75" customHeight="1" x14ac:dyDescent="0.25">
      <c r="A262" s="34"/>
    </row>
    <row r="263" spans="1:1" ht="15.75" customHeight="1" x14ac:dyDescent="0.25">
      <c r="A263" s="34"/>
    </row>
    <row r="264" spans="1:1" ht="15.75" customHeight="1" x14ac:dyDescent="0.25">
      <c r="A264" s="34"/>
    </row>
    <row r="265" spans="1:1" ht="15.75" customHeight="1" x14ac:dyDescent="0.25">
      <c r="A265" s="34"/>
    </row>
    <row r="266" spans="1:1" ht="15.75" customHeight="1" x14ac:dyDescent="0.25">
      <c r="A266" s="34"/>
    </row>
    <row r="267" spans="1:1" ht="15.75" customHeight="1" x14ac:dyDescent="0.25">
      <c r="A267" s="34"/>
    </row>
    <row r="268" spans="1:1" ht="15.75" customHeight="1" x14ac:dyDescent="0.25">
      <c r="A268" s="34"/>
    </row>
    <row r="269" spans="1:1" ht="15.75" customHeight="1" x14ac:dyDescent="0.25">
      <c r="A269" s="34"/>
    </row>
    <row r="270" spans="1:1" ht="15.75" customHeight="1" x14ac:dyDescent="0.25">
      <c r="A270" s="34"/>
    </row>
    <row r="271" spans="1:1" ht="15.75" customHeight="1" x14ac:dyDescent="0.25">
      <c r="A271" s="34"/>
    </row>
    <row r="272" spans="1:1" ht="15.75" customHeight="1" x14ac:dyDescent="0.25">
      <c r="A272" s="34"/>
    </row>
    <row r="273" spans="1:1" ht="15.75" customHeight="1" x14ac:dyDescent="0.25">
      <c r="A273" s="34"/>
    </row>
    <row r="274" spans="1:1" ht="15.75" customHeight="1" x14ac:dyDescent="0.25">
      <c r="A274" s="34"/>
    </row>
    <row r="275" spans="1:1" ht="15.75" customHeight="1" x14ac:dyDescent="0.25">
      <c r="A275" s="34"/>
    </row>
    <row r="276" spans="1:1" ht="15.75" customHeight="1" x14ac:dyDescent="0.25">
      <c r="A276" s="34"/>
    </row>
    <row r="277" spans="1:1" ht="15.75" customHeight="1" x14ac:dyDescent="0.25">
      <c r="A277" s="34"/>
    </row>
    <row r="278" spans="1:1" ht="15.75" customHeight="1" x14ac:dyDescent="0.25">
      <c r="A278" s="34"/>
    </row>
    <row r="279" spans="1:1" ht="15.75" customHeight="1" x14ac:dyDescent="0.25">
      <c r="A279" s="34"/>
    </row>
    <row r="280" spans="1:1" ht="15.75" customHeight="1" x14ac:dyDescent="0.25">
      <c r="A280" s="34"/>
    </row>
    <row r="281" spans="1:1" ht="15.75" customHeight="1" x14ac:dyDescent="0.25">
      <c r="A281" s="34"/>
    </row>
    <row r="282" spans="1:1" ht="15.75" customHeight="1" x14ac:dyDescent="0.25">
      <c r="A282" s="34"/>
    </row>
    <row r="283" spans="1:1" ht="15.75" customHeight="1" x14ac:dyDescent="0.25">
      <c r="A283" s="34"/>
    </row>
    <row r="284" spans="1:1" ht="15.75" customHeight="1" x14ac:dyDescent="0.25">
      <c r="A284" s="34"/>
    </row>
    <row r="285" spans="1:1" ht="15.75" customHeight="1" x14ac:dyDescent="0.25">
      <c r="A285" s="34"/>
    </row>
    <row r="286" spans="1:1" ht="15.75" customHeight="1" x14ac:dyDescent="0.25">
      <c r="A286" s="34"/>
    </row>
    <row r="287" spans="1:1" ht="15.75" customHeight="1" x14ac:dyDescent="0.25">
      <c r="A287" s="34"/>
    </row>
    <row r="288" spans="1:1" ht="15.75" customHeight="1" x14ac:dyDescent="0.25">
      <c r="A288" s="34"/>
    </row>
    <row r="289" spans="1:1" ht="15.75" customHeight="1" x14ac:dyDescent="0.25">
      <c r="A289" s="34"/>
    </row>
    <row r="290" spans="1:1" ht="15.75" customHeight="1" x14ac:dyDescent="0.25">
      <c r="A290" s="34"/>
    </row>
    <row r="291" spans="1:1" ht="15.75" customHeight="1" x14ac:dyDescent="0.25">
      <c r="A291" s="34"/>
    </row>
    <row r="292" spans="1:1" ht="15.75" customHeight="1" x14ac:dyDescent="0.25">
      <c r="A292" s="34"/>
    </row>
    <row r="293" spans="1:1" ht="15.75" customHeight="1" x14ac:dyDescent="0.25">
      <c r="A293" s="34"/>
    </row>
    <row r="294" spans="1:1" ht="15.75" customHeight="1" x14ac:dyDescent="0.25">
      <c r="A294" s="34"/>
    </row>
    <row r="295" spans="1:1" ht="15.75" customHeight="1" x14ac:dyDescent="0.25">
      <c r="A295" s="34"/>
    </row>
    <row r="296" spans="1:1" ht="15.75" customHeight="1" x14ac:dyDescent="0.25">
      <c r="A296" s="34"/>
    </row>
    <row r="297" spans="1:1" ht="15.75" customHeight="1" x14ac:dyDescent="0.25">
      <c r="A297" s="34"/>
    </row>
    <row r="298" spans="1:1" ht="15.75" customHeight="1" x14ac:dyDescent="0.25">
      <c r="A298" s="34"/>
    </row>
    <row r="299" spans="1:1" ht="15.75" customHeight="1" x14ac:dyDescent="0.25">
      <c r="A299" s="34"/>
    </row>
    <row r="300" spans="1:1" ht="15.75" customHeight="1" x14ac:dyDescent="0.25">
      <c r="A300" s="34"/>
    </row>
    <row r="301" spans="1:1" ht="15.75" customHeight="1" x14ac:dyDescent="0.25">
      <c r="A301" s="34"/>
    </row>
    <row r="302" spans="1:1" ht="15.75" customHeight="1" x14ac:dyDescent="0.25">
      <c r="A302" s="34"/>
    </row>
    <row r="303" spans="1:1" ht="15.75" customHeight="1" x14ac:dyDescent="0.25">
      <c r="A303" s="34"/>
    </row>
    <row r="304" spans="1:1" ht="15.75" customHeight="1" x14ac:dyDescent="0.25">
      <c r="A304" s="34"/>
    </row>
    <row r="305" spans="1:1" ht="15.75" customHeight="1" x14ac:dyDescent="0.25">
      <c r="A305" s="34"/>
    </row>
    <row r="306" spans="1:1" ht="15.75" customHeight="1" x14ac:dyDescent="0.25">
      <c r="A306" s="34"/>
    </row>
    <row r="307" spans="1:1" ht="15.75" customHeight="1" x14ac:dyDescent="0.25">
      <c r="A307" s="34"/>
    </row>
    <row r="308" spans="1:1" ht="15.75" customHeight="1" x14ac:dyDescent="0.25">
      <c r="A308" s="34"/>
    </row>
    <row r="309" spans="1:1" ht="15.75" customHeight="1" x14ac:dyDescent="0.25">
      <c r="A309" s="34"/>
    </row>
    <row r="310" spans="1:1" ht="15.75" customHeight="1" x14ac:dyDescent="0.25">
      <c r="A310" s="34"/>
    </row>
    <row r="311" spans="1:1" ht="15.75" customHeight="1" x14ac:dyDescent="0.25">
      <c r="A311" s="34"/>
    </row>
    <row r="312" spans="1:1" ht="15.75" customHeight="1" x14ac:dyDescent="0.25">
      <c r="A312" s="34"/>
    </row>
    <row r="313" spans="1:1" ht="15.75" customHeight="1" x14ac:dyDescent="0.25">
      <c r="A313" s="34"/>
    </row>
    <row r="314" spans="1:1" ht="15.75" customHeight="1" x14ac:dyDescent="0.25">
      <c r="A314" s="34"/>
    </row>
    <row r="315" spans="1:1" ht="15.75" customHeight="1" x14ac:dyDescent="0.25">
      <c r="A315" s="34"/>
    </row>
    <row r="316" spans="1:1" ht="15.75" customHeight="1" x14ac:dyDescent="0.25">
      <c r="A316" s="34"/>
    </row>
    <row r="317" spans="1:1" ht="15.75" customHeight="1" x14ac:dyDescent="0.25">
      <c r="A317" s="34"/>
    </row>
    <row r="318" spans="1:1" ht="15.75" customHeight="1" x14ac:dyDescent="0.25">
      <c r="A318" s="34"/>
    </row>
    <row r="319" spans="1:1" ht="15.75" customHeight="1" x14ac:dyDescent="0.25">
      <c r="A319" s="34"/>
    </row>
    <row r="320" spans="1:1" ht="15.75" customHeight="1" x14ac:dyDescent="0.25">
      <c r="A320" s="34"/>
    </row>
    <row r="321" spans="1:1" ht="15.75" customHeight="1" x14ac:dyDescent="0.25">
      <c r="A321" s="34"/>
    </row>
    <row r="322" spans="1:1" ht="15.75" customHeight="1" x14ac:dyDescent="0.25">
      <c r="A322" s="34"/>
    </row>
    <row r="323" spans="1:1" ht="15.75" customHeight="1" x14ac:dyDescent="0.25">
      <c r="A323" s="34"/>
    </row>
    <row r="324" spans="1:1" ht="15.75" customHeight="1" x14ac:dyDescent="0.25">
      <c r="A324" s="34"/>
    </row>
    <row r="325" spans="1:1" ht="15.75" customHeight="1" x14ac:dyDescent="0.25">
      <c r="A325" s="34"/>
    </row>
    <row r="326" spans="1:1" ht="15.75" customHeight="1" x14ac:dyDescent="0.25">
      <c r="A326" s="34"/>
    </row>
    <row r="327" spans="1:1" ht="15.75" customHeight="1" x14ac:dyDescent="0.25">
      <c r="A327" s="34"/>
    </row>
    <row r="328" spans="1:1" ht="15.75" customHeight="1" x14ac:dyDescent="0.25">
      <c r="A328" s="34"/>
    </row>
    <row r="329" spans="1:1" ht="15.75" customHeight="1" x14ac:dyDescent="0.25">
      <c r="A329" s="34"/>
    </row>
    <row r="330" spans="1:1" ht="15.75" customHeight="1" x14ac:dyDescent="0.25">
      <c r="A330" s="34"/>
    </row>
    <row r="331" spans="1:1" ht="15.75" customHeight="1" x14ac:dyDescent="0.25">
      <c r="A331" s="34"/>
    </row>
    <row r="332" spans="1:1" ht="15.75" customHeight="1" x14ac:dyDescent="0.25">
      <c r="A332" s="34"/>
    </row>
    <row r="333" spans="1:1" ht="15.75" customHeight="1" x14ac:dyDescent="0.25">
      <c r="A333" s="34"/>
    </row>
    <row r="334" spans="1:1" ht="15.75" customHeight="1" x14ac:dyDescent="0.25">
      <c r="A334" s="34"/>
    </row>
    <row r="335" spans="1:1" ht="15.75" customHeight="1" x14ac:dyDescent="0.25">
      <c r="A335" s="34"/>
    </row>
    <row r="336" spans="1:1" ht="15.75" customHeight="1" x14ac:dyDescent="0.25">
      <c r="A336" s="34"/>
    </row>
    <row r="337" spans="1:1" ht="15.75" customHeight="1" x14ac:dyDescent="0.25">
      <c r="A337" s="34"/>
    </row>
    <row r="338" spans="1:1" ht="15.75" customHeight="1" x14ac:dyDescent="0.25">
      <c r="A338" s="34"/>
    </row>
    <row r="339" spans="1:1" ht="15.75" customHeight="1" x14ac:dyDescent="0.25">
      <c r="A339" s="34"/>
    </row>
    <row r="340" spans="1:1" ht="15.75" customHeight="1" x14ac:dyDescent="0.25">
      <c r="A340" s="34"/>
    </row>
    <row r="341" spans="1:1" ht="15.75" customHeight="1" x14ac:dyDescent="0.25">
      <c r="A341" s="34"/>
    </row>
    <row r="342" spans="1:1" ht="15.75" customHeight="1" x14ac:dyDescent="0.25">
      <c r="A342" s="34"/>
    </row>
    <row r="343" spans="1:1" ht="15.75" customHeight="1" x14ac:dyDescent="0.25">
      <c r="A343" s="34"/>
    </row>
    <row r="344" spans="1:1" ht="15.75" customHeight="1" x14ac:dyDescent="0.25">
      <c r="A344" s="34"/>
    </row>
    <row r="345" spans="1:1" ht="15.75" customHeight="1" x14ac:dyDescent="0.25">
      <c r="A345" s="34"/>
    </row>
    <row r="346" spans="1:1" ht="15.75" customHeight="1" x14ac:dyDescent="0.25">
      <c r="A346" s="34"/>
    </row>
    <row r="347" spans="1:1" ht="15.75" customHeight="1" x14ac:dyDescent="0.25">
      <c r="A347" s="34"/>
    </row>
    <row r="348" spans="1:1" ht="15.75" customHeight="1" x14ac:dyDescent="0.25">
      <c r="A348" s="34"/>
    </row>
    <row r="349" spans="1:1" ht="15.75" customHeight="1" x14ac:dyDescent="0.25">
      <c r="A349" s="34"/>
    </row>
    <row r="350" spans="1:1" ht="15.75" customHeight="1" x14ac:dyDescent="0.25">
      <c r="A350" s="34"/>
    </row>
    <row r="351" spans="1:1" ht="15.75" customHeight="1" x14ac:dyDescent="0.25">
      <c r="A351" s="34"/>
    </row>
    <row r="352" spans="1:1" ht="15.75" customHeight="1" x14ac:dyDescent="0.25">
      <c r="A352" s="34"/>
    </row>
    <row r="353" spans="1:1" ht="15.75" customHeight="1" x14ac:dyDescent="0.25">
      <c r="A353" s="34"/>
    </row>
    <row r="354" spans="1:1" ht="15.75" customHeight="1" x14ac:dyDescent="0.25">
      <c r="A354" s="34"/>
    </row>
    <row r="355" spans="1:1" ht="15.75" customHeight="1" x14ac:dyDescent="0.25">
      <c r="A355" s="34"/>
    </row>
    <row r="356" spans="1:1" ht="15.75" customHeight="1" x14ac:dyDescent="0.25">
      <c r="A356" s="34"/>
    </row>
    <row r="357" spans="1:1" ht="15.75" customHeight="1" x14ac:dyDescent="0.25">
      <c r="A357" s="34"/>
    </row>
    <row r="358" spans="1:1" ht="15.75" customHeight="1" x14ac:dyDescent="0.25">
      <c r="A358" s="34"/>
    </row>
    <row r="359" spans="1:1" ht="15.75" customHeight="1" x14ac:dyDescent="0.25">
      <c r="A359" s="34"/>
    </row>
    <row r="360" spans="1:1" ht="15.75" customHeight="1" x14ac:dyDescent="0.25">
      <c r="A360" s="34"/>
    </row>
    <row r="361" spans="1:1" ht="15.75" customHeight="1" x14ac:dyDescent="0.25">
      <c r="A361" s="34"/>
    </row>
    <row r="362" spans="1:1" ht="15.75" customHeight="1" x14ac:dyDescent="0.25">
      <c r="A362" s="34"/>
    </row>
    <row r="363" spans="1:1" ht="15.75" customHeight="1" x14ac:dyDescent="0.25">
      <c r="A363" s="34"/>
    </row>
    <row r="364" spans="1:1" ht="15.75" customHeight="1" x14ac:dyDescent="0.25">
      <c r="A364" s="34"/>
    </row>
    <row r="365" spans="1:1" ht="15.75" customHeight="1" x14ac:dyDescent="0.25">
      <c r="A365" s="34"/>
    </row>
    <row r="366" spans="1:1" ht="15.75" customHeight="1" x14ac:dyDescent="0.25">
      <c r="A366" s="34"/>
    </row>
    <row r="367" spans="1:1" ht="15.75" customHeight="1" x14ac:dyDescent="0.25">
      <c r="A367" s="34"/>
    </row>
    <row r="368" spans="1:1" ht="15.75" customHeight="1" x14ac:dyDescent="0.25">
      <c r="A368" s="34"/>
    </row>
    <row r="369" spans="1:1" ht="15.75" customHeight="1" x14ac:dyDescent="0.25">
      <c r="A369" s="34"/>
    </row>
    <row r="370" spans="1:1" ht="15.75" customHeight="1" x14ac:dyDescent="0.25">
      <c r="A370" s="34"/>
    </row>
    <row r="371" spans="1:1" ht="15.75" customHeight="1" x14ac:dyDescent="0.25">
      <c r="A371" s="34"/>
    </row>
    <row r="372" spans="1:1" ht="15.75" customHeight="1" x14ac:dyDescent="0.25">
      <c r="A372" s="34"/>
    </row>
    <row r="373" spans="1:1" ht="15.75" customHeight="1" x14ac:dyDescent="0.25">
      <c r="A373" s="34"/>
    </row>
    <row r="374" spans="1:1" ht="15.75" customHeight="1" x14ac:dyDescent="0.25">
      <c r="A374" s="34"/>
    </row>
    <row r="375" spans="1:1" ht="15.75" customHeight="1" x14ac:dyDescent="0.25">
      <c r="A375" s="34"/>
    </row>
    <row r="376" spans="1:1" ht="15.75" customHeight="1" x14ac:dyDescent="0.25">
      <c r="A376" s="34"/>
    </row>
    <row r="377" spans="1:1" ht="15.75" customHeight="1" x14ac:dyDescent="0.25">
      <c r="A377" s="34"/>
    </row>
    <row r="378" spans="1:1" ht="15.75" customHeight="1" x14ac:dyDescent="0.25">
      <c r="A378" s="34"/>
    </row>
    <row r="379" spans="1:1" ht="15.75" customHeight="1" x14ac:dyDescent="0.25">
      <c r="A379" s="34"/>
    </row>
    <row r="380" spans="1:1" ht="15.75" customHeight="1" x14ac:dyDescent="0.25">
      <c r="A380" s="34"/>
    </row>
    <row r="381" spans="1:1" ht="15.75" customHeight="1" x14ac:dyDescent="0.25">
      <c r="A381" s="34"/>
    </row>
    <row r="382" spans="1:1" ht="15.75" customHeight="1" x14ac:dyDescent="0.25">
      <c r="A382" s="34"/>
    </row>
    <row r="383" spans="1:1" ht="15.75" customHeight="1" x14ac:dyDescent="0.25">
      <c r="A383" s="34"/>
    </row>
    <row r="384" spans="1:1" ht="15.75" customHeight="1" x14ac:dyDescent="0.25">
      <c r="A384" s="34"/>
    </row>
    <row r="385" spans="1:1" ht="15.75" customHeight="1" x14ac:dyDescent="0.25">
      <c r="A385" s="34"/>
    </row>
    <row r="386" spans="1:1" ht="15.75" customHeight="1" x14ac:dyDescent="0.25">
      <c r="A386" s="34"/>
    </row>
    <row r="387" spans="1:1" ht="15.75" customHeight="1" x14ac:dyDescent="0.25">
      <c r="A387" s="34"/>
    </row>
    <row r="388" spans="1:1" ht="15.75" customHeight="1" x14ac:dyDescent="0.25">
      <c r="A388" s="34"/>
    </row>
    <row r="389" spans="1:1" ht="15.75" customHeight="1" x14ac:dyDescent="0.25">
      <c r="A389" s="34"/>
    </row>
    <row r="390" spans="1:1" ht="15.75" customHeight="1" x14ac:dyDescent="0.25">
      <c r="A390" s="34"/>
    </row>
    <row r="391" spans="1:1" ht="15.75" customHeight="1" x14ac:dyDescent="0.25">
      <c r="A391" s="34"/>
    </row>
    <row r="392" spans="1:1" ht="15.75" customHeight="1" x14ac:dyDescent="0.25">
      <c r="A392" s="34"/>
    </row>
    <row r="393" spans="1:1" ht="15.75" customHeight="1" x14ac:dyDescent="0.25">
      <c r="A393" s="34"/>
    </row>
    <row r="394" spans="1:1" ht="15.75" customHeight="1" x14ac:dyDescent="0.25">
      <c r="A394" s="34"/>
    </row>
    <row r="395" spans="1:1" ht="15.75" customHeight="1" x14ac:dyDescent="0.25">
      <c r="A395" s="34"/>
    </row>
    <row r="396" spans="1:1" ht="15.75" customHeight="1" x14ac:dyDescent="0.25">
      <c r="A396" s="34"/>
    </row>
    <row r="397" spans="1:1" ht="15.75" customHeight="1" x14ac:dyDescent="0.25">
      <c r="A397" s="34"/>
    </row>
    <row r="398" spans="1:1" ht="15.75" customHeight="1" x14ac:dyDescent="0.25">
      <c r="A398" s="34"/>
    </row>
    <row r="399" spans="1:1" ht="15.75" customHeight="1" x14ac:dyDescent="0.25">
      <c r="A399" s="34"/>
    </row>
    <row r="400" spans="1:1" ht="15.75" customHeight="1" x14ac:dyDescent="0.25">
      <c r="A400" s="34"/>
    </row>
    <row r="401" spans="1:1" ht="15.75" customHeight="1" x14ac:dyDescent="0.25">
      <c r="A401" s="34"/>
    </row>
    <row r="402" spans="1:1" ht="15.75" customHeight="1" x14ac:dyDescent="0.25">
      <c r="A402" s="34"/>
    </row>
    <row r="403" spans="1:1" ht="15.75" customHeight="1" x14ac:dyDescent="0.25">
      <c r="A403" s="34"/>
    </row>
    <row r="404" spans="1:1" ht="15.75" customHeight="1" x14ac:dyDescent="0.25">
      <c r="A404" s="34"/>
    </row>
    <row r="405" spans="1:1" ht="15.75" customHeight="1" x14ac:dyDescent="0.25">
      <c r="A405" s="34"/>
    </row>
    <row r="406" spans="1:1" ht="15.75" customHeight="1" x14ac:dyDescent="0.25">
      <c r="A406" s="34"/>
    </row>
    <row r="407" spans="1:1" ht="15.75" customHeight="1" x14ac:dyDescent="0.25">
      <c r="A407" s="34"/>
    </row>
    <row r="408" spans="1:1" ht="15.75" customHeight="1" x14ac:dyDescent="0.25">
      <c r="A408" s="34"/>
    </row>
    <row r="409" spans="1:1" ht="15.75" customHeight="1" x14ac:dyDescent="0.25">
      <c r="A409" s="34"/>
    </row>
    <row r="410" spans="1:1" ht="15.75" customHeight="1" x14ac:dyDescent="0.25">
      <c r="A410" s="34"/>
    </row>
    <row r="411" spans="1:1" ht="15.75" customHeight="1" x14ac:dyDescent="0.25">
      <c r="A411" s="34"/>
    </row>
    <row r="412" spans="1:1" ht="15.75" customHeight="1" x14ac:dyDescent="0.25">
      <c r="A412" s="34"/>
    </row>
    <row r="413" spans="1:1" ht="15.75" customHeight="1" x14ac:dyDescent="0.25">
      <c r="A413" s="34"/>
    </row>
    <row r="414" spans="1:1" ht="15.75" customHeight="1" x14ac:dyDescent="0.25">
      <c r="A414" s="34"/>
    </row>
    <row r="415" spans="1:1" ht="15.75" customHeight="1" x14ac:dyDescent="0.25">
      <c r="A415" s="34"/>
    </row>
    <row r="416" spans="1:1" ht="15.75" customHeight="1" x14ac:dyDescent="0.25">
      <c r="A416" s="34"/>
    </row>
    <row r="417" spans="1:1" ht="15.75" customHeight="1" x14ac:dyDescent="0.25">
      <c r="A417" s="34"/>
    </row>
    <row r="418" spans="1:1" ht="15.75" customHeight="1" x14ac:dyDescent="0.25">
      <c r="A418" s="34"/>
    </row>
    <row r="419" spans="1:1" ht="15.75" customHeight="1" x14ac:dyDescent="0.25">
      <c r="A419" s="34"/>
    </row>
    <row r="420" spans="1:1" ht="15.75" customHeight="1" x14ac:dyDescent="0.25">
      <c r="A420" s="34"/>
    </row>
    <row r="421" spans="1:1" ht="15.75" customHeight="1" x14ac:dyDescent="0.25">
      <c r="A421" s="34"/>
    </row>
    <row r="422" spans="1:1" ht="15.75" customHeight="1" x14ac:dyDescent="0.25">
      <c r="A422" s="34"/>
    </row>
    <row r="423" spans="1:1" ht="15.75" customHeight="1" x14ac:dyDescent="0.25">
      <c r="A423" s="34"/>
    </row>
    <row r="424" spans="1:1" ht="15.75" customHeight="1" x14ac:dyDescent="0.25">
      <c r="A424" s="34"/>
    </row>
    <row r="425" spans="1:1" ht="15.75" customHeight="1" x14ac:dyDescent="0.25">
      <c r="A425" s="34"/>
    </row>
    <row r="426" spans="1:1" ht="15.75" customHeight="1" x14ac:dyDescent="0.25">
      <c r="A426" s="34"/>
    </row>
    <row r="427" spans="1:1" ht="15.75" customHeight="1" x14ac:dyDescent="0.25">
      <c r="A427" s="34"/>
    </row>
    <row r="428" spans="1:1" ht="15.75" customHeight="1" x14ac:dyDescent="0.25">
      <c r="A428" s="34"/>
    </row>
    <row r="429" spans="1:1" ht="15.75" customHeight="1" x14ac:dyDescent="0.25">
      <c r="A429" s="34"/>
    </row>
    <row r="430" spans="1:1" ht="15.75" customHeight="1" x14ac:dyDescent="0.25">
      <c r="A430" s="34"/>
    </row>
    <row r="431" spans="1:1" ht="15.75" customHeight="1" x14ac:dyDescent="0.25">
      <c r="A431" s="34"/>
    </row>
    <row r="432" spans="1:1" ht="15.75" customHeight="1" x14ac:dyDescent="0.25">
      <c r="A432" s="34"/>
    </row>
    <row r="433" spans="1:1" ht="15.75" customHeight="1" x14ac:dyDescent="0.25">
      <c r="A433" s="34"/>
    </row>
    <row r="434" spans="1:1" ht="15.75" customHeight="1" x14ac:dyDescent="0.25">
      <c r="A434" s="34"/>
    </row>
    <row r="435" spans="1:1" ht="15.75" customHeight="1" x14ac:dyDescent="0.25">
      <c r="A435" s="34"/>
    </row>
    <row r="436" spans="1:1" ht="15.75" customHeight="1" x14ac:dyDescent="0.25">
      <c r="A436" s="34"/>
    </row>
    <row r="437" spans="1:1" ht="15.75" customHeight="1" x14ac:dyDescent="0.25">
      <c r="A437" s="34"/>
    </row>
    <row r="438" spans="1:1" ht="15.75" customHeight="1" x14ac:dyDescent="0.25">
      <c r="A438" s="34"/>
    </row>
    <row r="439" spans="1:1" ht="15.75" customHeight="1" x14ac:dyDescent="0.25">
      <c r="A439" s="34"/>
    </row>
    <row r="440" spans="1:1" ht="15.75" customHeight="1" x14ac:dyDescent="0.25">
      <c r="A440" s="34"/>
    </row>
    <row r="441" spans="1:1" ht="15.75" customHeight="1" x14ac:dyDescent="0.25">
      <c r="A441" s="34"/>
    </row>
    <row r="442" spans="1:1" ht="15.75" customHeight="1" x14ac:dyDescent="0.25">
      <c r="A442" s="34"/>
    </row>
    <row r="443" spans="1:1" ht="15.75" customHeight="1" x14ac:dyDescent="0.25">
      <c r="A443" s="34"/>
    </row>
    <row r="444" spans="1:1" ht="15.75" customHeight="1" x14ac:dyDescent="0.25">
      <c r="A444" s="34"/>
    </row>
    <row r="445" spans="1:1" ht="15.75" customHeight="1" x14ac:dyDescent="0.25">
      <c r="A445" s="34"/>
    </row>
    <row r="446" spans="1:1" ht="15.75" customHeight="1" x14ac:dyDescent="0.25">
      <c r="A446" s="34"/>
    </row>
    <row r="447" spans="1:1" ht="15.75" customHeight="1" x14ac:dyDescent="0.25">
      <c r="A447" s="34"/>
    </row>
    <row r="448" spans="1:1" ht="15.75" customHeight="1" x14ac:dyDescent="0.25">
      <c r="A448" s="34"/>
    </row>
    <row r="449" spans="1:1" ht="15.75" customHeight="1" x14ac:dyDescent="0.25">
      <c r="A449" s="34"/>
    </row>
    <row r="450" spans="1:1" ht="15.75" customHeight="1" x14ac:dyDescent="0.25">
      <c r="A450" s="34"/>
    </row>
    <row r="451" spans="1:1" ht="15.75" customHeight="1" x14ac:dyDescent="0.25">
      <c r="A451" s="34"/>
    </row>
    <row r="452" spans="1:1" ht="15.75" customHeight="1" x14ac:dyDescent="0.25">
      <c r="A452" s="34"/>
    </row>
    <row r="453" spans="1:1" ht="15.75" customHeight="1" x14ac:dyDescent="0.25">
      <c r="A453" s="34"/>
    </row>
    <row r="454" spans="1:1" ht="15.75" customHeight="1" x14ac:dyDescent="0.25">
      <c r="A454" s="34"/>
    </row>
    <row r="455" spans="1:1" ht="15.75" customHeight="1" x14ac:dyDescent="0.25">
      <c r="A455" s="34"/>
    </row>
    <row r="456" spans="1:1" ht="15.75" customHeight="1" x14ac:dyDescent="0.25">
      <c r="A456" s="34"/>
    </row>
    <row r="457" spans="1:1" ht="15.75" customHeight="1" x14ac:dyDescent="0.25">
      <c r="A457" s="34"/>
    </row>
    <row r="458" spans="1:1" ht="15.75" customHeight="1" x14ac:dyDescent="0.25">
      <c r="A458" s="34"/>
    </row>
    <row r="459" spans="1:1" ht="15.75" customHeight="1" x14ac:dyDescent="0.25">
      <c r="A459" s="34"/>
    </row>
    <row r="460" spans="1:1" ht="15.75" customHeight="1" x14ac:dyDescent="0.25">
      <c r="A460" s="34"/>
    </row>
    <row r="461" spans="1:1" ht="15.75" customHeight="1" x14ac:dyDescent="0.25">
      <c r="A461" s="34"/>
    </row>
    <row r="462" spans="1:1" ht="15.75" customHeight="1" x14ac:dyDescent="0.25">
      <c r="A462" s="34"/>
    </row>
    <row r="463" spans="1:1" ht="15.75" customHeight="1" x14ac:dyDescent="0.25">
      <c r="A463" s="34"/>
    </row>
    <row r="464" spans="1:1" ht="15.75" customHeight="1" x14ac:dyDescent="0.25">
      <c r="A464" s="34"/>
    </row>
    <row r="465" spans="1:1" ht="15.75" customHeight="1" x14ac:dyDescent="0.25">
      <c r="A465" s="34"/>
    </row>
    <row r="466" spans="1:1" ht="15.75" customHeight="1" x14ac:dyDescent="0.25">
      <c r="A466" s="34"/>
    </row>
    <row r="467" spans="1:1" ht="15.75" customHeight="1" x14ac:dyDescent="0.25">
      <c r="A467" s="34"/>
    </row>
    <row r="468" spans="1:1" ht="15.75" customHeight="1" x14ac:dyDescent="0.25">
      <c r="A468" s="34"/>
    </row>
    <row r="469" spans="1:1" ht="15.75" customHeight="1" x14ac:dyDescent="0.25">
      <c r="A469" s="34"/>
    </row>
    <row r="470" spans="1:1" ht="15.75" customHeight="1" x14ac:dyDescent="0.25">
      <c r="A470" s="34"/>
    </row>
    <row r="471" spans="1:1" ht="15.75" customHeight="1" x14ac:dyDescent="0.25">
      <c r="A471" s="34"/>
    </row>
    <row r="472" spans="1:1" ht="15.75" customHeight="1" x14ac:dyDescent="0.25">
      <c r="A472" s="34"/>
    </row>
    <row r="473" spans="1:1" ht="15.75" customHeight="1" x14ac:dyDescent="0.25">
      <c r="A473" s="34"/>
    </row>
    <row r="474" spans="1:1" ht="15.75" customHeight="1" x14ac:dyDescent="0.25">
      <c r="A474" s="34"/>
    </row>
    <row r="475" spans="1:1" ht="15.75" customHeight="1" x14ac:dyDescent="0.25">
      <c r="A475" s="34"/>
    </row>
    <row r="476" spans="1:1" ht="15.75" customHeight="1" x14ac:dyDescent="0.25">
      <c r="A476" s="34"/>
    </row>
    <row r="477" spans="1:1" ht="15.75" customHeight="1" x14ac:dyDescent="0.25">
      <c r="A477" s="34"/>
    </row>
    <row r="478" spans="1:1" ht="15.75" customHeight="1" x14ac:dyDescent="0.25">
      <c r="A478" s="34"/>
    </row>
    <row r="479" spans="1:1" ht="15.75" customHeight="1" x14ac:dyDescent="0.25">
      <c r="A479" s="34"/>
    </row>
    <row r="480" spans="1:1" ht="15.75" customHeight="1" x14ac:dyDescent="0.25">
      <c r="A480" s="34"/>
    </row>
    <row r="481" spans="1:1" ht="15.75" customHeight="1" x14ac:dyDescent="0.25">
      <c r="A481" s="34"/>
    </row>
    <row r="482" spans="1:1" ht="15.75" customHeight="1" x14ac:dyDescent="0.25">
      <c r="A482" s="34"/>
    </row>
    <row r="483" spans="1:1" ht="15.75" customHeight="1" x14ac:dyDescent="0.25">
      <c r="A483" s="34"/>
    </row>
    <row r="484" spans="1:1" ht="15.75" customHeight="1" x14ac:dyDescent="0.25">
      <c r="A484" s="34"/>
    </row>
    <row r="485" spans="1:1" ht="15.75" customHeight="1" x14ac:dyDescent="0.25">
      <c r="A485" s="34"/>
    </row>
    <row r="486" spans="1:1" ht="15.75" customHeight="1" x14ac:dyDescent="0.25">
      <c r="A486" s="34"/>
    </row>
    <row r="487" spans="1:1" ht="15.75" customHeight="1" x14ac:dyDescent="0.25">
      <c r="A487" s="34"/>
    </row>
    <row r="488" spans="1:1" ht="15.75" customHeight="1" x14ac:dyDescent="0.25">
      <c r="A488" s="34"/>
    </row>
    <row r="489" spans="1:1" ht="15.75" customHeight="1" x14ac:dyDescent="0.25">
      <c r="A489" s="34"/>
    </row>
    <row r="490" spans="1:1" ht="15.75" customHeight="1" x14ac:dyDescent="0.25">
      <c r="A490" s="34"/>
    </row>
    <row r="491" spans="1:1" ht="15.75" customHeight="1" x14ac:dyDescent="0.25">
      <c r="A491" s="34"/>
    </row>
    <row r="492" spans="1:1" ht="15.75" customHeight="1" x14ac:dyDescent="0.25">
      <c r="A492" s="34"/>
    </row>
    <row r="493" spans="1:1" ht="15.75" customHeight="1" x14ac:dyDescent="0.25">
      <c r="A493" s="34"/>
    </row>
    <row r="494" spans="1:1" ht="15.75" customHeight="1" x14ac:dyDescent="0.25">
      <c r="A494" s="34"/>
    </row>
    <row r="495" spans="1:1" ht="15.75" customHeight="1" x14ac:dyDescent="0.25">
      <c r="A495" s="34"/>
    </row>
    <row r="496" spans="1:1" ht="15.75" customHeight="1" x14ac:dyDescent="0.25">
      <c r="A496" s="34"/>
    </row>
    <row r="497" spans="1:1" ht="15.75" customHeight="1" x14ac:dyDescent="0.25">
      <c r="A497" s="34"/>
    </row>
    <row r="498" spans="1:1" ht="15.75" customHeight="1" x14ac:dyDescent="0.25">
      <c r="A498" s="34"/>
    </row>
    <row r="499" spans="1:1" ht="15.75" customHeight="1" x14ac:dyDescent="0.25">
      <c r="A499" s="34"/>
    </row>
    <row r="500" spans="1:1" ht="15.75" customHeight="1" x14ac:dyDescent="0.25">
      <c r="A500" s="34"/>
    </row>
    <row r="501" spans="1:1" ht="15.75" customHeight="1" x14ac:dyDescent="0.25">
      <c r="A501" s="34"/>
    </row>
    <row r="502" spans="1:1" ht="15.75" customHeight="1" x14ac:dyDescent="0.25">
      <c r="A502" s="34"/>
    </row>
    <row r="503" spans="1:1" ht="15.75" customHeight="1" x14ac:dyDescent="0.25">
      <c r="A503" s="34"/>
    </row>
    <row r="504" spans="1:1" ht="15.75" customHeight="1" x14ac:dyDescent="0.25">
      <c r="A504" s="34"/>
    </row>
    <row r="505" spans="1:1" ht="15.75" customHeight="1" x14ac:dyDescent="0.25">
      <c r="A505" s="34"/>
    </row>
    <row r="506" spans="1:1" ht="15.75" customHeight="1" x14ac:dyDescent="0.25">
      <c r="A506" s="34"/>
    </row>
    <row r="507" spans="1:1" ht="15.75" customHeight="1" x14ac:dyDescent="0.25">
      <c r="A507" s="34"/>
    </row>
    <row r="508" spans="1:1" ht="15.75" customHeight="1" x14ac:dyDescent="0.25">
      <c r="A508" s="34"/>
    </row>
    <row r="509" spans="1:1" ht="15.75" customHeight="1" x14ac:dyDescent="0.25">
      <c r="A509" s="34"/>
    </row>
    <row r="510" spans="1:1" ht="15.75" customHeight="1" x14ac:dyDescent="0.25">
      <c r="A510" s="34"/>
    </row>
    <row r="511" spans="1:1" ht="15.75" customHeight="1" x14ac:dyDescent="0.25">
      <c r="A511" s="34"/>
    </row>
    <row r="512" spans="1:1" ht="15.75" customHeight="1" x14ac:dyDescent="0.25">
      <c r="A512" s="34"/>
    </row>
    <row r="513" spans="1:1" ht="15.75" customHeight="1" x14ac:dyDescent="0.25">
      <c r="A513" s="34"/>
    </row>
    <row r="514" spans="1:1" ht="15.75" customHeight="1" x14ac:dyDescent="0.25">
      <c r="A514" s="34"/>
    </row>
    <row r="515" spans="1:1" ht="15.75" customHeight="1" x14ac:dyDescent="0.25">
      <c r="A515" s="34"/>
    </row>
    <row r="516" spans="1:1" ht="15.75" customHeight="1" x14ac:dyDescent="0.25">
      <c r="A516" s="34"/>
    </row>
    <row r="517" spans="1:1" ht="15.75" customHeight="1" x14ac:dyDescent="0.25">
      <c r="A517" s="34"/>
    </row>
    <row r="518" spans="1:1" ht="15.75" customHeight="1" x14ac:dyDescent="0.25">
      <c r="A518" s="34"/>
    </row>
    <row r="519" spans="1:1" ht="15.75" customHeight="1" x14ac:dyDescent="0.25">
      <c r="A519" s="34"/>
    </row>
    <row r="520" spans="1:1" ht="15.75" customHeight="1" x14ac:dyDescent="0.25">
      <c r="A520" s="34"/>
    </row>
    <row r="521" spans="1:1" ht="15.75" customHeight="1" x14ac:dyDescent="0.25">
      <c r="A521" s="34"/>
    </row>
    <row r="522" spans="1:1" ht="15.75" customHeight="1" x14ac:dyDescent="0.25">
      <c r="A522" s="34"/>
    </row>
    <row r="523" spans="1:1" ht="15.75" customHeight="1" x14ac:dyDescent="0.25">
      <c r="A523" s="34"/>
    </row>
    <row r="524" spans="1:1" ht="15.75" customHeight="1" x14ac:dyDescent="0.25">
      <c r="A524" s="34"/>
    </row>
    <row r="525" spans="1:1" ht="15.75" customHeight="1" x14ac:dyDescent="0.25">
      <c r="A525" s="34"/>
    </row>
    <row r="526" spans="1:1" ht="15.75" customHeight="1" x14ac:dyDescent="0.25">
      <c r="A526" s="34"/>
    </row>
    <row r="527" spans="1:1" ht="15.75" customHeight="1" x14ac:dyDescent="0.25">
      <c r="A527" s="34"/>
    </row>
    <row r="528" spans="1:1" ht="15.75" customHeight="1" x14ac:dyDescent="0.25">
      <c r="A528" s="34"/>
    </row>
    <row r="529" spans="1:1" ht="15.75" customHeight="1" x14ac:dyDescent="0.25">
      <c r="A529" s="34"/>
    </row>
    <row r="530" spans="1:1" ht="15.75" customHeight="1" x14ac:dyDescent="0.25">
      <c r="A530" s="34"/>
    </row>
    <row r="531" spans="1:1" ht="15.75" customHeight="1" x14ac:dyDescent="0.25">
      <c r="A531" s="34"/>
    </row>
    <row r="532" spans="1:1" ht="15.75" customHeight="1" x14ac:dyDescent="0.25">
      <c r="A532" s="34"/>
    </row>
    <row r="533" spans="1:1" ht="15.75" customHeight="1" x14ac:dyDescent="0.25">
      <c r="A533" s="34"/>
    </row>
    <row r="534" spans="1:1" ht="15.75" customHeight="1" x14ac:dyDescent="0.25">
      <c r="A534" s="34"/>
    </row>
    <row r="535" spans="1:1" ht="15.75" customHeight="1" x14ac:dyDescent="0.25">
      <c r="A535" s="34"/>
    </row>
    <row r="536" spans="1:1" ht="15.75" customHeight="1" x14ac:dyDescent="0.25">
      <c r="A536" s="34"/>
    </row>
    <row r="537" spans="1:1" ht="15.75" customHeight="1" x14ac:dyDescent="0.25">
      <c r="A537" s="34"/>
    </row>
    <row r="538" spans="1:1" ht="15.75" customHeight="1" x14ac:dyDescent="0.25">
      <c r="A538" s="34"/>
    </row>
    <row r="539" spans="1:1" ht="15.75" customHeight="1" x14ac:dyDescent="0.25">
      <c r="A539" s="34"/>
    </row>
    <row r="540" spans="1:1" ht="15.75" customHeight="1" x14ac:dyDescent="0.25">
      <c r="A540" s="34"/>
    </row>
    <row r="541" spans="1:1" ht="15.75" customHeight="1" x14ac:dyDescent="0.25">
      <c r="A541" s="34"/>
    </row>
    <row r="542" spans="1:1" ht="15.75" customHeight="1" x14ac:dyDescent="0.25">
      <c r="A542" s="34"/>
    </row>
    <row r="543" spans="1:1" ht="15.75" customHeight="1" x14ac:dyDescent="0.25">
      <c r="A543" s="34"/>
    </row>
    <row r="544" spans="1:1" ht="15.75" customHeight="1" x14ac:dyDescent="0.25">
      <c r="A544" s="34"/>
    </row>
    <row r="545" spans="1:1" ht="15.75" customHeight="1" x14ac:dyDescent="0.25">
      <c r="A545" s="34"/>
    </row>
    <row r="546" spans="1:1" ht="15.75" customHeight="1" x14ac:dyDescent="0.25">
      <c r="A546" s="34"/>
    </row>
    <row r="547" spans="1:1" ht="15.75" customHeight="1" x14ac:dyDescent="0.25">
      <c r="A547" s="34"/>
    </row>
    <row r="548" spans="1:1" ht="15.75" customHeight="1" x14ac:dyDescent="0.25">
      <c r="A548" s="34"/>
    </row>
    <row r="549" spans="1:1" ht="15.75" customHeight="1" x14ac:dyDescent="0.25">
      <c r="A549" s="34"/>
    </row>
    <row r="550" spans="1:1" ht="15.75" customHeight="1" x14ac:dyDescent="0.25">
      <c r="A550" s="34"/>
    </row>
    <row r="551" spans="1:1" ht="15.75" customHeight="1" x14ac:dyDescent="0.25">
      <c r="A551" s="34"/>
    </row>
    <row r="552" spans="1:1" ht="15.75" customHeight="1" x14ac:dyDescent="0.25">
      <c r="A552" s="34"/>
    </row>
    <row r="553" spans="1:1" ht="15.75" customHeight="1" x14ac:dyDescent="0.25">
      <c r="A553" s="34"/>
    </row>
    <row r="554" spans="1:1" ht="15.75" customHeight="1" x14ac:dyDescent="0.25">
      <c r="A554" s="34"/>
    </row>
    <row r="555" spans="1:1" ht="15.75" customHeight="1" x14ac:dyDescent="0.25">
      <c r="A555" s="34"/>
    </row>
    <row r="556" spans="1:1" ht="15.75" customHeight="1" x14ac:dyDescent="0.25">
      <c r="A556" s="34"/>
    </row>
    <row r="557" spans="1:1" ht="15.75" customHeight="1" x14ac:dyDescent="0.25">
      <c r="A557" s="34"/>
    </row>
    <row r="558" spans="1:1" ht="15.75" customHeight="1" x14ac:dyDescent="0.25">
      <c r="A558" s="34"/>
    </row>
    <row r="559" spans="1:1" ht="15.75" customHeight="1" x14ac:dyDescent="0.25">
      <c r="A559" s="34"/>
    </row>
    <row r="560" spans="1:1" ht="15.75" customHeight="1" x14ac:dyDescent="0.25">
      <c r="A560" s="34"/>
    </row>
    <row r="561" spans="1:1" ht="15.75" customHeight="1" x14ac:dyDescent="0.25">
      <c r="A561" s="34"/>
    </row>
    <row r="562" spans="1:1" ht="15.75" customHeight="1" x14ac:dyDescent="0.25">
      <c r="A562" s="34"/>
    </row>
    <row r="563" spans="1:1" ht="15.75" customHeight="1" x14ac:dyDescent="0.25">
      <c r="A563" s="34"/>
    </row>
    <row r="564" spans="1:1" ht="15.75" customHeight="1" x14ac:dyDescent="0.25">
      <c r="A564" s="34"/>
    </row>
    <row r="565" spans="1:1" ht="15.75" customHeight="1" x14ac:dyDescent="0.25">
      <c r="A565" s="34"/>
    </row>
    <row r="566" spans="1:1" ht="15.75" customHeight="1" x14ac:dyDescent="0.25">
      <c r="A566" s="34"/>
    </row>
    <row r="567" spans="1:1" ht="15.75" customHeight="1" x14ac:dyDescent="0.25">
      <c r="A567" s="34"/>
    </row>
    <row r="568" spans="1:1" ht="15.75" customHeight="1" x14ac:dyDescent="0.25">
      <c r="A568" s="34"/>
    </row>
    <row r="569" spans="1:1" ht="15.75" customHeight="1" x14ac:dyDescent="0.25">
      <c r="A569" s="34"/>
    </row>
    <row r="570" spans="1:1" ht="15.75" customHeight="1" x14ac:dyDescent="0.25">
      <c r="A570" s="34"/>
    </row>
    <row r="571" spans="1:1" ht="15.75" customHeight="1" x14ac:dyDescent="0.25">
      <c r="A571" s="34"/>
    </row>
    <row r="572" spans="1:1" ht="15.75" customHeight="1" x14ac:dyDescent="0.25">
      <c r="A572" s="34"/>
    </row>
    <row r="573" spans="1:1" ht="15.75" customHeight="1" x14ac:dyDescent="0.25">
      <c r="A573" s="34"/>
    </row>
    <row r="574" spans="1:1" ht="15.75" customHeight="1" x14ac:dyDescent="0.25">
      <c r="A574" s="34"/>
    </row>
    <row r="575" spans="1:1" ht="15.75" customHeight="1" x14ac:dyDescent="0.25">
      <c r="A575" s="34"/>
    </row>
    <row r="576" spans="1:1" ht="15.75" customHeight="1" x14ac:dyDescent="0.25">
      <c r="A576" s="34"/>
    </row>
    <row r="577" spans="1:1" ht="15.75" customHeight="1" x14ac:dyDescent="0.25">
      <c r="A577" s="34"/>
    </row>
    <row r="578" spans="1:1" ht="15.75" customHeight="1" x14ac:dyDescent="0.25">
      <c r="A578" s="34"/>
    </row>
    <row r="579" spans="1:1" ht="15.75" customHeight="1" x14ac:dyDescent="0.25">
      <c r="A579" s="34"/>
    </row>
    <row r="580" spans="1:1" ht="15.75" customHeight="1" x14ac:dyDescent="0.25">
      <c r="A580" s="34"/>
    </row>
    <row r="581" spans="1:1" ht="15.75" customHeight="1" x14ac:dyDescent="0.25">
      <c r="A581" s="34"/>
    </row>
    <row r="582" spans="1:1" ht="15.75" customHeight="1" x14ac:dyDescent="0.25">
      <c r="A582" s="34"/>
    </row>
    <row r="583" spans="1:1" ht="15.75" customHeight="1" x14ac:dyDescent="0.25">
      <c r="A583" s="34"/>
    </row>
    <row r="584" spans="1:1" ht="15.75" customHeight="1" x14ac:dyDescent="0.25">
      <c r="A584" s="34"/>
    </row>
    <row r="585" spans="1:1" ht="15.75" customHeight="1" x14ac:dyDescent="0.25">
      <c r="A585" s="34"/>
    </row>
    <row r="586" spans="1:1" ht="15.75" customHeight="1" x14ac:dyDescent="0.25">
      <c r="A586" s="34"/>
    </row>
    <row r="587" spans="1:1" ht="15.75" customHeight="1" x14ac:dyDescent="0.25">
      <c r="A587" s="34"/>
    </row>
    <row r="588" spans="1:1" ht="15.75" customHeight="1" x14ac:dyDescent="0.25">
      <c r="A588" s="34"/>
    </row>
    <row r="589" spans="1:1" ht="15.75" customHeight="1" x14ac:dyDescent="0.25">
      <c r="A589" s="34"/>
    </row>
    <row r="590" spans="1:1" ht="15.75" customHeight="1" x14ac:dyDescent="0.25">
      <c r="A590" s="34"/>
    </row>
    <row r="591" spans="1:1" ht="15.75" customHeight="1" x14ac:dyDescent="0.25">
      <c r="A591" s="34"/>
    </row>
    <row r="592" spans="1:1" ht="15.75" customHeight="1" x14ac:dyDescent="0.25">
      <c r="A592" s="34"/>
    </row>
    <row r="593" spans="1:1" ht="15.75" customHeight="1" x14ac:dyDescent="0.25">
      <c r="A593" s="34"/>
    </row>
    <row r="594" spans="1:1" ht="15.75" customHeight="1" x14ac:dyDescent="0.25">
      <c r="A594" s="34"/>
    </row>
    <row r="595" spans="1:1" ht="15.75" customHeight="1" x14ac:dyDescent="0.25">
      <c r="A595" s="34"/>
    </row>
    <row r="596" spans="1:1" ht="15.75" customHeight="1" x14ac:dyDescent="0.25">
      <c r="A596" s="34"/>
    </row>
    <row r="597" spans="1:1" ht="15.75" customHeight="1" x14ac:dyDescent="0.25">
      <c r="A597" s="34"/>
    </row>
    <row r="598" spans="1:1" ht="15.75" customHeight="1" x14ac:dyDescent="0.25">
      <c r="A598" s="34"/>
    </row>
    <row r="599" spans="1:1" ht="15.75" customHeight="1" x14ac:dyDescent="0.25">
      <c r="A599" s="34"/>
    </row>
    <row r="600" spans="1:1" ht="15.75" customHeight="1" x14ac:dyDescent="0.25">
      <c r="A600" s="34"/>
    </row>
    <row r="601" spans="1:1" ht="15.75" customHeight="1" x14ac:dyDescent="0.25">
      <c r="A601" s="34"/>
    </row>
    <row r="602" spans="1:1" ht="15.75" customHeight="1" x14ac:dyDescent="0.25">
      <c r="A602" s="34"/>
    </row>
    <row r="603" spans="1:1" ht="15.75" customHeight="1" x14ac:dyDescent="0.25">
      <c r="A603" s="34"/>
    </row>
    <row r="604" spans="1:1" ht="15.75" customHeight="1" x14ac:dyDescent="0.25">
      <c r="A604" s="34"/>
    </row>
    <row r="605" spans="1:1" ht="15.75" customHeight="1" x14ac:dyDescent="0.25">
      <c r="A605" s="34"/>
    </row>
    <row r="606" spans="1:1" ht="15.75" customHeight="1" x14ac:dyDescent="0.25">
      <c r="A606" s="34"/>
    </row>
    <row r="607" spans="1:1" ht="15.75" customHeight="1" x14ac:dyDescent="0.25">
      <c r="A607" s="34"/>
    </row>
    <row r="608" spans="1:1" ht="15.75" customHeight="1" x14ac:dyDescent="0.25">
      <c r="A608" s="34"/>
    </row>
    <row r="609" spans="1:1" ht="15.75" customHeight="1" x14ac:dyDescent="0.25">
      <c r="A609" s="34"/>
    </row>
    <row r="610" spans="1:1" ht="15.75" customHeight="1" x14ac:dyDescent="0.25">
      <c r="A610" s="34"/>
    </row>
    <row r="611" spans="1:1" ht="15.75" customHeight="1" x14ac:dyDescent="0.25">
      <c r="A611" s="34"/>
    </row>
    <row r="612" spans="1:1" ht="15.75" customHeight="1" x14ac:dyDescent="0.25">
      <c r="A612" s="34"/>
    </row>
    <row r="613" spans="1:1" ht="15.75" customHeight="1" x14ac:dyDescent="0.25">
      <c r="A613" s="34"/>
    </row>
    <row r="614" spans="1:1" ht="15.75" customHeight="1" x14ac:dyDescent="0.25">
      <c r="A614" s="34"/>
    </row>
    <row r="615" spans="1:1" ht="15.75" customHeight="1" x14ac:dyDescent="0.25">
      <c r="A615" s="34"/>
    </row>
    <row r="616" spans="1:1" ht="15.75" customHeight="1" x14ac:dyDescent="0.25">
      <c r="A616" s="34"/>
    </row>
    <row r="617" spans="1:1" ht="15.75" customHeight="1" x14ac:dyDescent="0.25">
      <c r="A617" s="34"/>
    </row>
    <row r="618" spans="1:1" ht="15.75" customHeight="1" x14ac:dyDescent="0.25">
      <c r="A618" s="34"/>
    </row>
    <row r="619" spans="1:1" ht="15.75" customHeight="1" x14ac:dyDescent="0.25">
      <c r="A619" s="34"/>
    </row>
    <row r="620" spans="1:1" ht="15.75" customHeight="1" x14ac:dyDescent="0.25">
      <c r="A620" s="34"/>
    </row>
    <row r="621" spans="1:1" ht="15.75" customHeight="1" x14ac:dyDescent="0.25">
      <c r="A621" s="34"/>
    </row>
    <row r="622" spans="1:1" ht="15.75" customHeight="1" x14ac:dyDescent="0.25">
      <c r="A622" s="34"/>
    </row>
    <row r="623" spans="1:1" ht="15.75" customHeight="1" x14ac:dyDescent="0.25">
      <c r="A623" s="34"/>
    </row>
    <row r="624" spans="1:1" ht="15.75" customHeight="1" x14ac:dyDescent="0.25">
      <c r="A624" s="34"/>
    </row>
    <row r="625" spans="1:1" ht="15.75" customHeight="1" x14ac:dyDescent="0.25">
      <c r="A625" s="34"/>
    </row>
    <row r="626" spans="1:1" ht="15.75" customHeight="1" x14ac:dyDescent="0.25">
      <c r="A626" s="34"/>
    </row>
    <row r="627" spans="1:1" ht="15.75" customHeight="1" x14ac:dyDescent="0.25">
      <c r="A627" s="34"/>
    </row>
    <row r="628" spans="1:1" ht="15.75" customHeight="1" x14ac:dyDescent="0.25">
      <c r="A628" s="34"/>
    </row>
    <row r="629" spans="1:1" ht="15.75" customHeight="1" x14ac:dyDescent="0.25">
      <c r="A629" s="34"/>
    </row>
    <row r="630" spans="1:1" ht="15.75" customHeight="1" x14ac:dyDescent="0.25">
      <c r="A630" s="34"/>
    </row>
    <row r="631" spans="1:1" ht="15.75" customHeight="1" x14ac:dyDescent="0.25">
      <c r="A631" s="34"/>
    </row>
    <row r="632" spans="1:1" ht="15.75" customHeight="1" x14ac:dyDescent="0.25">
      <c r="A632" s="34"/>
    </row>
    <row r="633" spans="1:1" ht="15.75" customHeight="1" x14ac:dyDescent="0.25">
      <c r="A633" s="34"/>
    </row>
    <row r="634" spans="1:1" ht="15.75" customHeight="1" x14ac:dyDescent="0.25">
      <c r="A634" s="34"/>
    </row>
    <row r="635" spans="1:1" ht="15.75" customHeight="1" x14ac:dyDescent="0.25">
      <c r="A635" s="34"/>
    </row>
    <row r="636" spans="1:1" ht="15.75" customHeight="1" x14ac:dyDescent="0.25">
      <c r="A636" s="34"/>
    </row>
    <row r="637" spans="1:1" ht="15.75" customHeight="1" x14ac:dyDescent="0.25">
      <c r="A637" s="34"/>
    </row>
    <row r="638" spans="1:1" ht="15.75" customHeight="1" x14ac:dyDescent="0.25">
      <c r="A638" s="34"/>
    </row>
    <row r="639" spans="1:1" ht="15.75" customHeight="1" x14ac:dyDescent="0.25">
      <c r="A639" s="34"/>
    </row>
    <row r="640" spans="1:1" ht="15.75" customHeight="1" x14ac:dyDescent="0.25">
      <c r="A640" s="34"/>
    </row>
    <row r="641" spans="1:1" ht="15.75" customHeight="1" x14ac:dyDescent="0.25">
      <c r="A641" s="34"/>
    </row>
    <row r="642" spans="1:1" ht="15.75" customHeight="1" x14ac:dyDescent="0.25">
      <c r="A642" s="34"/>
    </row>
    <row r="643" spans="1:1" ht="15.75" customHeight="1" x14ac:dyDescent="0.25">
      <c r="A643" s="34"/>
    </row>
    <row r="644" spans="1:1" ht="15.75" customHeight="1" x14ac:dyDescent="0.25">
      <c r="A644" s="34"/>
    </row>
    <row r="645" spans="1:1" ht="15.75" customHeight="1" x14ac:dyDescent="0.25">
      <c r="A645" s="34"/>
    </row>
    <row r="646" spans="1:1" ht="15.75" customHeight="1" x14ac:dyDescent="0.25">
      <c r="A646" s="34"/>
    </row>
    <row r="647" spans="1:1" ht="15.75" customHeight="1" x14ac:dyDescent="0.25">
      <c r="A647" s="34"/>
    </row>
    <row r="648" spans="1:1" ht="15.75" customHeight="1" x14ac:dyDescent="0.25">
      <c r="A648" s="34"/>
    </row>
    <row r="649" spans="1:1" ht="15.75" customHeight="1" x14ac:dyDescent="0.25">
      <c r="A649" s="34"/>
    </row>
    <row r="650" spans="1:1" ht="15.75" customHeight="1" x14ac:dyDescent="0.25">
      <c r="A650" s="34"/>
    </row>
    <row r="651" spans="1:1" ht="15.75" customHeight="1" x14ac:dyDescent="0.25">
      <c r="A651" s="34"/>
    </row>
    <row r="652" spans="1:1" ht="15.75" customHeight="1" x14ac:dyDescent="0.25">
      <c r="A652" s="34"/>
    </row>
    <row r="653" spans="1:1" ht="15.75" customHeight="1" x14ac:dyDescent="0.25">
      <c r="A653" s="34"/>
    </row>
    <row r="654" spans="1:1" ht="15.75" customHeight="1" x14ac:dyDescent="0.25">
      <c r="A654" s="34"/>
    </row>
    <row r="655" spans="1:1" ht="15.75" customHeight="1" x14ac:dyDescent="0.25">
      <c r="A655" s="34"/>
    </row>
    <row r="656" spans="1:1" ht="15.75" customHeight="1" x14ac:dyDescent="0.25">
      <c r="A656" s="34"/>
    </row>
    <row r="657" spans="1:1" ht="15.75" customHeight="1" x14ac:dyDescent="0.25">
      <c r="A657" s="34"/>
    </row>
    <row r="658" spans="1:1" ht="15.75" customHeight="1" x14ac:dyDescent="0.25">
      <c r="A658" s="34"/>
    </row>
    <row r="659" spans="1:1" ht="15.75" customHeight="1" x14ac:dyDescent="0.25">
      <c r="A659" s="34"/>
    </row>
    <row r="660" spans="1:1" ht="15.75" customHeight="1" x14ac:dyDescent="0.25">
      <c r="A660" s="34"/>
    </row>
    <row r="661" spans="1:1" ht="15.75" customHeight="1" x14ac:dyDescent="0.25">
      <c r="A661" s="34"/>
    </row>
    <row r="662" spans="1:1" ht="15.75" customHeight="1" x14ac:dyDescent="0.25">
      <c r="A662" s="34"/>
    </row>
    <row r="663" spans="1:1" ht="15.75" customHeight="1" x14ac:dyDescent="0.25">
      <c r="A663" s="34"/>
    </row>
    <row r="664" spans="1:1" ht="15.75" customHeight="1" x14ac:dyDescent="0.25">
      <c r="A664" s="34"/>
    </row>
    <row r="665" spans="1:1" ht="15.75" customHeight="1" x14ac:dyDescent="0.25">
      <c r="A665" s="34"/>
    </row>
    <row r="666" spans="1:1" ht="15.75" customHeight="1" x14ac:dyDescent="0.25">
      <c r="A666" s="34"/>
    </row>
    <row r="667" spans="1:1" ht="15.75" customHeight="1" x14ac:dyDescent="0.25">
      <c r="A667" s="34"/>
    </row>
    <row r="668" spans="1:1" ht="15.75" customHeight="1" x14ac:dyDescent="0.25">
      <c r="A668" s="34"/>
    </row>
    <row r="669" spans="1:1" ht="15.75" customHeight="1" x14ac:dyDescent="0.25">
      <c r="A669" s="34"/>
    </row>
    <row r="670" spans="1:1" ht="15.75" customHeight="1" x14ac:dyDescent="0.25">
      <c r="A670" s="34"/>
    </row>
    <row r="671" spans="1:1" ht="15.75" customHeight="1" x14ac:dyDescent="0.25">
      <c r="A671" s="34"/>
    </row>
    <row r="672" spans="1:1" ht="15.75" customHeight="1" x14ac:dyDescent="0.25">
      <c r="A672" s="34"/>
    </row>
    <row r="673" spans="1:1" ht="15.75" customHeight="1" x14ac:dyDescent="0.25">
      <c r="A673" s="34"/>
    </row>
    <row r="674" spans="1:1" ht="15.75" customHeight="1" x14ac:dyDescent="0.25">
      <c r="A674" s="34"/>
    </row>
    <row r="675" spans="1:1" ht="15.75" customHeight="1" x14ac:dyDescent="0.25">
      <c r="A675" s="34"/>
    </row>
    <row r="676" spans="1:1" ht="15.75" customHeight="1" x14ac:dyDescent="0.25">
      <c r="A676" s="34"/>
    </row>
    <row r="677" spans="1:1" ht="15.75" customHeight="1" x14ac:dyDescent="0.25">
      <c r="A677" s="34"/>
    </row>
    <row r="678" spans="1:1" ht="15.75" customHeight="1" x14ac:dyDescent="0.25">
      <c r="A678" s="34"/>
    </row>
    <row r="679" spans="1:1" ht="15.75" customHeight="1" x14ac:dyDescent="0.25">
      <c r="A679" s="34"/>
    </row>
    <row r="680" spans="1:1" ht="15.75" customHeight="1" x14ac:dyDescent="0.25">
      <c r="A680" s="34"/>
    </row>
    <row r="681" spans="1:1" ht="15.75" customHeight="1" x14ac:dyDescent="0.25">
      <c r="A681" s="34"/>
    </row>
    <row r="682" spans="1:1" ht="15.75" customHeight="1" x14ac:dyDescent="0.25">
      <c r="A682" s="34"/>
    </row>
    <row r="683" spans="1:1" ht="15.75" customHeight="1" x14ac:dyDescent="0.25">
      <c r="A683" s="34"/>
    </row>
    <row r="684" spans="1:1" ht="15.75" customHeight="1" x14ac:dyDescent="0.25">
      <c r="A684" s="34"/>
    </row>
    <row r="685" spans="1:1" ht="15.75" customHeight="1" x14ac:dyDescent="0.25">
      <c r="A685" s="34"/>
    </row>
    <row r="686" spans="1:1" ht="15.75" customHeight="1" x14ac:dyDescent="0.25">
      <c r="A686" s="34"/>
    </row>
    <row r="687" spans="1:1" ht="15.75" customHeight="1" x14ac:dyDescent="0.25">
      <c r="A687" s="34"/>
    </row>
    <row r="688" spans="1:1" ht="15.75" customHeight="1" x14ac:dyDescent="0.25">
      <c r="A688" s="34"/>
    </row>
    <row r="689" spans="1:1" ht="15.75" customHeight="1" x14ac:dyDescent="0.25">
      <c r="A689" s="34"/>
    </row>
    <row r="690" spans="1:1" ht="15.75" customHeight="1" x14ac:dyDescent="0.25">
      <c r="A690" s="34"/>
    </row>
    <row r="691" spans="1:1" ht="15.75" customHeight="1" x14ac:dyDescent="0.25">
      <c r="A691" s="34"/>
    </row>
    <row r="692" spans="1:1" ht="15.75" customHeight="1" x14ac:dyDescent="0.25">
      <c r="A692" s="34"/>
    </row>
    <row r="693" spans="1:1" ht="15.75" customHeight="1" x14ac:dyDescent="0.25">
      <c r="A693" s="34"/>
    </row>
    <row r="694" spans="1:1" ht="15.75" customHeight="1" x14ac:dyDescent="0.25">
      <c r="A694" s="34"/>
    </row>
    <row r="695" spans="1:1" ht="15.75" customHeight="1" x14ac:dyDescent="0.25">
      <c r="A695" s="34"/>
    </row>
    <row r="696" spans="1:1" ht="15.75" customHeight="1" x14ac:dyDescent="0.25">
      <c r="A696" s="34"/>
    </row>
    <row r="697" spans="1:1" ht="15.75" customHeight="1" x14ac:dyDescent="0.25">
      <c r="A697" s="34"/>
    </row>
    <row r="698" spans="1:1" ht="15.75" customHeight="1" x14ac:dyDescent="0.25">
      <c r="A698" s="34"/>
    </row>
    <row r="699" spans="1:1" ht="15.75" customHeight="1" x14ac:dyDescent="0.25">
      <c r="A699" s="34"/>
    </row>
    <row r="700" spans="1:1" ht="15.75" customHeight="1" x14ac:dyDescent="0.25">
      <c r="A700" s="34"/>
    </row>
    <row r="701" spans="1:1" ht="15.75" customHeight="1" x14ac:dyDescent="0.25">
      <c r="A701" s="34"/>
    </row>
    <row r="702" spans="1:1" ht="15.75" customHeight="1" x14ac:dyDescent="0.25">
      <c r="A702" s="34"/>
    </row>
    <row r="703" spans="1:1" ht="15.75" customHeight="1" x14ac:dyDescent="0.25">
      <c r="A703" s="34"/>
    </row>
    <row r="704" spans="1:1" ht="15.75" customHeight="1" x14ac:dyDescent="0.25">
      <c r="A704" s="34"/>
    </row>
    <row r="705" spans="1:1" ht="15.75" customHeight="1" x14ac:dyDescent="0.25">
      <c r="A705" s="34"/>
    </row>
    <row r="706" spans="1:1" ht="15.75" customHeight="1" x14ac:dyDescent="0.25">
      <c r="A706" s="34"/>
    </row>
    <row r="707" spans="1:1" ht="15.75" customHeight="1" x14ac:dyDescent="0.25">
      <c r="A707" s="34"/>
    </row>
    <row r="708" spans="1:1" ht="15.75" customHeight="1" x14ac:dyDescent="0.25">
      <c r="A708" s="34"/>
    </row>
    <row r="709" spans="1:1" ht="15.75" customHeight="1" x14ac:dyDescent="0.25">
      <c r="A709" s="34"/>
    </row>
    <row r="710" spans="1:1" ht="15.75" customHeight="1" x14ac:dyDescent="0.25">
      <c r="A710" s="34"/>
    </row>
    <row r="711" spans="1:1" ht="15.75" customHeight="1" x14ac:dyDescent="0.25">
      <c r="A711" s="34"/>
    </row>
    <row r="712" spans="1:1" ht="15.75" customHeight="1" x14ac:dyDescent="0.25">
      <c r="A712" s="34"/>
    </row>
    <row r="713" spans="1:1" ht="15.75" customHeight="1" x14ac:dyDescent="0.25">
      <c r="A713" s="34"/>
    </row>
    <row r="714" spans="1:1" ht="15.75" customHeight="1" x14ac:dyDescent="0.25">
      <c r="A714" s="34"/>
    </row>
    <row r="715" spans="1:1" ht="15.75" customHeight="1" x14ac:dyDescent="0.25">
      <c r="A715" s="34"/>
    </row>
    <row r="716" spans="1:1" ht="15.75" customHeight="1" x14ac:dyDescent="0.25">
      <c r="A716" s="34"/>
    </row>
    <row r="717" spans="1:1" ht="15.75" customHeight="1" x14ac:dyDescent="0.25">
      <c r="A717" s="34"/>
    </row>
    <row r="718" spans="1:1" ht="15.75" customHeight="1" x14ac:dyDescent="0.25">
      <c r="A718" s="34"/>
    </row>
    <row r="719" spans="1:1" ht="15.75" customHeight="1" x14ac:dyDescent="0.25">
      <c r="A719" s="34"/>
    </row>
    <row r="720" spans="1:1" ht="15.75" customHeight="1" x14ac:dyDescent="0.25">
      <c r="A720" s="34"/>
    </row>
    <row r="721" spans="1:1" ht="15.75" customHeight="1" x14ac:dyDescent="0.25">
      <c r="A721" s="34"/>
    </row>
    <row r="722" spans="1:1" ht="15.75" customHeight="1" x14ac:dyDescent="0.25">
      <c r="A722" s="34"/>
    </row>
    <row r="723" spans="1:1" ht="15.75" customHeight="1" x14ac:dyDescent="0.25">
      <c r="A723" s="34"/>
    </row>
    <row r="724" spans="1:1" ht="15.75" customHeight="1" x14ac:dyDescent="0.25">
      <c r="A724" s="34"/>
    </row>
    <row r="725" spans="1:1" ht="15.75" customHeight="1" x14ac:dyDescent="0.25">
      <c r="A725" s="34"/>
    </row>
    <row r="726" spans="1:1" ht="15.75" customHeight="1" x14ac:dyDescent="0.25">
      <c r="A726" s="34"/>
    </row>
    <row r="727" spans="1:1" ht="15.75" customHeight="1" x14ac:dyDescent="0.25">
      <c r="A727" s="34"/>
    </row>
    <row r="728" spans="1:1" ht="15.75" customHeight="1" x14ac:dyDescent="0.25">
      <c r="A728" s="34"/>
    </row>
    <row r="729" spans="1:1" ht="15.75" customHeight="1" x14ac:dyDescent="0.25">
      <c r="A729" s="34"/>
    </row>
    <row r="730" spans="1:1" ht="15.75" customHeight="1" x14ac:dyDescent="0.25">
      <c r="A730" s="34"/>
    </row>
    <row r="731" spans="1:1" ht="15.75" customHeight="1" x14ac:dyDescent="0.25">
      <c r="A731" s="34"/>
    </row>
    <row r="732" spans="1:1" ht="15.75" customHeight="1" x14ac:dyDescent="0.25">
      <c r="A732" s="34"/>
    </row>
    <row r="733" spans="1:1" ht="15.75" customHeight="1" x14ac:dyDescent="0.25">
      <c r="A733" s="34"/>
    </row>
    <row r="734" spans="1:1" ht="15.75" customHeight="1" x14ac:dyDescent="0.25">
      <c r="A734" s="34"/>
    </row>
    <row r="735" spans="1:1" ht="15.75" customHeight="1" x14ac:dyDescent="0.25">
      <c r="A735" s="34"/>
    </row>
    <row r="736" spans="1:1" ht="15.75" customHeight="1" x14ac:dyDescent="0.25">
      <c r="A736" s="34"/>
    </row>
    <row r="737" spans="1:1" ht="15.75" customHeight="1" x14ac:dyDescent="0.25">
      <c r="A737" s="34"/>
    </row>
    <row r="738" spans="1:1" ht="15.75" customHeight="1" x14ac:dyDescent="0.25">
      <c r="A738" s="34"/>
    </row>
    <row r="739" spans="1:1" ht="15.75" customHeight="1" x14ac:dyDescent="0.25">
      <c r="A739" s="34"/>
    </row>
    <row r="740" spans="1:1" ht="15.75" customHeight="1" x14ac:dyDescent="0.25">
      <c r="A740" s="34"/>
    </row>
    <row r="741" spans="1:1" ht="15.75" customHeight="1" x14ac:dyDescent="0.25">
      <c r="A741" s="34"/>
    </row>
    <row r="742" spans="1:1" ht="15.75" customHeight="1" x14ac:dyDescent="0.25">
      <c r="A742" s="34"/>
    </row>
    <row r="743" spans="1:1" ht="15.75" customHeight="1" x14ac:dyDescent="0.25">
      <c r="A743" s="34"/>
    </row>
    <row r="744" spans="1:1" ht="15.75" customHeight="1" x14ac:dyDescent="0.25">
      <c r="A744" s="34"/>
    </row>
    <row r="745" spans="1:1" ht="15.75" customHeight="1" x14ac:dyDescent="0.25">
      <c r="A745" s="34"/>
    </row>
    <row r="746" spans="1:1" ht="15.75" customHeight="1" x14ac:dyDescent="0.25">
      <c r="A746" s="34"/>
    </row>
    <row r="747" spans="1:1" ht="15.75" customHeight="1" x14ac:dyDescent="0.25">
      <c r="A747" s="34"/>
    </row>
    <row r="748" spans="1:1" ht="15.75" customHeight="1" x14ac:dyDescent="0.25">
      <c r="A748" s="34"/>
    </row>
    <row r="749" spans="1:1" ht="15.75" customHeight="1" x14ac:dyDescent="0.25">
      <c r="A749" s="34"/>
    </row>
    <row r="750" spans="1:1" ht="15.75" customHeight="1" x14ac:dyDescent="0.25">
      <c r="A750" s="34"/>
    </row>
    <row r="751" spans="1:1" ht="15.75" customHeight="1" x14ac:dyDescent="0.25">
      <c r="A751" s="34"/>
    </row>
    <row r="752" spans="1:1" ht="15.75" customHeight="1" x14ac:dyDescent="0.25">
      <c r="A752" s="34"/>
    </row>
    <row r="753" spans="1:1" ht="15.75" customHeight="1" x14ac:dyDescent="0.25">
      <c r="A753" s="34"/>
    </row>
    <row r="754" spans="1:1" ht="15.75" customHeight="1" x14ac:dyDescent="0.25">
      <c r="A754" s="34"/>
    </row>
    <row r="755" spans="1:1" ht="15.75" customHeight="1" x14ac:dyDescent="0.25">
      <c r="A755" s="34"/>
    </row>
    <row r="756" spans="1:1" ht="15.75" customHeight="1" x14ac:dyDescent="0.25">
      <c r="A756" s="34"/>
    </row>
    <row r="757" spans="1:1" ht="15.75" customHeight="1" x14ac:dyDescent="0.25">
      <c r="A757" s="34"/>
    </row>
    <row r="758" spans="1:1" ht="15.75" customHeight="1" x14ac:dyDescent="0.25">
      <c r="A758" s="34"/>
    </row>
    <row r="759" spans="1:1" ht="15.75" customHeight="1" x14ac:dyDescent="0.25">
      <c r="A759" s="34"/>
    </row>
    <row r="760" spans="1:1" ht="15.75" customHeight="1" x14ac:dyDescent="0.25">
      <c r="A760" s="34"/>
    </row>
    <row r="761" spans="1:1" ht="15.75" customHeight="1" x14ac:dyDescent="0.25">
      <c r="A761" s="34"/>
    </row>
    <row r="762" spans="1:1" ht="15.75" customHeight="1" x14ac:dyDescent="0.25">
      <c r="A762" s="34"/>
    </row>
    <row r="763" spans="1:1" ht="15.75" customHeight="1" x14ac:dyDescent="0.25">
      <c r="A763" s="34"/>
    </row>
    <row r="764" spans="1:1" ht="15.75" customHeight="1" x14ac:dyDescent="0.25">
      <c r="A764" s="34"/>
    </row>
    <row r="765" spans="1:1" ht="15.75" customHeight="1" x14ac:dyDescent="0.25">
      <c r="A765" s="34"/>
    </row>
    <row r="766" spans="1:1" ht="15.75" customHeight="1" x14ac:dyDescent="0.25">
      <c r="A766" s="34"/>
    </row>
    <row r="767" spans="1:1" ht="15.75" customHeight="1" x14ac:dyDescent="0.25">
      <c r="A767" s="34"/>
    </row>
    <row r="768" spans="1:1" ht="15.75" customHeight="1" x14ac:dyDescent="0.25">
      <c r="A768" s="34"/>
    </row>
    <row r="769" spans="1:1" ht="15.75" customHeight="1" x14ac:dyDescent="0.25">
      <c r="A769" s="34"/>
    </row>
    <row r="770" spans="1:1" ht="15.75" customHeight="1" x14ac:dyDescent="0.25">
      <c r="A770" s="34"/>
    </row>
    <row r="771" spans="1:1" ht="15.75" customHeight="1" x14ac:dyDescent="0.25">
      <c r="A771" s="34"/>
    </row>
    <row r="772" spans="1:1" ht="15.75" customHeight="1" x14ac:dyDescent="0.25">
      <c r="A772" s="34"/>
    </row>
    <row r="773" spans="1:1" ht="15.75" customHeight="1" x14ac:dyDescent="0.25">
      <c r="A773" s="34"/>
    </row>
    <row r="774" spans="1:1" ht="15.75" customHeight="1" x14ac:dyDescent="0.25">
      <c r="A774" s="34"/>
    </row>
    <row r="775" spans="1:1" ht="15.75" customHeight="1" x14ac:dyDescent="0.25">
      <c r="A775" s="34"/>
    </row>
    <row r="776" spans="1:1" ht="15.75" customHeight="1" x14ac:dyDescent="0.25">
      <c r="A776" s="34"/>
    </row>
    <row r="777" spans="1:1" ht="15.75" customHeight="1" x14ac:dyDescent="0.25">
      <c r="A777" s="34"/>
    </row>
    <row r="778" spans="1:1" ht="15.75" customHeight="1" x14ac:dyDescent="0.25">
      <c r="A778" s="34"/>
    </row>
    <row r="779" spans="1:1" ht="15.75" customHeight="1" x14ac:dyDescent="0.25">
      <c r="A779" s="34"/>
    </row>
    <row r="780" spans="1:1" ht="15.75" customHeight="1" x14ac:dyDescent="0.25">
      <c r="A780" s="34"/>
    </row>
  </sheetData>
  <mergeCells count="9">
    <mergeCell ref="L13:M13"/>
    <mergeCell ref="L14:M14"/>
    <mergeCell ref="B17:C17"/>
    <mergeCell ref="I13:J13"/>
    <mergeCell ref="B14:D14"/>
    <mergeCell ref="F14:G14"/>
    <mergeCell ref="I14:J14"/>
    <mergeCell ref="B15:C15"/>
    <mergeCell ref="B16:C16"/>
  </mergeCells>
  <dataValidations count="1">
    <dataValidation type="list" allowBlank="1" showErrorMessage="1" sqref="D1 D11" xr:uid="{00000000-0002-0000-0000-000000000000}">
      <formula1>#REF!</formula1>
    </dataValidation>
  </dataValidations>
  <pageMargins left="0.511811024" right="0.511811024" top="0.78740157499999996" bottom="0.78740157499999996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440"/>
  <sheetViews>
    <sheetView showGridLines="0" tabSelected="1" topLeftCell="C1" zoomScale="65" zoomScaleNormal="65" workbookViewId="0">
      <selection activeCell="I428" sqref="I428"/>
    </sheetView>
  </sheetViews>
  <sheetFormatPr defaultColWidth="14.42578125" defaultRowHeight="15.75" x14ac:dyDescent="0.25"/>
  <cols>
    <col min="1" max="1" width="3.42578125" style="25" customWidth="1"/>
    <col min="2" max="2" width="7.85546875" style="25" customWidth="1"/>
    <col min="3" max="3" width="125.85546875" style="25" customWidth="1"/>
    <col min="4" max="4" width="22" style="25" customWidth="1"/>
    <col min="5" max="6" width="13.42578125" style="25" customWidth="1"/>
    <col min="7" max="7" width="32.140625" style="25" customWidth="1"/>
    <col min="8" max="8" width="32.140625" style="224" customWidth="1"/>
    <col min="9" max="9" width="47.42578125" style="25" customWidth="1"/>
    <col min="10" max="10" width="6.28515625" style="25" customWidth="1"/>
    <col min="11" max="12" width="32.42578125" style="25" customWidth="1"/>
    <col min="13" max="13" width="2.85546875" customWidth="1"/>
    <col min="14" max="14" width="9.42578125" style="223" customWidth="1"/>
    <col min="15" max="15" width="2.85546875" customWidth="1"/>
    <col min="16" max="18" width="32.42578125" style="25" customWidth="1"/>
    <col min="19" max="19" width="9.140625" customWidth="1"/>
    <col min="20" max="20" width="54.28515625" customWidth="1"/>
    <col min="21" max="22" width="37.42578125" style="5" customWidth="1"/>
    <col min="23" max="23" width="33.140625" customWidth="1"/>
    <col min="24" max="25" width="24.85546875" style="3" customWidth="1"/>
    <col min="26" max="26" width="33.85546875" customWidth="1"/>
    <col min="27" max="27" width="37" customWidth="1"/>
    <col min="28" max="28" width="8.85546875" customWidth="1"/>
    <col min="29" max="29" width="30.42578125" style="3" customWidth="1"/>
    <col min="30" max="30" width="20.140625" style="3" customWidth="1"/>
    <col min="31" max="31" width="54.28515625" customWidth="1"/>
    <col min="32" max="33" width="37.42578125" style="5" customWidth="1"/>
    <col min="34" max="34" width="33.140625" customWidth="1"/>
    <col min="35" max="35" width="33.85546875" customWidth="1"/>
    <col min="36" max="36" width="37" bestFit="1" customWidth="1"/>
    <col min="37" max="38" width="21.28515625" style="3" customWidth="1"/>
    <col min="39" max="40" width="24.85546875" style="3" customWidth="1"/>
    <col min="41" max="42" width="30.140625" style="3" customWidth="1"/>
    <col min="43" max="43" width="27" style="4" customWidth="1"/>
    <col min="44" max="55" width="32.42578125" style="25" customWidth="1"/>
    <col min="56" max="62" width="9.140625" style="25" customWidth="1"/>
    <col min="63" max="16384" width="14.42578125" style="25"/>
  </cols>
  <sheetData>
    <row r="1" spans="2:43" ht="18.75" thickBot="1" x14ac:dyDescent="0.3">
      <c r="B1" s="64"/>
      <c r="C1" s="72"/>
      <c r="D1" s="71"/>
      <c r="E1" s="70"/>
      <c r="F1" s="70"/>
      <c r="G1" s="69"/>
      <c r="H1" s="69"/>
      <c r="I1" s="62"/>
      <c r="K1" s="62"/>
      <c r="L1" s="182"/>
      <c r="M1" s="1"/>
      <c r="N1" s="28"/>
      <c r="O1" s="1"/>
      <c r="P1" s="182"/>
      <c r="Q1" s="182"/>
      <c r="R1" s="182"/>
      <c r="S1" s="1"/>
      <c r="T1" s="1"/>
      <c r="U1" s="2"/>
      <c r="V1" s="2"/>
      <c r="W1" s="1"/>
      <c r="Z1" s="1"/>
      <c r="AA1" s="1"/>
      <c r="AE1" s="1"/>
      <c r="AF1" s="2"/>
      <c r="AG1" s="2"/>
      <c r="AH1" s="1"/>
      <c r="AI1" s="1"/>
      <c r="AJ1" s="1"/>
    </row>
    <row r="2" spans="2:43" ht="18" x14ac:dyDescent="0.25">
      <c r="B2" s="59"/>
      <c r="C2" s="156"/>
      <c r="D2" s="157"/>
      <c r="E2" s="158"/>
      <c r="F2" s="158"/>
      <c r="G2" s="159"/>
      <c r="H2" s="58"/>
      <c r="I2" s="57" t="s">
        <v>277</v>
      </c>
      <c r="K2" s="143"/>
      <c r="L2" s="142"/>
      <c r="M2" s="1"/>
      <c r="N2" s="28"/>
      <c r="O2" s="1"/>
      <c r="P2" s="142"/>
      <c r="Q2" s="142"/>
      <c r="R2" s="142"/>
      <c r="S2" s="1"/>
      <c r="T2" s="1"/>
      <c r="U2" s="2"/>
      <c r="V2" s="2"/>
      <c r="W2" s="1"/>
      <c r="Z2" s="1"/>
      <c r="AA2" s="1"/>
      <c r="AE2" s="1"/>
      <c r="AF2" s="2"/>
      <c r="AG2" s="2"/>
      <c r="AH2" s="1"/>
      <c r="AI2" s="1"/>
      <c r="AJ2" s="1"/>
    </row>
    <row r="3" spans="2:43" ht="18" x14ac:dyDescent="0.25">
      <c r="B3" s="55"/>
      <c r="C3" s="160"/>
      <c r="D3" s="161"/>
      <c r="E3" s="40"/>
      <c r="F3" s="162"/>
      <c r="G3" s="66"/>
      <c r="H3" s="54" t="s">
        <v>1</v>
      </c>
      <c r="I3" s="53">
        <f>RESUMO!D2</f>
        <v>0</v>
      </c>
      <c r="K3" s="136"/>
      <c r="L3" s="136"/>
      <c r="M3" s="1"/>
      <c r="N3" s="28"/>
      <c r="O3" s="1"/>
      <c r="P3" s="136"/>
      <c r="Q3" s="136"/>
      <c r="R3" s="136"/>
      <c r="S3" s="1"/>
      <c r="T3" s="1"/>
      <c r="U3" s="2"/>
      <c r="V3" s="2"/>
      <c r="W3" s="1"/>
      <c r="Z3" s="1"/>
      <c r="AA3" s="1"/>
      <c r="AE3" s="1"/>
      <c r="AF3" s="2"/>
      <c r="AG3" s="2"/>
      <c r="AH3" s="1"/>
      <c r="AI3" s="1"/>
      <c r="AJ3" s="1"/>
    </row>
    <row r="4" spans="2:43" ht="18" x14ac:dyDescent="0.25">
      <c r="B4" s="55"/>
      <c r="C4" s="160"/>
      <c r="D4" s="163"/>
      <c r="E4" s="164"/>
      <c r="F4" s="163"/>
      <c r="G4" s="164"/>
      <c r="H4" s="54" t="s">
        <v>2</v>
      </c>
      <c r="I4" s="53">
        <f>RESUMO!D3</f>
        <v>0</v>
      </c>
      <c r="K4" s="141"/>
      <c r="L4" s="140"/>
      <c r="M4" s="1"/>
      <c r="N4" s="28"/>
      <c r="O4" s="1"/>
      <c r="P4" s="140"/>
      <c r="Q4" s="140"/>
      <c r="R4" s="140"/>
      <c r="S4" s="1"/>
      <c r="T4" s="1"/>
      <c r="U4" s="2"/>
      <c r="V4" s="2"/>
      <c r="W4" s="1"/>
      <c r="Z4" s="1"/>
      <c r="AA4" s="1"/>
      <c r="AE4" s="1"/>
      <c r="AF4" s="2"/>
      <c r="AG4" s="2"/>
      <c r="AH4" s="1"/>
      <c r="AI4" s="1"/>
      <c r="AJ4" s="1"/>
    </row>
    <row r="5" spans="2:43" ht="18" x14ac:dyDescent="0.25">
      <c r="B5" s="55"/>
      <c r="C5" s="160"/>
      <c r="D5" s="163"/>
      <c r="E5" s="164"/>
      <c r="F5" s="163"/>
      <c r="G5" s="164"/>
      <c r="H5" s="54" t="s">
        <v>3</v>
      </c>
      <c r="I5" s="53">
        <f>RESUMO!D4</f>
        <v>0</v>
      </c>
      <c r="K5" s="137"/>
      <c r="L5" s="136"/>
      <c r="M5" s="1"/>
      <c r="N5" s="28"/>
      <c r="O5" s="1"/>
      <c r="P5" s="136"/>
      <c r="Q5" s="136"/>
      <c r="R5" s="136"/>
      <c r="S5" s="1"/>
      <c r="T5" s="1"/>
      <c r="U5" s="2"/>
      <c r="V5" s="2"/>
      <c r="W5" s="1"/>
      <c r="Z5" s="1"/>
      <c r="AA5" s="1"/>
      <c r="AE5" s="1"/>
      <c r="AF5" s="2"/>
      <c r="AG5" s="2"/>
      <c r="AH5" s="1"/>
      <c r="AI5" s="1"/>
      <c r="AJ5" s="1"/>
    </row>
    <row r="6" spans="2:43" ht="18" x14ac:dyDescent="0.25">
      <c r="B6" s="55"/>
      <c r="C6" s="160"/>
      <c r="D6" s="163"/>
      <c r="E6" s="164"/>
      <c r="F6" s="163"/>
      <c r="G6" s="164"/>
      <c r="H6" s="54" t="s">
        <v>4</v>
      </c>
      <c r="I6" s="53">
        <f>RESUMO!D5</f>
        <v>0</v>
      </c>
      <c r="K6" s="139"/>
      <c r="L6" s="138"/>
      <c r="M6" s="1"/>
      <c r="N6" s="28"/>
      <c r="O6" s="1"/>
      <c r="P6" s="138"/>
      <c r="Q6" s="138"/>
      <c r="R6" s="138"/>
      <c r="S6" s="1"/>
      <c r="T6" s="1"/>
      <c r="U6" s="2"/>
      <c r="V6" s="2"/>
      <c r="W6" s="1"/>
      <c r="Z6" s="1"/>
      <c r="AA6" s="1"/>
      <c r="AE6" s="1"/>
      <c r="AF6" s="2"/>
      <c r="AG6" s="2"/>
      <c r="AH6" s="1"/>
      <c r="AI6" s="1"/>
      <c r="AJ6" s="1"/>
    </row>
    <row r="7" spans="2:43" ht="18" x14ac:dyDescent="0.25">
      <c r="B7" s="55"/>
      <c r="C7" s="160"/>
      <c r="D7" s="161"/>
      <c r="E7" s="40"/>
      <c r="F7" s="40"/>
      <c r="G7" s="66"/>
      <c r="H7" s="54" t="s">
        <v>5</v>
      </c>
      <c r="I7" s="53">
        <f>RESUMO!D6</f>
        <v>0</v>
      </c>
      <c r="K7" s="137"/>
      <c r="L7" s="136"/>
      <c r="M7" s="1"/>
      <c r="N7" s="28"/>
      <c r="O7" s="1"/>
      <c r="P7" s="136"/>
      <c r="Q7" s="136"/>
      <c r="R7" s="136"/>
      <c r="S7" s="1"/>
      <c r="T7" s="1"/>
      <c r="U7" s="2"/>
      <c r="V7" s="2"/>
      <c r="W7" s="1"/>
      <c r="Z7" s="1"/>
      <c r="AA7" s="1"/>
      <c r="AE7" s="1"/>
      <c r="AF7" s="2"/>
      <c r="AG7" s="2"/>
      <c r="AH7" s="1"/>
      <c r="AI7" s="1"/>
      <c r="AJ7" s="1"/>
    </row>
    <row r="8" spans="2:43" ht="18" x14ac:dyDescent="0.25">
      <c r="B8" s="55"/>
      <c r="C8" s="160"/>
      <c r="D8" s="163"/>
      <c r="E8" s="164"/>
      <c r="F8" s="40"/>
      <c r="G8" s="66"/>
      <c r="H8" s="54" t="s">
        <v>6</v>
      </c>
      <c r="I8" s="53">
        <f>RESUMO!D7</f>
        <v>0</v>
      </c>
      <c r="K8" s="139"/>
      <c r="L8" s="138"/>
      <c r="M8" s="1"/>
      <c r="N8" s="28"/>
      <c r="O8" s="1"/>
      <c r="P8" s="138"/>
      <c r="Q8" s="138"/>
      <c r="R8" s="138"/>
      <c r="S8" s="1"/>
      <c r="T8" s="1"/>
      <c r="U8" s="2"/>
      <c r="V8" s="2"/>
      <c r="W8" s="1"/>
      <c r="Z8" s="1"/>
      <c r="AA8" s="1"/>
      <c r="AE8" s="1"/>
      <c r="AF8" s="2"/>
      <c r="AG8" s="2"/>
      <c r="AH8" s="1"/>
      <c r="AI8" s="1"/>
      <c r="AJ8" s="1"/>
    </row>
    <row r="9" spans="2:43" ht="18.75" thickBot="1" x14ac:dyDescent="0.3">
      <c r="B9" s="55"/>
      <c r="C9" s="160"/>
      <c r="D9" s="163"/>
      <c r="E9" s="164"/>
      <c r="F9" s="40"/>
      <c r="G9" s="66"/>
      <c r="H9" s="54" t="s">
        <v>7</v>
      </c>
      <c r="I9" s="53">
        <f>RESUMO!D8</f>
        <v>0</v>
      </c>
      <c r="K9" s="341"/>
      <c r="L9" s="341"/>
      <c r="M9" s="1"/>
      <c r="N9" s="28"/>
      <c r="O9" s="1"/>
      <c r="P9" s="341"/>
      <c r="Q9" s="341"/>
      <c r="R9" s="216"/>
      <c r="S9" s="1"/>
      <c r="T9" s="1"/>
      <c r="U9" s="2"/>
      <c r="V9" s="2"/>
      <c r="W9" s="1"/>
      <c r="Z9" s="1"/>
      <c r="AA9" s="1"/>
      <c r="AE9" s="1"/>
      <c r="AF9" s="2"/>
      <c r="AG9" s="2"/>
      <c r="AH9" s="1"/>
      <c r="AI9" s="1"/>
      <c r="AJ9" s="1"/>
    </row>
    <row r="10" spans="2:43" ht="18.75" thickBot="1" x14ac:dyDescent="0.3">
      <c r="B10" s="55"/>
      <c r="C10" s="160"/>
      <c r="D10" s="163"/>
      <c r="E10" s="164"/>
      <c r="F10" s="40"/>
      <c r="G10" s="66"/>
      <c r="H10" s="54" t="s">
        <v>82</v>
      </c>
      <c r="I10" s="53">
        <f>RESUMO!D9</f>
        <v>0</v>
      </c>
      <c r="K10" s="137"/>
      <c r="L10" s="136"/>
      <c r="M10" s="1"/>
      <c r="N10" s="28"/>
      <c r="O10" s="1"/>
      <c r="P10" s="136"/>
      <c r="Q10" s="136"/>
      <c r="R10" s="136"/>
      <c r="S10" s="1"/>
      <c r="T10" s="1"/>
      <c r="U10" s="2"/>
      <c r="V10" s="229" t="s">
        <v>524</v>
      </c>
      <c r="W10" s="230">
        <v>0.02</v>
      </c>
      <c r="Z10" s="1"/>
      <c r="AA10" s="1"/>
      <c r="AE10" s="1"/>
      <c r="AF10" s="2"/>
      <c r="AG10" s="229" t="s">
        <v>524</v>
      </c>
      <c r="AH10" s="1"/>
      <c r="AI10" s="1"/>
      <c r="AJ10" s="1"/>
    </row>
    <row r="11" spans="2:43" ht="33.75" customHeight="1" thickBot="1" x14ac:dyDescent="0.3">
      <c r="B11" s="55"/>
      <c r="C11" s="160"/>
      <c r="D11" s="163"/>
      <c r="E11" s="164"/>
      <c r="F11" s="40"/>
      <c r="G11" s="66"/>
      <c r="H11" s="54" t="s">
        <v>81</v>
      </c>
      <c r="I11" s="53">
        <f>RESUMO!D10</f>
        <v>0</v>
      </c>
      <c r="K11" s="137"/>
      <c r="L11" s="136"/>
      <c r="M11" s="6"/>
      <c r="N11" s="29"/>
      <c r="O11" s="6"/>
      <c r="P11" s="136"/>
      <c r="Q11" s="136"/>
      <c r="R11" s="136"/>
      <c r="S11" s="6"/>
      <c r="T11" s="1"/>
      <c r="U11" s="2"/>
      <c r="V11" s="346" t="s">
        <v>876</v>
      </c>
      <c r="W11" s="347"/>
      <c r="Z11" s="1"/>
      <c r="AA11" s="1"/>
      <c r="AE11" s="1"/>
      <c r="AF11" s="2"/>
      <c r="AG11" s="2"/>
      <c r="AH11" s="1"/>
      <c r="AI11" s="1"/>
      <c r="AJ11" s="1"/>
    </row>
    <row r="12" spans="2:43" ht="18.75" thickBot="1" x14ac:dyDescent="0.3">
      <c r="B12" s="55"/>
      <c r="C12" s="160"/>
      <c r="D12" s="163"/>
      <c r="E12" s="164"/>
      <c r="F12" s="40"/>
      <c r="G12" s="66"/>
      <c r="H12" s="54"/>
      <c r="I12" s="53"/>
      <c r="K12" s="137"/>
      <c r="L12" s="136"/>
      <c r="M12" s="7"/>
      <c r="N12" s="33"/>
      <c r="O12" s="7"/>
      <c r="P12" s="136"/>
      <c r="Q12" s="136"/>
      <c r="R12" s="136"/>
      <c r="S12" s="7"/>
      <c r="T12" s="1"/>
      <c r="U12" s="2"/>
      <c r="V12" s="136"/>
      <c r="W12" s="136"/>
      <c r="Z12" s="1"/>
      <c r="AA12" s="1"/>
      <c r="AE12" s="1"/>
      <c r="AF12" s="2"/>
      <c r="AG12" s="231" t="s">
        <v>525</v>
      </c>
      <c r="AH12" s="1"/>
      <c r="AI12" s="1"/>
      <c r="AJ12" s="1"/>
    </row>
    <row r="13" spans="2:43" ht="18.75" thickBot="1" x14ac:dyDescent="0.3">
      <c r="B13" s="52"/>
      <c r="C13" s="51"/>
      <c r="D13" s="183"/>
      <c r="E13" s="184"/>
      <c r="F13" s="185"/>
      <c r="G13" s="186"/>
      <c r="H13" s="187"/>
      <c r="I13" s="188">
        <f>I428</f>
        <v>0</v>
      </c>
      <c r="K13" s="135"/>
      <c r="L13" s="134"/>
      <c r="M13" s="7"/>
      <c r="N13" s="33"/>
      <c r="O13" s="7"/>
      <c r="P13" s="134"/>
      <c r="Q13" s="134"/>
      <c r="R13" s="134"/>
      <c r="S13" s="7"/>
      <c r="T13" s="1"/>
      <c r="U13" s="2"/>
      <c r="V13" s="2"/>
      <c r="W13" s="1"/>
      <c r="Z13" s="1"/>
      <c r="AA13" s="1"/>
      <c r="AE13" s="1"/>
      <c r="AF13" s="2"/>
      <c r="AG13" s="2"/>
      <c r="AH13" s="1"/>
      <c r="AI13" s="1"/>
      <c r="AJ13" s="1"/>
    </row>
    <row r="14" spans="2:43" ht="47.25" x14ac:dyDescent="0.25">
      <c r="B14" s="321" t="s">
        <v>8</v>
      </c>
      <c r="C14" s="322" t="s">
        <v>9</v>
      </c>
      <c r="D14" s="322" t="s">
        <v>276</v>
      </c>
      <c r="E14" s="323" t="s">
        <v>10</v>
      </c>
      <c r="F14" s="323" t="s">
        <v>11</v>
      </c>
      <c r="G14" s="324" t="s">
        <v>12</v>
      </c>
      <c r="H14" s="324" t="s">
        <v>13</v>
      </c>
      <c r="I14" s="325" t="s">
        <v>14</v>
      </c>
      <c r="K14" s="339" t="s">
        <v>15</v>
      </c>
      <c r="L14" s="340"/>
      <c r="M14" s="11"/>
      <c r="N14" s="33"/>
      <c r="O14" s="11"/>
      <c r="P14" s="345" t="s">
        <v>505</v>
      </c>
      <c r="Q14" s="345"/>
      <c r="R14" s="345"/>
      <c r="S14" s="11"/>
      <c r="T14" s="342" t="s">
        <v>66</v>
      </c>
      <c r="U14" s="343"/>
      <c r="V14" s="343"/>
      <c r="W14" s="343"/>
      <c r="X14" s="343"/>
      <c r="Y14" s="343"/>
      <c r="Z14" s="343"/>
      <c r="AA14" s="344"/>
      <c r="AC14" s="342" t="s">
        <v>69</v>
      </c>
      <c r="AD14" s="343"/>
      <c r="AE14" s="343"/>
      <c r="AF14" s="343"/>
      <c r="AG14" s="343"/>
      <c r="AH14" s="343"/>
      <c r="AI14" s="343"/>
      <c r="AJ14" s="343"/>
      <c r="AK14" s="343"/>
      <c r="AL14" s="343"/>
      <c r="AM14" s="343"/>
      <c r="AN14" s="343"/>
      <c r="AO14" s="343"/>
      <c r="AP14" s="343"/>
      <c r="AQ14" s="344"/>
    </row>
    <row r="15" spans="2:43" ht="38.25" x14ac:dyDescent="0.25">
      <c r="B15" s="165">
        <v>1</v>
      </c>
      <c r="C15" s="87" t="s">
        <v>275</v>
      </c>
      <c r="D15" s="87"/>
      <c r="E15" s="87"/>
      <c r="F15" s="87"/>
      <c r="G15" s="87"/>
      <c r="H15" s="87"/>
      <c r="I15" s="166">
        <f>SUM(H16:H25)</f>
        <v>0</v>
      </c>
      <c r="K15" s="99" t="s">
        <v>75</v>
      </c>
      <c r="L15" s="98" t="str">
        <f>RESUMO!G$15</f>
        <v>30 DIAS</v>
      </c>
      <c r="M15" s="11"/>
      <c r="N15" s="33"/>
      <c r="O15" s="11"/>
      <c r="P15" s="218" t="s">
        <v>506</v>
      </c>
      <c r="Q15" s="218" t="s">
        <v>507</v>
      </c>
      <c r="R15" s="218" t="s">
        <v>508</v>
      </c>
      <c r="S15" s="11"/>
      <c r="T15" s="144" t="s">
        <v>22</v>
      </c>
      <c r="U15" s="145" t="s">
        <v>23</v>
      </c>
      <c r="V15" s="146" t="s">
        <v>523</v>
      </c>
      <c r="W15" s="146" t="s">
        <v>24</v>
      </c>
      <c r="X15" s="333" t="s">
        <v>68</v>
      </c>
      <c r="Y15" s="334"/>
      <c r="Z15" s="147" t="s">
        <v>25</v>
      </c>
      <c r="AA15" s="147" t="s">
        <v>26</v>
      </c>
      <c r="AB15" s="148"/>
      <c r="AC15" s="149" t="s">
        <v>16</v>
      </c>
      <c r="AD15" s="149" t="s">
        <v>17</v>
      </c>
      <c r="AE15" s="150" t="s">
        <v>22</v>
      </c>
      <c r="AF15" s="151" t="s">
        <v>23</v>
      </c>
      <c r="AG15" s="146" t="s">
        <v>523</v>
      </c>
      <c r="AH15" s="152" t="s">
        <v>24</v>
      </c>
      <c r="AI15" s="153" t="s">
        <v>25</v>
      </c>
      <c r="AJ15" s="153" t="s">
        <v>26</v>
      </c>
      <c r="AK15" s="149" t="s">
        <v>18</v>
      </c>
      <c r="AL15" s="149" t="s">
        <v>67</v>
      </c>
      <c r="AM15" s="333" t="s">
        <v>68</v>
      </c>
      <c r="AN15" s="334"/>
      <c r="AO15" s="149" t="s">
        <v>19</v>
      </c>
      <c r="AP15" s="149" t="s">
        <v>20</v>
      </c>
      <c r="AQ15" s="154" t="s">
        <v>21</v>
      </c>
    </row>
    <row r="16" spans="2:43" ht="31.5" x14ac:dyDescent="0.25">
      <c r="B16" s="167" t="s">
        <v>27</v>
      </c>
      <c r="C16" s="133" t="s">
        <v>274</v>
      </c>
      <c r="D16" s="93" t="s">
        <v>84</v>
      </c>
      <c r="E16" s="92">
        <v>1</v>
      </c>
      <c r="F16" s="92">
        <v>1</v>
      </c>
      <c r="G16" s="91">
        <v>0</v>
      </c>
      <c r="H16" s="90">
        <f t="shared" ref="H16:H23" si="0">E16*F16*G16</f>
        <v>0</v>
      </c>
      <c r="I16" s="168"/>
      <c r="J16" s="84"/>
      <c r="K16" s="95">
        <v>0</v>
      </c>
      <c r="L16" s="127">
        <f t="shared" ref="L16:L25" si="1">H16</f>
        <v>0</v>
      </c>
      <c r="M16" s="11"/>
      <c r="N16" s="33"/>
      <c r="O16" s="11"/>
      <c r="P16" s="219"/>
      <c r="Q16" s="219"/>
      <c r="R16" s="219"/>
      <c r="S16" s="11"/>
      <c r="T16" s="20"/>
      <c r="U16" s="21">
        <v>0</v>
      </c>
      <c r="V16" s="21">
        <v>0</v>
      </c>
      <c r="W16" s="21">
        <f>(H16-U16)-V16</f>
        <v>0</v>
      </c>
      <c r="X16" s="22">
        <v>1</v>
      </c>
      <c r="Y16" s="23">
        <f>W16-(W16*X16)</f>
        <v>0</v>
      </c>
      <c r="Z16" s="234">
        <f t="shared" ref="Z16:Z25" si="2">U16*0%</f>
        <v>0</v>
      </c>
      <c r="AA16" s="21">
        <f>(W16+Z16)-Y16</f>
        <v>0</v>
      </c>
      <c r="AC16" s="9"/>
      <c r="AD16" s="9" t="str">
        <f t="shared" ref="AD16:AD25" si="3">B16</f>
        <v>1.1</v>
      </c>
      <c r="AE16" s="27">
        <f t="shared" ref="AE16:AE25" si="4">T16</f>
        <v>0</v>
      </c>
      <c r="AF16" s="21">
        <f t="shared" ref="AF16:AF25" si="5">U16</f>
        <v>0</v>
      </c>
      <c r="AG16" s="21">
        <v>0</v>
      </c>
      <c r="AH16" s="21">
        <f>H16-AF16</f>
        <v>0</v>
      </c>
      <c r="AI16" s="21">
        <f>AF16*10%</f>
        <v>0</v>
      </c>
      <c r="AJ16" s="21">
        <f>AN16+AI16</f>
        <v>0</v>
      </c>
      <c r="AK16" s="9" t="s">
        <v>57</v>
      </c>
      <c r="AL16" s="9" t="s">
        <v>57</v>
      </c>
      <c r="AM16" s="22">
        <v>0</v>
      </c>
      <c r="AN16" s="23">
        <f>(AH16-(AH16*AM16))</f>
        <v>0</v>
      </c>
      <c r="AO16" s="9"/>
      <c r="AP16" s="26">
        <v>0</v>
      </c>
      <c r="AQ16" s="9"/>
    </row>
    <row r="17" spans="2:43" ht="31.5" x14ac:dyDescent="0.25">
      <c r="B17" s="167" t="s">
        <v>28</v>
      </c>
      <c r="C17" s="133" t="s">
        <v>511</v>
      </c>
      <c r="D17" s="93" t="s">
        <v>87</v>
      </c>
      <c r="E17" s="92">
        <v>1</v>
      </c>
      <c r="F17" s="92">
        <v>1</v>
      </c>
      <c r="G17" s="91">
        <v>0</v>
      </c>
      <c r="H17" s="90">
        <f t="shared" si="0"/>
        <v>0</v>
      </c>
      <c r="I17" s="169"/>
      <c r="J17" s="84"/>
      <c r="K17" s="95">
        <v>0</v>
      </c>
      <c r="L17" s="127">
        <f t="shared" si="1"/>
        <v>0</v>
      </c>
      <c r="M17" s="7"/>
      <c r="N17" s="33"/>
      <c r="O17" s="7"/>
      <c r="P17" s="219"/>
      <c r="Q17" s="219"/>
      <c r="R17" s="219"/>
      <c r="S17" s="7"/>
      <c r="T17" s="20"/>
      <c r="U17" s="21">
        <v>0</v>
      </c>
      <c r="V17" s="21">
        <v>0</v>
      </c>
      <c r="W17" s="21">
        <f t="shared" ref="W17:W24" si="6">(H17-U17)-V17</f>
        <v>0</v>
      </c>
      <c r="X17" s="22">
        <v>1</v>
      </c>
      <c r="Y17" s="23">
        <f>W17-(W17*X17)</f>
        <v>0</v>
      </c>
      <c r="Z17" s="234">
        <f t="shared" si="2"/>
        <v>0</v>
      </c>
      <c r="AA17" s="21">
        <f t="shared" ref="AA17:AA79" si="7">(W17+Z17)-Y17</f>
        <v>0</v>
      </c>
      <c r="AC17" s="9"/>
      <c r="AD17" s="9" t="str">
        <f t="shared" si="3"/>
        <v>1.2</v>
      </c>
      <c r="AE17" s="27">
        <f t="shared" si="4"/>
        <v>0</v>
      </c>
      <c r="AF17" s="21">
        <f t="shared" si="5"/>
        <v>0</v>
      </c>
      <c r="AG17" s="21">
        <v>0</v>
      </c>
      <c r="AH17" s="21">
        <f t="shared" ref="AH17:AH42" si="8">H17-AF17</f>
        <v>0</v>
      </c>
      <c r="AI17" s="21">
        <f t="shared" ref="AI17:AI25" si="9">AF17*10%</f>
        <v>0</v>
      </c>
      <c r="AJ17" s="21">
        <f t="shared" ref="AJ17:AJ25" si="10">AN17+AI17</f>
        <v>0</v>
      </c>
      <c r="AK17" s="9" t="s">
        <v>57</v>
      </c>
      <c r="AL17" s="9" t="s">
        <v>57</v>
      </c>
      <c r="AM17" s="22">
        <v>0</v>
      </c>
      <c r="AN17" s="23">
        <f t="shared" ref="AN17:AN25" si="11">(AH17-(AH17*AM17))</f>
        <v>0</v>
      </c>
      <c r="AO17" s="9"/>
      <c r="AP17" s="26">
        <v>0</v>
      </c>
      <c r="AQ17" s="9"/>
    </row>
    <row r="18" spans="2:43" ht="31.5" x14ac:dyDescent="0.25">
      <c r="B18" s="167" t="s">
        <v>29</v>
      </c>
      <c r="C18" s="133" t="s">
        <v>273</v>
      </c>
      <c r="D18" s="93" t="s">
        <v>84</v>
      </c>
      <c r="E18" s="92">
        <v>1</v>
      </c>
      <c r="F18" s="92">
        <v>1</v>
      </c>
      <c r="G18" s="91">
        <v>0</v>
      </c>
      <c r="H18" s="90">
        <f t="shared" si="0"/>
        <v>0</v>
      </c>
      <c r="I18" s="168"/>
      <c r="J18" s="84"/>
      <c r="K18" s="95">
        <v>0</v>
      </c>
      <c r="L18" s="127">
        <f t="shared" si="1"/>
        <v>0</v>
      </c>
      <c r="M18" s="11"/>
      <c r="N18" s="33"/>
      <c r="O18" s="11"/>
      <c r="P18" s="219"/>
      <c r="Q18" s="219"/>
      <c r="R18" s="219"/>
      <c r="S18" s="11"/>
      <c r="T18" s="20"/>
      <c r="U18" s="21">
        <v>0</v>
      </c>
      <c r="V18" s="21">
        <v>0</v>
      </c>
      <c r="W18" s="21">
        <f t="shared" si="6"/>
        <v>0</v>
      </c>
      <c r="X18" s="22">
        <v>1</v>
      </c>
      <c r="Y18" s="23">
        <f>W18-(W18*X18)</f>
        <v>0</v>
      </c>
      <c r="Z18" s="234">
        <f t="shared" si="2"/>
        <v>0</v>
      </c>
      <c r="AA18" s="21">
        <f t="shared" si="7"/>
        <v>0</v>
      </c>
      <c r="AC18" s="9"/>
      <c r="AD18" s="9" t="str">
        <f t="shared" si="3"/>
        <v>1.3</v>
      </c>
      <c r="AE18" s="27">
        <f t="shared" si="4"/>
        <v>0</v>
      </c>
      <c r="AF18" s="21">
        <f t="shared" si="5"/>
        <v>0</v>
      </c>
      <c r="AG18" s="21">
        <v>0</v>
      </c>
      <c r="AH18" s="21">
        <f t="shared" si="8"/>
        <v>0</v>
      </c>
      <c r="AI18" s="21">
        <f t="shared" si="9"/>
        <v>0</v>
      </c>
      <c r="AJ18" s="21">
        <f t="shared" si="10"/>
        <v>0</v>
      </c>
      <c r="AK18" s="9" t="s">
        <v>57</v>
      </c>
      <c r="AL18" s="9" t="s">
        <v>57</v>
      </c>
      <c r="AM18" s="22">
        <v>0</v>
      </c>
      <c r="AN18" s="23">
        <f t="shared" si="11"/>
        <v>0</v>
      </c>
      <c r="AO18" s="9"/>
      <c r="AP18" s="26">
        <v>0</v>
      </c>
      <c r="AQ18" s="9"/>
    </row>
    <row r="19" spans="2:43" ht="31.5" x14ac:dyDescent="0.25">
      <c r="B19" s="167" t="s">
        <v>272</v>
      </c>
      <c r="C19" s="133" t="s">
        <v>271</v>
      </c>
      <c r="D19" s="93" t="s">
        <v>84</v>
      </c>
      <c r="E19" s="92">
        <v>1</v>
      </c>
      <c r="F19" s="92">
        <v>1</v>
      </c>
      <c r="G19" s="91">
        <v>0</v>
      </c>
      <c r="H19" s="90">
        <f t="shared" si="0"/>
        <v>0</v>
      </c>
      <c r="I19" s="168"/>
      <c r="J19" s="84"/>
      <c r="K19" s="95">
        <v>0</v>
      </c>
      <c r="L19" s="127">
        <f t="shared" si="1"/>
        <v>0</v>
      </c>
      <c r="M19" s="11"/>
      <c r="N19" s="33"/>
      <c r="O19" s="11"/>
      <c r="P19" s="219"/>
      <c r="Q19" s="219"/>
      <c r="R19" s="219"/>
      <c r="S19" s="11"/>
      <c r="T19" s="20"/>
      <c r="U19" s="21">
        <v>0</v>
      </c>
      <c r="V19" s="21">
        <v>0</v>
      </c>
      <c r="W19" s="21">
        <f t="shared" si="6"/>
        <v>0</v>
      </c>
      <c r="X19" s="22">
        <v>1</v>
      </c>
      <c r="Y19" s="23">
        <f>W19-(W19*X19)</f>
        <v>0</v>
      </c>
      <c r="Z19" s="234">
        <f t="shared" si="2"/>
        <v>0</v>
      </c>
      <c r="AA19" s="21">
        <f t="shared" si="7"/>
        <v>0</v>
      </c>
      <c r="AC19" s="9"/>
      <c r="AD19" s="9" t="str">
        <f t="shared" si="3"/>
        <v>1.4</v>
      </c>
      <c r="AE19" s="27">
        <f t="shared" si="4"/>
        <v>0</v>
      </c>
      <c r="AF19" s="21">
        <f t="shared" si="5"/>
        <v>0</v>
      </c>
      <c r="AG19" s="21">
        <v>0</v>
      </c>
      <c r="AH19" s="21">
        <f t="shared" si="8"/>
        <v>0</v>
      </c>
      <c r="AI19" s="21">
        <f t="shared" si="9"/>
        <v>0</v>
      </c>
      <c r="AJ19" s="21">
        <f t="shared" si="10"/>
        <v>0</v>
      </c>
      <c r="AK19" s="9" t="s">
        <v>57</v>
      </c>
      <c r="AL19" s="9" t="s">
        <v>57</v>
      </c>
      <c r="AM19" s="22">
        <v>0</v>
      </c>
      <c r="AN19" s="23">
        <f t="shared" si="11"/>
        <v>0</v>
      </c>
      <c r="AO19" s="9"/>
      <c r="AP19" s="26">
        <v>0</v>
      </c>
      <c r="AQ19" s="9"/>
    </row>
    <row r="20" spans="2:43" ht="31.5" x14ac:dyDescent="0.25">
      <c r="B20" s="167" t="s">
        <v>270</v>
      </c>
      <c r="C20" s="133" t="s">
        <v>269</v>
      </c>
      <c r="D20" s="93" t="s">
        <v>84</v>
      </c>
      <c r="E20" s="92">
        <v>1</v>
      </c>
      <c r="F20" s="92">
        <v>1</v>
      </c>
      <c r="G20" s="91">
        <v>0</v>
      </c>
      <c r="H20" s="90">
        <f t="shared" si="0"/>
        <v>0</v>
      </c>
      <c r="I20" s="168"/>
      <c r="J20" s="84"/>
      <c r="K20" s="95">
        <v>0</v>
      </c>
      <c r="L20" s="127">
        <f t="shared" si="1"/>
        <v>0</v>
      </c>
      <c r="M20" s="12"/>
      <c r="N20" s="33"/>
      <c r="O20" s="12"/>
      <c r="P20" s="219"/>
      <c r="Q20" s="219"/>
      <c r="R20" s="219"/>
      <c r="S20" s="12"/>
      <c r="T20" s="20"/>
      <c r="U20" s="21">
        <v>0</v>
      </c>
      <c r="V20" s="21">
        <v>0</v>
      </c>
      <c r="W20" s="21">
        <f t="shared" si="6"/>
        <v>0</v>
      </c>
      <c r="X20" s="22">
        <v>1</v>
      </c>
      <c r="Y20" s="23">
        <f t="shared" ref="Y20:Y53" si="12">W20-(W20*X20)</f>
        <v>0</v>
      </c>
      <c r="Z20" s="234">
        <f t="shared" si="2"/>
        <v>0</v>
      </c>
      <c r="AA20" s="21">
        <f t="shared" si="7"/>
        <v>0</v>
      </c>
      <c r="AC20" s="9"/>
      <c r="AD20" s="9" t="str">
        <f t="shared" si="3"/>
        <v>1.5</v>
      </c>
      <c r="AE20" s="27">
        <f t="shared" si="4"/>
        <v>0</v>
      </c>
      <c r="AF20" s="21">
        <f t="shared" si="5"/>
        <v>0</v>
      </c>
      <c r="AG20" s="21">
        <v>0</v>
      </c>
      <c r="AH20" s="21">
        <f t="shared" si="8"/>
        <v>0</v>
      </c>
      <c r="AI20" s="21">
        <f t="shared" si="9"/>
        <v>0</v>
      </c>
      <c r="AJ20" s="21">
        <f t="shared" si="10"/>
        <v>0</v>
      </c>
      <c r="AK20" s="9" t="s">
        <v>57</v>
      </c>
      <c r="AL20" s="9" t="s">
        <v>57</v>
      </c>
      <c r="AM20" s="22">
        <v>0</v>
      </c>
      <c r="AN20" s="23">
        <f t="shared" si="11"/>
        <v>0</v>
      </c>
      <c r="AO20" s="9"/>
      <c r="AP20" s="26">
        <v>0</v>
      </c>
      <c r="AQ20" s="9"/>
    </row>
    <row r="21" spans="2:43" ht="31.5" x14ac:dyDescent="0.25">
      <c r="B21" s="167" t="s">
        <v>268</v>
      </c>
      <c r="C21" s="133" t="s">
        <v>267</v>
      </c>
      <c r="D21" s="93" t="s">
        <v>84</v>
      </c>
      <c r="E21" s="92">
        <v>1</v>
      </c>
      <c r="F21" s="92">
        <v>1</v>
      </c>
      <c r="G21" s="91">
        <v>0</v>
      </c>
      <c r="H21" s="90">
        <f t="shared" si="0"/>
        <v>0</v>
      </c>
      <c r="I21" s="168"/>
      <c r="J21" s="84"/>
      <c r="K21" s="95">
        <v>0</v>
      </c>
      <c r="L21" s="127">
        <f t="shared" si="1"/>
        <v>0</v>
      </c>
      <c r="M21" s="13"/>
      <c r="N21" s="33"/>
      <c r="O21" s="13"/>
      <c r="P21" s="219"/>
      <c r="Q21" s="219"/>
      <c r="R21" s="219"/>
      <c r="S21" s="13"/>
      <c r="T21" s="20"/>
      <c r="U21" s="21">
        <v>0</v>
      </c>
      <c r="V21" s="21">
        <v>0</v>
      </c>
      <c r="W21" s="21">
        <f t="shared" si="6"/>
        <v>0</v>
      </c>
      <c r="X21" s="22">
        <v>1</v>
      </c>
      <c r="Y21" s="23">
        <f t="shared" si="12"/>
        <v>0</v>
      </c>
      <c r="Z21" s="234">
        <f t="shared" si="2"/>
        <v>0</v>
      </c>
      <c r="AA21" s="21">
        <f t="shared" si="7"/>
        <v>0</v>
      </c>
      <c r="AC21" s="9"/>
      <c r="AD21" s="9" t="str">
        <f t="shared" si="3"/>
        <v>1.6</v>
      </c>
      <c r="AE21" s="27">
        <f t="shared" si="4"/>
        <v>0</v>
      </c>
      <c r="AF21" s="21">
        <f t="shared" si="5"/>
        <v>0</v>
      </c>
      <c r="AG21" s="21">
        <v>0</v>
      </c>
      <c r="AH21" s="21">
        <f t="shared" si="8"/>
        <v>0</v>
      </c>
      <c r="AI21" s="21">
        <f t="shared" si="9"/>
        <v>0</v>
      </c>
      <c r="AJ21" s="21">
        <f t="shared" si="10"/>
        <v>0</v>
      </c>
      <c r="AK21" s="9" t="s">
        <v>57</v>
      </c>
      <c r="AL21" s="9" t="s">
        <v>57</v>
      </c>
      <c r="AM21" s="22">
        <v>0</v>
      </c>
      <c r="AN21" s="23">
        <f t="shared" si="11"/>
        <v>0</v>
      </c>
      <c r="AO21" s="9"/>
      <c r="AP21" s="26">
        <v>0</v>
      </c>
      <c r="AQ21" s="9"/>
    </row>
    <row r="22" spans="2:43" ht="31.5" x14ac:dyDescent="0.25">
      <c r="B22" s="167" t="s">
        <v>266</v>
      </c>
      <c r="C22" s="133" t="s">
        <v>265</v>
      </c>
      <c r="D22" s="93" t="s">
        <v>84</v>
      </c>
      <c r="E22" s="92">
        <v>1</v>
      </c>
      <c r="F22" s="92">
        <v>1</v>
      </c>
      <c r="G22" s="91">
        <v>0</v>
      </c>
      <c r="H22" s="90">
        <f t="shared" si="0"/>
        <v>0</v>
      </c>
      <c r="I22" s="168"/>
      <c r="J22" s="84"/>
      <c r="K22" s="95">
        <v>0</v>
      </c>
      <c r="L22" s="127">
        <f t="shared" si="1"/>
        <v>0</v>
      </c>
      <c r="M22" s="12"/>
      <c r="N22" s="155"/>
      <c r="O22" s="12"/>
      <c r="P22" s="219"/>
      <c r="Q22" s="219"/>
      <c r="R22" s="219"/>
      <c r="S22" s="12"/>
      <c r="T22" s="20"/>
      <c r="U22" s="21">
        <v>0</v>
      </c>
      <c r="V22" s="21">
        <v>0</v>
      </c>
      <c r="W22" s="21">
        <f t="shared" si="6"/>
        <v>0</v>
      </c>
      <c r="X22" s="22">
        <v>1</v>
      </c>
      <c r="Y22" s="23">
        <f t="shared" si="12"/>
        <v>0</v>
      </c>
      <c r="Z22" s="234">
        <f t="shared" si="2"/>
        <v>0</v>
      </c>
      <c r="AA22" s="21">
        <f t="shared" si="7"/>
        <v>0</v>
      </c>
      <c r="AC22" s="9"/>
      <c r="AD22" s="9" t="str">
        <f t="shared" si="3"/>
        <v>1.7</v>
      </c>
      <c r="AE22" s="27">
        <f t="shared" si="4"/>
        <v>0</v>
      </c>
      <c r="AF22" s="21">
        <f t="shared" si="5"/>
        <v>0</v>
      </c>
      <c r="AG22" s="21">
        <v>0</v>
      </c>
      <c r="AH22" s="21">
        <f t="shared" si="8"/>
        <v>0</v>
      </c>
      <c r="AI22" s="21">
        <f t="shared" si="9"/>
        <v>0</v>
      </c>
      <c r="AJ22" s="21">
        <f t="shared" si="10"/>
        <v>0</v>
      </c>
      <c r="AK22" s="9" t="s">
        <v>57</v>
      </c>
      <c r="AL22" s="9" t="s">
        <v>57</v>
      </c>
      <c r="AM22" s="22">
        <v>0</v>
      </c>
      <c r="AN22" s="23">
        <f t="shared" si="11"/>
        <v>0</v>
      </c>
      <c r="AO22" s="9"/>
      <c r="AP22" s="26">
        <v>0</v>
      </c>
      <c r="AQ22" s="9"/>
    </row>
    <row r="23" spans="2:43" ht="29.1" customHeight="1" x14ac:dyDescent="0.25">
      <c r="B23" s="167" t="s">
        <v>264</v>
      </c>
      <c r="C23" s="133" t="s">
        <v>263</v>
      </c>
      <c r="D23" s="93" t="s">
        <v>84</v>
      </c>
      <c r="E23" s="92">
        <v>1</v>
      </c>
      <c r="F23" s="92">
        <v>1</v>
      </c>
      <c r="G23" s="91">
        <v>0</v>
      </c>
      <c r="H23" s="90">
        <f t="shared" si="0"/>
        <v>0</v>
      </c>
      <c r="I23" s="168"/>
      <c r="J23" s="84"/>
      <c r="K23" s="95">
        <v>0</v>
      </c>
      <c r="L23" s="127">
        <f t="shared" si="1"/>
        <v>0</v>
      </c>
      <c r="M23" s="11"/>
      <c r="N23" s="29"/>
      <c r="O23" s="11"/>
      <c r="P23" s="219"/>
      <c r="Q23" s="219"/>
      <c r="R23" s="219"/>
      <c r="S23" s="11"/>
      <c r="T23" s="20"/>
      <c r="U23" s="21">
        <v>0</v>
      </c>
      <c r="V23" s="21">
        <v>0</v>
      </c>
      <c r="W23" s="21">
        <f t="shared" si="6"/>
        <v>0</v>
      </c>
      <c r="X23" s="22">
        <v>1</v>
      </c>
      <c r="Y23" s="23">
        <f t="shared" si="12"/>
        <v>0</v>
      </c>
      <c r="Z23" s="234">
        <f t="shared" si="2"/>
        <v>0</v>
      </c>
      <c r="AA23" s="21">
        <f t="shared" si="7"/>
        <v>0</v>
      </c>
      <c r="AC23" s="9"/>
      <c r="AD23" s="9" t="str">
        <f t="shared" si="3"/>
        <v>1.8</v>
      </c>
      <c r="AE23" s="27">
        <f t="shared" si="4"/>
        <v>0</v>
      </c>
      <c r="AF23" s="21">
        <f t="shared" si="5"/>
        <v>0</v>
      </c>
      <c r="AG23" s="21">
        <v>0</v>
      </c>
      <c r="AH23" s="21">
        <f t="shared" si="8"/>
        <v>0</v>
      </c>
      <c r="AI23" s="21">
        <f t="shared" si="9"/>
        <v>0</v>
      </c>
      <c r="AJ23" s="21">
        <f t="shared" si="10"/>
        <v>0</v>
      </c>
      <c r="AK23" s="9" t="s">
        <v>57</v>
      </c>
      <c r="AL23" s="9" t="s">
        <v>57</v>
      </c>
      <c r="AM23" s="22">
        <v>0</v>
      </c>
      <c r="AN23" s="23">
        <f t="shared" si="11"/>
        <v>0</v>
      </c>
      <c r="AO23" s="9"/>
      <c r="AP23" s="26">
        <v>0</v>
      </c>
      <c r="AQ23" s="9"/>
    </row>
    <row r="24" spans="2:43" ht="33.950000000000003" customHeight="1" x14ac:dyDescent="0.25">
      <c r="B24" s="167" t="s">
        <v>262</v>
      </c>
      <c r="C24" s="133" t="s">
        <v>261</v>
      </c>
      <c r="D24" s="93" t="s">
        <v>84</v>
      </c>
      <c r="E24" s="92">
        <v>1</v>
      </c>
      <c r="F24" s="92">
        <v>1</v>
      </c>
      <c r="G24" s="91">
        <v>0</v>
      </c>
      <c r="H24" s="90">
        <f t="shared" ref="H24" si="13">E24*F24*G24</f>
        <v>0</v>
      </c>
      <c r="I24" s="168"/>
      <c r="J24" s="84"/>
      <c r="K24" s="95">
        <v>0</v>
      </c>
      <c r="L24" s="127">
        <f t="shared" ref="L24" si="14">H24</f>
        <v>0</v>
      </c>
      <c r="M24" s="11"/>
      <c r="N24" s="33"/>
      <c r="O24" s="11"/>
      <c r="P24" s="219"/>
      <c r="Q24" s="219"/>
      <c r="R24" s="219"/>
      <c r="S24" s="11"/>
      <c r="T24" s="20"/>
      <c r="U24" s="21">
        <v>0</v>
      </c>
      <c r="V24" s="21">
        <v>0</v>
      </c>
      <c r="W24" s="21">
        <f t="shared" si="6"/>
        <v>0</v>
      </c>
      <c r="X24" s="22">
        <v>1</v>
      </c>
      <c r="Y24" s="23">
        <f t="shared" si="12"/>
        <v>0</v>
      </c>
      <c r="Z24" s="234">
        <f t="shared" si="2"/>
        <v>0</v>
      </c>
      <c r="AA24" s="21">
        <f t="shared" si="7"/>
        <v>0</v>
      </c>
      <c r="AC24" s="9"/>
      <c r="AD24" s="9" t="str">
        <f t="shared" si="3"/>
        <v>1.9</v>
      </c>
      <c r="AE24" s="27">
        <f t="shared" si="4"/>
        <v>0</v>
      </c>
      <c r="AF24" s="21">
        <f t="shared" si="5"/>
        <v>0</v>
      </c>
      <c r="AG24" s="21">
        <v>0</v>
      </c>
      <c r="AH24" s="21">
        <f t="shared" si="8"/>
        <v>0</v>
      </c>
      <c r="AI24" s="21">
        <f t="shared" ref="AI24" si="15">AF24*10%</f>
        <v>0</v>
      </c>
      <c r="AJ24" s="21">
        <f t="shared" ref="AJ24" si="16">AN24+AI24</f>
        <v>0</v>
      </c>
      <c r="AK24" s="9" t="s">
        <v>57</v>
      </c>
      <c r="AL24" s="9" t="s">
        <v>57</v>
      </c>
      <c r="AM24" s="22">
        <v>0</v>
      </c>
      <c r="AN24" s="23">
        <f t="shared" ref="AN24" si="17">(AH24-(AH24*AM24))</f>
        <v>0</v>
      </c>
      <c r="AO24" s="9"/>
      <c r="AP24" s="26">
        <v>0</v>
      </c>
      <c r="AQ24" s="9"/>
    </row>
    <row r="25" spans="2:43" ht="31.5" x14ac:dyDescent="0.25">
      <c r="B25" s="167" t="s">
        <v>294</v>
      </c>
      <c r="C25" s="103" t="s">
        <v>259</v>
      </c>
      <c r="D25" s="93" t="s">
        <v>86</v>
      </c>
      <c r="E25" s="92">
        <v>1</v>
      </c>
      <c r="F25" s="92">
        <v>1</v>
      </c>
      <c r="G25" s="91">
        <v>0</v>
      </c>
      <c r="H25" s="131" t="s">
        <v>257</v>
      </c>
      <c r="I25" s="168"/>
      <c r="J25" s="84"/>
      <c r="K25" s="95">
        <v>0</v>
      </c>
      <c r="L25" s="130" t="str">
        <f t="shared" si="1"/>
        <v>RESPONSABILIDADE CLIENTE</v>
      </c>
      <c r="M25" s="11"/>
      <c r="N25" s="33"/>
      <c r="O25" s="11"/>
      <c r="P25" s="219"/>
      <c r="Q25" s="219"/>
      <c r="R25" s="219"/>
      <c r="S25" s="11"/>
      <c r="T25" s="20" t="str">
        <f>L25</f>
        <v>RESPONSABILIDADE CLIENTE</v>
      </c>
      <c r="U25" s="21">
        <v>0</v>
      </c>
      <c r="V25" s="21">
        <v>0</v>
      </c>
      <c r="W25" s="21">
        <v>0</v>
      </c>
      <c r="X25" s="22">
        <v>1</v>
      </c>
      <c r="Y25" s="23">
        <f t="shared" si="12"/>
        <v>0</v>
      </c>
      <c r="Z25" s="234">
        <f t="shared" si="2"/>
        <v>0</v>
      </c>
      <c r="AA25" s="21">
        <f t="shared" si="7"/>
        <v>0</v>
      </c>
      <c r="AC25" s="9"/>
      <c r="AD25" s="9" t="str">
        <f t="shared" si="3"/>
        <v>1.10</v>
      </c>
      <c r="AE25" s="27" t="str">
        <f t="shared" si="4"/>
        <v>RESPONSABILIDADE CLIENTE</v>
      </c>
      <c r="AF25" s="21">
        <f t="shared" si="5"/>
        <v>0</v>
      </c>
      <c r="AG25" s="21">
        <v>0</v>
      </c>
      <c r="AH25" s="21"/>
      <c r="AI25" s="21">
        <f t="shared" si="9"/>
        <v>0</v>
      </c>
      <c r="AJ25" s="21">
        <f t="shared" si="10"/>
        <v>0</v>
      </c>
      <c r="AK25" s="9" t="s">
        <v>57</v>
      </c>
      <c r="AL25" s="9" t="s">
        <v>57</v>
      </c>
      <c r="AM25" s="22">
        <v>0</v>
      </c>
      <c r="AN25" s="23">
        <f t="shared" si="11"/>
        <v>0</v>
      </c>
      <c r="AO25" s="9"/>
      <c r="AP25" s="26">
        <v>0</v>
      </c>
      <c r="AQ25" s="9"/>
    </row>
    <row r="26" spans="2:43" ht="38.25" x14ac:dyDescent="0.25">
      <c r="B26" s="165">
        <v>2</v>
      </c>
      <c r="C26" s="87" t="s">
        <v>293</v>
      </c>
      <c r="D26" s="87"/>
      <c r="E26" s="87"/>
      <c r="F26" s="87"/>
      <c r="G26" s="87"/>
      <c r="H26" s="87"/>
      <c r="I26" s="166">
        <f>SUM(H27:H42)</f>
        <v>0</v>
      </c>
      <c r="J26" s="84"/>
      <c r="K26" s="99" t="s">
        <v>75</v>
      </c>
      <c r="L26" s="98" t="str">
        <f>L$15</f>
        <v>30 DIAS</v>
      </c>
      <c r="M26" s="7"/>
      <c r="N26" s="32"/>
      <c r="O26" s="7"/>
      <c r="P26" s="218" t="s">
        <v>506</v>
      </c>
      <c r="Q26" s="218" t="s">
        <v>507</v>
      </c>
      <c r="R26" s="218" t="s">
        <v>508</v>
      </c>
      <c r="S26" s="7"/>
      <c r="T26" s="144" t="s">
        <v>22</v>
      </c>
      <c r="U26" s="145" t="s">
        <v>23</v>
      </c>
      <c r="V26" s="146" t="s">
        <v>523</v>
      </c>
      <c r="W26" s="146" t="s">
        <v>24</v>
      </c>
      <c r="X26" s="333" t="s">
        <v>68</v>
      </c>
      <c r="Y26" s="334"/>
      <c r="Z26" s="147" t="s">
        <v>25</v>
      </c>
      <c r="AA26" s="147" t="s">
        <v>26</v>
      </c>
      <c r="AB26" s="148"/>
      <c r="AC26" s="149" t="s">
        <v>16</v>
      </c>
      <c r="AD26" s="149" t="s">
        <v>17</v>
      </c>
      <c r="AE26" s="150" t="s">
        <v>22</v>
      </c>
      <c r="AF26" s="151" t="s">
        <v>23</v>
      </c>
      <c r="AG26" s="146" t="s">
        <v>523</v>
      </c>
      <c r="AH26" s="152" t="s">
        <v>24</v>
      </c>
      <c r="AI26" s="153" t="s">
        <v>25</v>
      </c>
      <c r="AJ26" s="153" t="s">
        <v>26</v>
      </c>
      <c r="AK26" s="149" t="s">
        <v>18</v>
      </c>
      <c r="AL26" s="149" t="s">
        <v>67</v>
      </c>
      <c r="AM26" s="333" t="s">
        <v>68</v>
      </c>
      <c r="AN26" s="334"/>
      <c r="AO26" s="149" t="s">
        <v>19</v>
      </c>
      <c r="AP26" s="149" t="s">
        <v>20</v>
      </c>
      <c r="AQ26" s="154" t="s">
        <v>21</v>
      </c>
    </row>
    <row r="27" spans="2:43" ht="56.25" customHeight="1" x14ac:dyDescent="0.25">
      <c r="B27" s="167" t="s">
        <v>30</v>
      </c>
      <c r="C27" s="104" t="s">
        <v>258</v>
      </c>
      <c r="D27" s="93" t="s">
        <v>86</v>
      </c>
      <c r="E27" s="92">
        <v>1</v>
      </c>
      <c r="F27" s="92">
        <v>1</v>
      </c>
      <c r="G27" s="132">
        <v>0</v>
      </c>
      <c r="H27" s="131" t="s">
        <v>257</v>
      </c>
      <c r="I27" s="168"/>
      <c r="J27" s="84"/>
      <c r="K27" s="95">
        <v>0</v>
      </c>
      <c r="L27" s="130" t="str">
        <f>H27</f>
        <v>RESPONSABILIDADE CLIENTE</v>
      </c>
      <c r="M27" s="8"/>
      <c r="N27" s="33"/>
      <c r="O27" s="8"/>
      <c r="P27" s="219"/>
      <c r="Q27" s="219"/>
      <c r="R27" s="219"/>
      <c r="S27" s="8"/>
      <c r="T27" s="20" t="str">
        <f t="shared" ref="T27" si="18">L27</f>
        <v>RESPONSABILIDADE CLIENTE</v>
      </c>
      <c r="U27" s="21">
        <v>0</v>
      </c>
      <c r="V27" s="21">
        <v>0</v>
      </c>
      <c r="W27" s="21">
        <v>0</v>
      </c>
      <c r="X27" s="22">
        <v>1</v>
      </c>
      <c r="Y27" s="23">
        <f t="shared" si="12"/>
        <v>0</v>
      </c>
      <c r="Z27" s="21">
        <f t="shared" ref="Z27:Z42" si="19">U27*10%</f>
        <v>0</v>
      </c>
      <c r="AA27" s="21">
        <f t="shared" si="7"/>
        <v>0</v>
      </c>
      <c r="AC27" s="9"/>
      <c r="AD27" s="9" t="str">
        <f t="shared" ref="AD27:AD42" si="20">B27</f>
        <v>2.1</v>
      </c>
      <c r="AE27" s="27" t="str">
        <f t="shared" ref="AE27:AE42" si="21">T27</f>
        <v>RESPONSABILIDADE CLIENTE</v>
      </c>
      <c r="AF27" s="21">
        <f t="shared" ref="AF27:AF42" si="22">U27</f>
        <v>0</v>
      </c>
      <c r="AG27" s="21">
        <v>0</v>
      </c>
      <c r="AH27" s="21"/>
      <c r="AI27" s="21">
        <f t="shared" ref="AI27" si="23">AF27*10%</f>
        <v>0</v>
      </c>
      <c r="AJ27" s="21">
        <f t="shared" ref="AJ27" si="24">AN27+AI27</f>
        <v>0</v>
      </c>
      <c r="AK27" s="9" t="s">
        <v>57</v>
      </c>
      <c r="AL27" s="9" t="s">
        <v>57</v>
      </c>
      <c r="AM27" s="22">
        <v>0</v>
      </c>
      <c r="AN27" s="23">
        <f t="shared" ref="AN27" si="25">(AH27-(AH27*AM27))</f>
        <v>0</v>
      </c>
      <c r="AO27" s="9"/>
      <c r="AP27" s="26">
        <v>0</v>
      </c>
      <c r="AQ27" s="9"/>
    </row>
    <row r="28" spans="2:43" ht="78.75" x14ac:dyDescent="0.25">
      <c r="B28" s="167" t="s">
        <v>31</v>
      </c>
      <c r="C28" s="96" t="s">
        <v>569</v>
      </c>
      <c r="D28" s="93" t="s">
        <v>87</v>
      </c>
      <c r="E28" s="92">
        <v>1</v>
      </c>
      <c r="F28" s="92">
        <v>1</v>
      </c>
      <c r="G28" s="91">
        <v>0</v>
      </c>
      <c r="H28" s="90">
        <f t="shared" ref="H28:H39" si="26">E28*F28*G28</f>
        <v>0</v>
      </c>
      <c r="I28" s="168"/>
      <c r="J28" s="84"/>
      <c r="K28" s="101">
        <v>0</v>
      </c>
      <c r="L28" s="88">
        <f t="shared" ref="L28:L39" si="27">H28</f>
        <v>0</v>
      </c>
      <c r="M28" s="1"/>
      <c r="N28" s="28"/>
      <c r="O28" s="1"/>
      <c r="P28" s="220"/>
      <c r="Q28" s="220"/>
      <c r="R28" s="220"/>
      <c r="S28" s="1"/>
      <c r="T28" s="20"/>
      <c r="U28" s="21">
        <v>0</v>
      </c>
      <c r="V28" s="21">
        <v>0</v>
      </c>
      <c r="W28" s="21">
        <f t="shared" ref="W28:W54" si="28">(H28-U28)-V28</f>
        <v>0</v>
      </c>
      <c r="X28" s="22">
        <v>1</v>
      </c>
      <c r="Y28" s="23">
        <f t="shared" si="12"/>
        <v>0</v>
      </c>
      <c r="Z28" s="21">
        <f t="shared" si="19"/>
        <v>0</v>
      </c>
      <c r="AA28" s="21">
        <f t="shared" si="7"/>
        <v>0</v>
      </c>
      <c r="AC28" s="9"/>
      <c r="AD28" s="9" t="str">
        <f t="shared" si="20"/>
        <v>2.2</v>
      </c>
      <c r="AE28" s="27">
        <f t="shared" si="21"/>
        <v>0</v>
      </c>
      <c r="AF28" s="21">
        <f t="shared" si="22"/>
        <v>0</v>
      </c>
      <c r="AG28" s="21">
        <v>0</v>
      </c>
      <c r="AH28" s="21">
        <f t="shared" si="8"/>
        <v>0</v>
      </c>
      <c r="AI28" s="21">
        <f t="shared" ref="AI28:AI42" si="29">AF28*10%</f>
        <v>0</v>
      </c>
      <c r="AJ28" s="21">
        <f t="shared" ref="AJ28:AJ42" si="30">AN28+AI28</f>
        <v>0</v>
      </c>
      <c r="AK28" s="9" t="s">
        <v>57</v>
      </c>
      <c r="AL28" s="9" t="s">
        <v>57</v>
      </c>
      <c r="AM28" s="22">
        <v>0</v>
      </c>
      <c r="AN28" s="23">
        <f t="shared" ref="AN28:AN42" si="31">(AH28-(AH28*AM28))</f>
        <v>0</v>
      </c>
      <c r="AO28" s="9"/>
      <c r="AP28" s="26">
        <v>0</v>
      </c>
      <c r="AQ28" s="9"/>
    </row>
    <row r="29" spans="2:43" ht="94.5" x14ac:dyDescent="0.25">
      <c r="B29" s="167" t="s">
        <v>32</v>
      </c>
      <c r="C29" s="96" t="s">
        <v>570</v>
      </c>
      <c r="D29" s="93" t="s">
        <v>87</v>
      </c>
      <c r="E29" s="92">
        <v>1</v>
      </c>
      <c r="F29" s="92">
        <v>1</v>
      </c>
      <c r="G29" s="91">
        <v>0</v>
      </c>
      <c r="H29" s="90">
        <f t="shared" si="26"/>
        <v>0</v>
      </c>
      <c r="I29" s="168"/>
      <c r="J29" s="84"/>
      <c r="K29" s="101">
        <v>0</v>
      </c>
      <c r="L29" s="88">
        <f t="shared" si="27"/>
        <v>0</v>
      </c>
      <c r="M29" s="1"/>
      <c r="N29" s="28"/>
      <c r="O29" s="1"/>
      <c r="P29" s="220"/>
      <c r="Q29" s="220"/>
      <c r="R29" s="220"/>
      <c r="S29" s="1"/>
      <c r="T29" s="20"/>
      <c r="U29" s="21">
        <v>0</v>
      </c>
      <c r="V29" s="21">
        <v>0</v>
      </c>
      <c r="W29" s="21">
        <f t="shared" si="28"/>
        <v>0</v>
      </c>
      <c r="X29" s="22">
        <v>1</v>
      </c>
      <c r="Y29" s="23">
        <f t="shared" si="12"/>
        <v>0</v>
      </c>
      <c r="Z29" s="21">
        <f t="shared" si="19"/>
        <v>0</v>
      </c>
      <c r="AA29" s="21">
        <f t="shared" si="7"/>
        <v>0</v>
      </c>
      <c r="AC29" s="9"/>
      <c r="AD29" s="9" t="str">
        <f t="shared" si="20"/>
        <v>2.3</v>
      </c>
      <c r="AE29" s="27">
        <f t="shared" si="21"/>
        <v>0</v>
      </c>
      <c r="AF29" s="21">
        <f t="shared" si="22"/>
        <v>0</v>
      </c>
      <c r="AG29" s="21">
        <v>0</v>
      </c>
      <c r="AH29" s="21">
        <f t="shared" si="8"/>
        <v>0</v>
      </c>
      <c r="AI29" s="21">
        <f t="shared" si="29"/>
        <v>0</v>
      </c>
      <c r="AJ29" s="21">
        <f t="shared" si="30"/>
        <v>0</v>
      </c>
      <c r="AK29" s="9" t="s">
        <v>57</v>
      </c>
      <c r="AL29" s="9" t="s">
        <v>57</v>
      </c>
      <c r="AM29" s="22">
        <v>0</v>
      </c>
      <c r="AN29" s="23">
        <f t="shared" si="31"/>
        <v>0</v>
      </c>
      <c r="AO29" s="9"/>
      <c r="AP29" s="26">
        <v>0</v>
      </c>
      <c r="AQ29" s="9"/>
    </row>
    <row r="30" spans="2:43" ht="94.5" x14ac:dyDescent="0.25">
      <c r="B30" s="167" t="s">
        <v>33</v>
      </c>
      <c r="C30" s="96" t="s">
        <v>571</v>
      </c>
      <c r="D30" s="93" t="s">
        <v>87</v>
      </c>
      <c r="E30" s="92">
        <v>1</v>
      </c>
      <c r="F30" s="92">
        <v>1</v>
      </c>
      <c r="G30" s="91">
        <v>0</v>
      </c>
      <c r="H30" s="90">
        <f t="shared" si="26"/>
        <v>0</v>
      </c>
      <c r="I30" s="168"/>
      <c r="J30" s="84"/>
      <c r="K30" s="101">
        <v>0</v>
      </c>
      <c r="L30" s="88">
        <f t="shared" si="27"/>
        <v>0</v>
      </c>
      <c r="M30" s="1"/>
      <c r="N30" s="28"/>
      <c r="O30" s="1"/>
      <c r="P30" s="220"/>
      <c r="Q30" s="220"/>
      <c r="R30" s="220"/>
      <c r="S30" s="1"/>
      <c r="T30" s="20"/>
      <c r="U30" s="21">
        <v>0</v>
      </c>
      <c r="V30" s="21">
        <v>0</v>
      </c>
      <c r="W30" s="21">
        <f t="shared" si="28"/>
        <v>0</v>
      </c>
      <c r="X30" s="22">
        <v>1</v>
      </c>
      <c r="Y30" s="23">
        <f t="shared" si="12"/>
        <v>0</v>
      </c>
      <c r="Z30" s="21">
        <f t="shared" si="19"/>
        <v>0</v>
      </c>
      <c r="AA30" s="21">
        <f t="shared" si="7"/>
        <v>0</v>
      </c>
      <c r="AC30" s="9"/>
      <c r="AD30" s="9" t="str">
        <f t="shared" si="20"/>
        <v>2.4</v>
      </c>
      <c r="AE30" s="27">
        <f t="shared" si="21"/>
        <v>0</v>
      </c>
      <c r="AF30" s="21">
        <f t="shared" si="22"/>
        <v>0</v>
      </c>
      <c r="AG30" s="21">
        <v>0</v>
      </c>
      <c r="AH30" s="21">
        <f t="shared" si="8"/>
        <v>0</v>
      </c>
      <c r="AI30" s="21">
        <f t="shared" si="29"/>
        <v>0</v>
      </c>
      <c r="AJ30" s="21">
        <f t="shared" si="30"/>
        <v>0</v>
      </c>
      <c r="AK30" s="9" t="s">
        <v>57</v>
      </c>
      <c r="AL30" s="9" t="s">
        <v>57</v>
      </c>
      <c r="AM30" s="22">
        <v>0</v>
      </c>
      <c r="AN30" s="23">
        <f t="shared" si="31"/>
        <v>0</v>
      </c>
      <c r="AO30" s="9"/>
      <c r="AP30" s="26">
        <v>0</v>
      </c>
      <c r="AQ30" s="9"/>
    </row>
    <row r="31" spans="2:43" ht="94.5" x14ac:dyDescent="0.25">
      <c r="B31" s="167" t="s">
        <v>34</v>
      </c>
      <c r="C31" s="96" t="s">
        <v>572</v>
      </c>
      <c r="D31" s="93" t="s">
        <v>87</v>
      </c>
      <c r="E31" s="92">
        <v>1</v>
      </c>
      <c r="F31" s="92">
        <v>1</v>
      </c>
      <c r="G31" s="91">
        <v>0</v>
      </c>
      <c r="H31" s="90">
        <f t="shared" si="26"/>
        <v>0</v>
      </c>
      <c r="I31" s="168"/>
      <c r="J31" s="84"/>
      <c r="K31" s="101">
        <v>0</v>
      </c>
      <c r="L31" s="88">
        <f t="shared" si="27"/>
        <v>0</v>
      </c>
      <c r="M31" s="1"/>
      <c r="N31" s="28"/>
      <c r="O31" s="1"/>
      <c r="P31" s="220"/>
      <c r="Q31" s="220"/>
      <c r="R31" s="220"/>
      <c r="S31" s="1"/>
      <c r="T31" s="20"/>
      <c r="U31" s="21">
        <v>0</v>
      </c>
      <c r="V31" s="21">
        <v>0</v>
      </c>
      <c r="W31" s="21">
        <f t="shared" si="28"/>
        <v>0</v>
      </c>
      <c r="X31" s="22">
        <v>1</v>
      </c>
      <c r="Y31" s="23">
        <f t="shared" si="12"/>
        <v>0</v>
      </c>
      <c r="Z31" s="21">
        <f t="shared" si="19"/>
        <v>0</v>
      </c>
      <c r="AA31" s="21">
        <f t="shared" si="7"/>
        <v>0</v>
      </c>
      <c r="AC31" s="9"/>
      <c r="AD31" s="9" t="str">
        <f t="shared" si="20"/>
        <v>2.5</v>
      </c>
      <c r="AE31" s="27">
        <f t="shared" si="21"/>
        <v>0</v>
      </c>
      <c r="AF31" s="21">
        <f t="shared" si="22"/>
        <v>0</v>
      </c>
      <c r="AG31" s="21">
        <v>0</v>
      </c>
      <c r="AH31" s="21">
        <f t="shared" si="8"/>
        <v>0</v>
      </c>
      <c r="AI31" s="21">
        <f t="shared" si="29"/>
        <v>0</v>
      </c>
      <c r="AJ31" s="21">
        <f t="shared" si="30"/>
        <v>0</v>
      </c>
      <c r="AK31" s="9" t="s">
        <v>57</v>
      </c>
      <c r="AL31" s="9" t="s">
        <v>57</v>
      </c>
      <c r="AM31" s="22">
        <v>0</v>
      </c>
      <c r="AN31" s="23">
        <f t="shared" si="31"/>
        <v>0</v>
      </c>
      <c r="AO31" s="9"/>
      <c r="AP31" s="26">
        <v>0</v>
      </c>
      <c r="AQ31" s="9"/>
    </row>
    <row r="32" spans="2:43" ht="94.5" x14ac:dyDescent="0.25">
      <c r="B32" s="167" t="s">
        <v>35</v>
      </c>
      <c r="C32" s="96" t="s">
        <v>573</v>
      </c>
      <c r="D32" s="93" t="s">
        <v>87</v>
      </c>
      <c r="E32" s="92">
        <v>1</v>
      </c>
      <c r="F32" s="92">
        <v>1</v>
      </c>
      <c r="G32" s="91">
        <v>0</v>
      </c>
      <c r="H32" s="90">
        <f t="shared" si="26"/>
        <v>0</v>
      </c>
      <c r="I32" s="168"/>
      <c r="J32" s="84"/>
      <c r="K32" s="101">
        <v>0</v>
      </c>
      <c r="L32" s="88">
        <f t="shared" si="27"/>
        <v>0</v>
      </c>
      <c r="M32" s="1"/>
      <c r="N32" s="28"/>
      <c r="O32" s="1"/>
      <c r="P32" s="220"/>
      <c r="Q32" s="220"/>
      <c r="R32" s="220"/>
      <c r="S32" s="1"/>
      <c r="T32" s="20"/>
      <c r="U32" s="21">
        <v>0</v>
      </c>
      <c r="V32" s="21">
        <v>0</v>
      </c>
      <c r="W32" s="21">
        <f t="shared" si="28"/>
        <v>0</v>
      </c>
      <c r="X32" s="22">
        <v>1</v>
      </c>
      <c r="Y32" s="23">
        <f t="shared" si="12"/>
        <v>0</v>
      </c>
      <c r="Z32" s="21">
        <f t="shared" si="19"/>
        <v>0</v>
      </c>
      <c r="AA32" s="21">
        <f t="shared" si="7"/>
        <v>0</v>
      </c>
      <c r="AC32" s="9"/>
      <c r="AD32" s="9" t="str">
        <f t="shared" si="20"/>
        <v>2.6</v>
      </c>
      <c r="AE32" s="27">
        <f t="shared" si="21"/>
        <v>0</v>
      </c>
      <c r="AF32" s="21">
        <f t="shared" si="22"/>
        <v>0</v>
      </c>
      <c r="AG32" s="21">
        <v>0</v>
      </c>
      <c r="AH32" s="21">
        <f t="shared" si="8"/>
        <v>0</v>
      </c>
      <c r="AI32" s="21">
        <f t="shared" si="29"/>
        <v>0</v>
      </c>
      <c r="AJ32" s="21">
        <f t="shared" si="30"/>
        <v>0</v>
      </c>
      <c r="AK32" s="9" t="s">
        <v>57</v>
      </c>
      <c r="AL32" s="9" t="s">
        <v>57</v>
      </c>
      <c r="AM32" s="22">
        <v>0</v>
      </c>
      <c r="AN32" s="23">
        <f t="shared" si="31"/>
        <v>0</v>
      </c>
      <c r="AO32" s="9"/>
      <c r="AP32" s="26">
        <v>0</v>
      </c>
      <c r="AQ32" s="9"/>
    </row>
    <row r="33" spans="2:43" ht="94.5" x14ac:dyDescent="0.25">
      <c r="B33" s="167" t="s">
        <v>36</v>
      </c>
      <c r="C33" s="96" t="s">
        <v>574</v>
      </c>
      <c r="D33" s="93" t="s">
        <v>87</v>
      </c>
      <c r="E33" s="92">
        <v>1</v>
      </c>
      <c r="F33" s="92">
        <v>1</v>
      </c>
      <c r="G33" s="91">
        <v>0</v>
      </c>
      <c r="H33" s="90">
        <f t="shared" si="26"/>
        <v>0</v>
      </c>
      <c r="I33" s="168"/>
      <c r="J33" s="84"/>
      <c r="K33" s="101">
        <v>0</v>
      </c>
      <c r="L33" s="88">
        <f t="shared" si="27"/>
        <v>0</v>
      </c>
      <c r="M33" s="8"/>
      <c r="N33" s="29"/>
      <c r="O33" s="8"/>
      <c r="P33" s="220"/>
      <c r="Q33" s="220"/>
      <c r="R33" s="220"/>
      <c r="S33" s="8"/>
      <c r="T33" s="20"/>
      <c r="U33" s="21">
        <v>0</v>
      </c>
      <c r="V33" s="21">
        <v>0</v>
      </c>
      <c r="W33" s="21">
        <f t="shared" si="28"/>
        <v>0</v>
      </c>
      <c r="X33" s="22">
        <v>1</v>
      </c>
      <c r="Y33" s="23">
        <f t="shared" si="12"/>
        <v>0</v>
      </c>
      <c r="Z33" s="21">
        <f t="shared" si="19"/>
        <v>0</v>
      </c>
      <c r="AA33" s="21">
        <f t="shared" si="7"/>
        <v>0</v>
      </c>
      <c r="AC33" s="9"/>
      <c r="AD33" s="9" t="str">
        <f t="shared" si="20"/>
        <v>2.7</v>
      </c>
      <c r="AE33" s="27">
        <f t="shared" si="21"/>
        <v>0</v>
      </c>
      <c r="AF33" s="21">
        <f t="shared" si="22"/>
        <v>0</v>
      </c>
      <c r="AG33" s="21">
        <v>0</v>
      </c>
      <c r="AH33" s="21">
        <f t="shared" si="8"/>
        <v>0</v>
      </c>
      <c r="AI33" s="21">
        <f t="shared" si="29"/>
        <v>0</v>
      </c>
      <c r="AJ33" s="21">
        <f t="shared" si="30"/>
        <v>0</v>
      </c>
      <c r="AK33" s="9" t="s">
        <v>57</v>
      </c>
      <c r="AL33" s="9" t="s">
        <v>57</v>
      </c>
      <c r="AM33" s="22">
        <v>0</v>
      </c>
      <c r="AN33" s="23">
        <f t="shared" si="31"/>
        <v>0</v>
      </c>
      <c r="AO33" s="9"/>
      <c r="AP33" s="26">
        <v>0</v>
      </c>
      <c r="AQ33" s="9"/>
    </row>
    <row r="34" spans="2:43" ht="94.5" x14ac:dyDescent="0.25">
      <c r="B34" s="167" t="s">
        <v>38</v>
      </c>
      <c r="C34" s="96" t="s">
        <v>575</v>
      </c>
      <c r="D34" s="93" t="s">
        <v>87</v>
      </c>
      <c r="E34" s="92">
        <v>1</v>
      </c>
      <c r="F34" s="92">
        <v>1</v>
      </c>
      <c r="G34" s="91">
        <v>0</v>
      </c>
      <c r="H34" s="90">
        <f t="shared" si="26"/>
        <v>0</v>
      </c>
      <c r="I34" s="168"/>
      <c r="J34" s="84"/>
      <c r="K34" s="101">
        <v>0</v>
      </c>
      <c r="L34" s="88">
        <f t="shared" si="27"/>
        <v>0</v>
      </c>
      <c r="M34" s="8"/>
      <c r="N34" s="29"/>
      <c r="O34" s="8"/>
      <c r="P34" s="220"/>
      <c r="Q34" s="220"/>
      <c r="R34" s="220"/>
      <c r="S34" s="8"/>
      <c r="T34" s="20"/>
      <c r="U34" s="21">
        <v>0</v>
      </c>
      <c r="V34" s="21">
        <v>0</v>
      </c>
      <c r="W34" s="21">
        <f t="shared" si="28"/>
        <v>0</v>
      </c>
      <c r="X34" s="22">
        <v>1</v>
      </c>
      <c r="Y34" s="23">
        <f t="shared" si="12"/>
        <v>0</v>
      </c>
      <c r="Z34" s="21">
        <f t="shared" si="19"/>
        <v>0</v>
      </c>
      <c r="AA34" s="21">
        <f t="shared" si="7"/>
        <v>0</v>
      </c>
      <c r="AC34" s="9"/>
      <c r="AD34" s="9" t="str">
        <f t="shared" si="20"/>
        <v>2.8</v>
      </c>
      <c r="AE34" s="27">
        <f t="shared" si="21"/>
        <v>0</v>
      </c>
      <c r="AF34" s="21">
        <f t="shared" si="22"/>
        <v>0</v>
      </c>
      <c r="AG34" s="21">
        <v>0</v>
      </c>
      <c r="AH34" s="21">
        <f t="shared" si="8"/>
        <v>0</v>
      </c>
      <c r="AI34" s="21">
        <f t="shared" si="29"/>
        <v>0</v>
      </c>
      <c r="AJ34" s="21">
        <f t="shared" si="30"/>
        <v>0</v>
      </c>
      <c r="AK34" s="9" t="s">
        <v>57</v>
      </c>
      <c r="AL34" s="9" t="s">
        <v>57</v>
      </c>
      <c r="AM34" s="22">
        <v>0</v>
      </c>
      <c r="AN34" s="23">
        <f t="shared" si="31"/>
        <v>0</v>
      </c>
      <c r="AO34" s="9"/>
      <c r="AP34" s="26">
        <v>0</v>
      </c>
      <c r="AQ34" s="9"/>
    </row>
    <row r="35" spans="2:43" ht="94.5" x14ac:dyDescent="0.25">
      <c r="B35" s="167" t="s">
        <v>37</v>
      </c>
      <c r="C35" s="96" t="s">
        <v>576</v>
      </c>
      <c r="D35" s="93" t="s">
        <v>87</v>
      </c>
      <c r="E35" s="92">
        <v>1</v>
      </c>
      <c r="F35" s="92">
        <v>1</v>
      </c>
      <c r="G35" s="91">
        <v>0</v>
      </c>
      <c r="H35" s="90">
        <f t="shared" si="26"/>
        <v>0</v>
      </c>
      <c r="I35" s="168"/>
      <c r="J35" s="84"/>
      <c r="K35" s="101">
        <v>0</v>
      </c>
      <c r="L35" s="88">
        <f t="shared" si="27"/>
        <v>0</v>
      </c>
      <c r="M35" s="8"/>
      <c r="N35" s="29"/>
      <c r="O35" s="8"/>
      <c r="P35" s="220"/>
      <c r="Q35" s="220"/>
      <c r="R35" s="220"/>
      <c r="S35" s="8"/>
      <c r="T35" s="20"/>
      <c r="U35" s="21">
        <v>0</v>
      </c>
      <c r="V35" s="21">
        <v>0</v>
      </c>
      <c r="W35" s="21">
        <f t="shared" si="28"/>
        <v>0</v>
      </c>
      <c r="X35" s="22">
        <v>1</v>
      </c>
      <c r="Y35" s="23">
        <f t="shared" si="12"/>
        <v>0</v>
      </c>
      <c r="Z35" s="21">
        <f t="shared" si="19"/>
        <v>0</v>
      </c>
      <c r="AA35" s="21">
        <f t="shared" si="7"/>
        <v>0</v>
      </c>
      <c r="AC35" s="9"/>
      <c r="AD35" s="9" t="str">
        <f t="shared" si="20"/>
        <v>2.9</v>
      </c>
      <c r="AE35" s="27">
        <f t="shared" si="21"/>
        <v>0</v>
      </c>
      <c r="AF35" s="21">
        <f t="shared" si="22"/>
        <v>0</v>
      </c>
      <c r="AG35" s="21">
        <v>0</v>
      </c>
      <c r="AH35" s="21">
        <f t="shared" si="8"/>
        <v>0</v>
      </c>
      <c r="AI35" s="21">
        <f t="shared" si="29"/>
        <v>0</v>
      </c>
      <c r="AJ35" s="21">
        <f t="shared" si="30"/>
        <v>0</v>
      </c>
      <c r="AK35" s="9" t="s">
        <v>57</v>
      </c>
      <c r="AL35" s="9" t="s">
        <v>57</v>
      </c>
      <c r="AM35" s="22">
        <v>0</v>
      </c>
      <c r="AN35" s="23">
        <f t="shared" si="31"/>
        <v>0</v>
      </c>
      <c r="AO35" s="9"/>
      <c r="AP35" s="26">
        <v>0</v>
      </c>
      <c r="AQ35" s="9"/>
    </row>
    <row r="36" spans="2:43" ht="94.5" x14ac:dyDescent="0.25">
      <c r="B36" s="167" t="s">
        <v>39</v>
      </c>
      <c r="C36" s="96" t="s">
        <v>577</v>
      </c>
      <c r="D36" s="93" t="s">
        <v>87</v>
      </c>
      <c r="E36" s="92">
        <v>1</v>
      </c>
      <c r="F36" s="92">
        <v>1</v>
      </c>
      <c r="G36" s="91">
        <v>0</v>
      </c>
      <c r="H36" s="90">
        <f t="shared" si="26"/>
        <v>0</v>
      </c>
      <c r="I36" s="168"/>
      <c r="J36" s="84"/>
      <c r="K36" s="101">
        <v>0</v>
      </c>
      <c r="L36" s="88">
        <f t="shared" si="27"/>
        <v>0</v>
      </c>
      <c r="M36" s="8"/>
      <c r="N36" s="29"/>
      <c r="O36" s="8"/>
      <c r="P36" s="220"/>
      <c r="Q36" s="220"/>
      <c r="R36" s="220"/>
      <c r="S36" s="8"/>
      <c r="T36" s="20"/>
      <c r="U36" s="21">
        <v>0</v>
      </c>
      <c r="V36" s="21">
        <v>0</v>
      </c>
      <c r="W36" s="21">
        <f t="shared" si="28"/>
        <v>0</v>
      </c>
      <c r="X36" s="22">
        <v>1</v>
      </c>
      <c r="Y36" s="23">
        <f t="shared" si="12"/>
        <v>0</v>
      </c>
      <c r="Z36" s="21">
        <f t="shared" si="19"/>
        <v>0</v>
      </c>
      <c r="AA36" s="21">
        <f t="shared" si="7"/>
        <v>0</v>
      </c>
      <c r="AC36" s="9"/>
      <c r="AD36" s="9" t="str">
        <f t="shared" si="20"/>
        <v>2.10</v>
      </c>
      <c r="AE36" s="27">
        <f t="shared" si="21"/>
        <v>0</v>
      </c>
      <c r="AF36" s="21">
        <f t="shared" si="22"/>
        <v>0</v>
      </c>
      <c r="AG36" s="21">
        <v>0</v>
      </c>
      <c r="AH36" s="21">
        <f t="shared" si="8"/>
        <v>0</v>
      </c>
      <c r="AI36" s="21">
        <f t="shared" si="29"/>
        <v>0</v>
      </c>
      <c r="AJ36" s="21">
        <f t="shared" si="30"/>
        <v>0</v>
      </c>
      <c r="AK36" s="9" t="s">
        <v>57</v>
      </c>
      <c r="AL36" s="9" t="s">
        <v>57</v>
      </c>
      <c r="AM36" s="22">
        <v>0</v>
      </c>
      <c r="AN36" s="23">
        <f t="shared" si="31"/>
        <v>0</v>
      </c>
      <c r="AO36" s="9"/>
      <c r="AP36" s="26">
        <v>0</v>
      </c>
      <c r="AQ36" s="9"/>
    </row>
    <row r="37" spans="2:43" ht="94.5" x14ac:dyDescent="0.25">
      <c r="B37" s="167" t="s">
        <v>40</v>
      </c>
      <c r="C37" s="96" t="s">
        <v>578</v>
      </c>
      <c r="D37" s="93" t="s">
        <v>87</v>
      </c>
      <c r="E37" s="92">
        <v>1</v>
      </c>
      <c r="F37" s="92">
        <v>1</v>
      </c>
      <c r="G37" s="91">
        <v>0</v>
      </c>
      <c r="H37" s="90">
        <f t="shared" si="26"/>
        <v>0</v>
      </c>
      <c r="I37" s="168"/>
      <c r="J37" s="84"/>
      <c r="K37" s="101">
        <v>0</v>
      </c>
      <c r="L37" s="88">
        <f t="shared" si="27"/>
        <v>0</v>
      </c>
      <c r="M37" s="8"/>
      <c r="N37" s="29"/>
      <c r="O37" s="8"/>
      <c r="P37" s="220"/>
      <c r="Q37" s="220"/>
      <c r="R37" s="220"/>
      <c r="S37" s="8"/>
      <c r="T37" s="20"/>
      <c r="U37" s="21">
        <v>0</v>
      </c>
      <c r="V37" s="21">
        <v>0</v>
      </c>
      <c r="W37" s="21">
        <f t="shared" si="28"/>
        <v>0</v>
      </c>
      <c r="X37" s="22">
        <v>1</v>
      </c>
      <c r="Y37" s="23">
        <f t="shared" si="12"/>
        <v>0</v>
      </c>
      <c r="Z37" s="21">
        <f t="shared" si="19"/>
        <v>0</v>
      </c>
      <c r="AA37" s="21">
        <f t="shared" si="7"/>
        <v>0</v>
      </c>
      <c r="AC37" s="9"/>
      <c r="AD37" s="9" t="str">
        <f t="shared" si="20"/>
        <v>2.11</v>
      </c>
      <c r="AE37" s="27">
        <f t="shared" si="21"/>
        <v>0</v>
      </c>
      <c r="AF37" s="21">
        <f t="shared" si="22"/>
        <v>0</v>
      </c>
      <c r="AG37" s="21">
        <v>0</v>
      </c>
      <c r="AH37" s="21">
        <f t="shared" si="8"/>
        <v>0</v>
      </c>
      <c r="AI37" s="21">
        <f t="shared" si="29"/>
        <v>0</v>
      </c>
      <c r="AJ37" s="21">
        <f t="shared" si="30"/>
        <v>0</v>
      </c>
      <c r="AK37" s="9" t="s">
        <v>57</v>
      </c>
      <c r="AL37" s="9" t="s">
        <v>57</v>
      </c>
      <c r="AM37" s="22">
        <v>0</v>
      </c>
      <c r="AN37" s="23">
        <f t="shared" si="31"/>
        <v>0</v>
      </c>
      <c r="AO37" s="9"/>
      <c r="AP37" s="26">
        <v>0</v>
      </c>
      <c r="AQ37" s="9"/>
    </row>
    <row r="38" spans="2:43" ht="78.75" x14ac:dyDescent="0.25">
      <c r="B38" s="167" t="s">
        <v>296</v>
      </c>
      <c r="C38" s="96" t="s">
        <v>579</v>
      </c>
      <c r="D38" s="93" t="s">
        <v>87</v>
      </c>
      <c r="E38" s="92">
        <v>1</v>
      </c>
      <c r="F38" s="92">
        <v>1</v>
      </c>
      <c r="G38" s="91">
        <v>0</v>
      </c>
      <c r="H38" s="90">
        <f t="shared" si="26"/>
        <v>0</v>
      </c>
      <c r="I38" s="168"/>
      <c r="J38" s="84"/>
      <c r="K38" s="101">
        <v>0</v>
      </c>
      <c r="L38" s="88">
        <f t="shared" si="27"/>
        <v>0</v>
      </c>
      <c r="M38" s="8"/>
      <c r="N38" s="29"/>
      <c r="O38" s="8"/>
      <c r="P38" s="220"/>
      <c r="Q38" s="220"/>
      <c r="R38" s="220"/>
      <c r="S38" s="8"/>
      <c r="T38" s="20"/>
      <c r="U38" s="21">
        <v>0</v>
      </c>
      <c r="V38" s="21">
        <v>0</v>
      </c>
      <c r="W38" s="21">
        <f t="shared" si="28"/>
        <v>0</v>
      </c>
      <c r="X38" s="22">
        <v>1</v>
      </c>
      <c r="Y38" s="23">
        <f t="shared" si="12"/>
        <v>0</v>
      </c>
      <c r="Z38" s="21">
        <f t="shared" si="19"/>
        <v>0</v>
      </c>
      <c r="AA38" s="21">
        <f t="shared" si="7"/>
        <v>0</v>
      </c>
      <c r="AC38" s="9"/>
      <c r="AD38" s="9" t="str">
        <f t="shared" si="20"/>
        <v>2.12</v>
      </c>
      <c r="AE38" s="27">
        <f t="shared" si="21"/>
        <v>0</v>
      </c>
      <c r="AF38" s="21">
        <f t="shared" si="22"/>
        <v>0</v>
      </c>
      <c r="AG38" s="21">
        <v>0</v>
      </c>
      <c r="AH38" s="21">
        <f t="shared" si="8"/>
        <v>0</v>
      </c>
      <c r="AI38" s="21">
        <f t="shared" si="29"/>
        <v>0</v>
      </c>
      <c r="AJ38" s="21">
        <f t="shared" si="30"/>
        <v>0</v>
      </c>
      <c r="AK38" s="9" t="s">
        <v>57</v>
      </c>
      <c r="AL38" s="9" t="s">
        <v>57</v>
      </c>
      <c r="AM38" s="22">
        <v>0</v>
      </c>
      <c r="AN38" s="23">
        <f t="shared" si="31"/>
        <v>0</v>
      </c>
      <c r="AO38" s="9"/>
      <c r="AP38" s="26">
        <v>0</v>
      </c>
      <c r="AQ38" s="9"/>
    </row>
    <row r="39" spans="2:43" ht="78.75" x14ac:dyDescent="0.25">
      <c r="B39" s="167" t="s">
        <v>297</v>
      </c>
      <c r="C39" s="96" t="s">
        <v>580</v>
      </c>
      <c r="D39" s="93" t="s">
        <v>87</v>
      </c>
      <c r="E39" s="92">
        <v>1</v>
      </c>
      <c r="F39" s="92">
        <v>1</v>
      </c>
      <c r="G39" s="91">
        <v>0</v>
      </c>
      <c r="H39" s="90">
        <f t="shared" si="26"/>
        <v>0</v>
      </c>
      <c r="I39" s="168"/>
      <c r="J39" s="84"/>
      <c r="K39" s="101">
        <v>0</v>
      </c>
      <c r="L39" s="88">
        <f t="shared" si="27"/>
        <v>0</v>
      </c>
      <c r="M39" s="8"/>
      <c r="N39" s="29"/>
      <c r="O39" s="8"/>
      <c r="P39" s="220"/>
      <c r="Q39" s="220"/>
      <c r="R39" s="220"/>
      <c r="S39" s="8"/>
      <c r="T39" s="20"/>
      <c r="U39" s="21">
        <v>0</v>
      </c>
      <c r="V39" s="21">
        <v>0</v>
      </c>
      <c r="W39" s="21">
        <f t="shared" si="28"/>
        <v>0</v>
      </c>
      <c r="X39" s="22">
        <v>1</v>
      </c>
      <c r="Y39" s="23">
        <f t="shared" si="12"/>
        <v>0</v>
      </c>
      <c r="Z39" s="21">
        <f t="shared" si="19"/>
        <v>0</v>
      </c>
      <c r="AA39" s="21">
        <f t="shared" si="7"/>
        <v>0</v>
      </c>
      <c r="AC39" s="9"/>
      <c r="AD39" s="9" t="str">
        <f t="shared" si="20"/>
        <v>2.13</v>
      </c>
      <c r="AE39" s="27">
        <f t="shared" si="21"/>
        <v>0</v>
      </c>
      <c r="AF39" s="21">
        <f t="shared" si="22"/>
        <v>0</v>
      </c>
      <c r="AG39" s="21">
        <v>0</v>
      </c>
      <c r="AH39" s="21">
        <f t="shared" si="8"/>
        <v>0</v>
      </c>
      <c r="AI39" s="21">
        <f t="shared" si="29"/>
        <v>0</v>
      </c>
      <c r="AJ39" s="21">
        <f t="shared" si="30"/>
        <v>0</v>
      </c>
      <c r="AK39" s="9" t="s">
        <v>57</v>
      </c>
      <c r="AL39" s="9" t="s">
        <v>57</v>
      </c>
      <c r="AM39" s="22">
        <v>0</v>
      </c>
      <c r="AN39" s="23">
        <f t="shared" si="31"/>
        <v>0</v>
      </c>
      <c r="AO39" s="9"/>
      <c r="AP39" s="26">
        <v>0</v>
      </c>
      <c r="AQ39" s="9"/>
    </row>
    <row r="40" spans="2:43" ht="78.75" x14ac:dyDescent="0.25">
      <c r="B40" s="167" t="s">
        <v>298</v>
      </c>
      <c r="C40" s="96" t="s">
        <v>581</v>
      </c>
      <c r="D40" s="93" t="s">
        <v>87</v>
      </c>
      <c r="E40" s="92">
        <v>1</v>
      </c>
      <c r="F40" s="92">
        <v>1</v>
      </c>
      <c r="G40" s="91">
        <v>0</v>
      </c>
      <c r="H40" s="90">
        <f>E40*F40*G40</f>
        <v>0</v>
      </c>
      <c r="I40" s="168"/>
      <c r="J40" s="84"/>
      <c r="K40" s="101">
        <v>0</v>
      </c>
      <c r="L40" s="88">
        <f>H40</f>
        <v>0</v>
      </c>
      <c r="M40" s="8"/>
      <c r="N40" s="29"/>
      <c r="O40" s="8"/>
      <c r="P40" s="220"/>
      <c r="Q40" s="220"/>
      <c r="R40" s="220"/>
      <c r="S40" s="8"/>
      <c r="T40" s="20"/>
      <c r="U40" s="21">
        <v>0</v>
      </c>
      <c r="V40" s="21">
        <v>0</v>
      </c>
      <c r="W40" s="21">
        <f t="shared" si="28"/>
        <v>0</v>
      </c>
      <c r="X40" s="22">
        <v>1</v>
      </c>
      <c r="Y40" s="23">
        <f t="shared" si="12"/>
        <v>0</v>
      </c>
      <c r="Z40" s="21">
        <f t="shared" si="19"/>
        <v>0</v>
      </c>
      <c r="AA40" s="21">
        <f t="shared" si="7"/>
        <v>0</v>
      </c>
      <c r="AC40" s="9"/>
      <c r="AD40" s="9" t="str">
        <f t="shared" si="20"/>
        <v>2.14</v>
      </c>
      <c r="AE40" s="27">
        <f t="shared" si="21"/>
        <v>0</v>
      </c>
      <c r="AF40" s="21">
        <f t="shared" si="22"/>
        <v>0</v>
      </c>
      <c r="AG40" s="21">
        <v>0</v>
      </c>
      <c r="AH40" s="21">
        <f t="shared" si="8"/>
        <v>0</v>
      </c>
      <c r="AI40" s="21">
        <f t="shared" si="29"/>
        <v>0</v>
      </c>
      <c r="AJ40" s="21">
        <f t="shared" si="30"/>
        <v>0</v>
      </c>
      <c r="AK40" s="9" t="s">
        <v>57</v>
      </c>
      <c r="AL40" s="9" t="s">
        <v>57</v>
      </c>
      <c r="AM40" s="22">
        <v>0</v>
      </c>
      <c r="AN40" s="23">
        <f t="shared" si="31"/>
        <v>0</v>
      </c>
      <c r="AO40" s="9"/>
      <c r="AP40" s="26">
        <v>0</v>
      </c>
      <c r="AQ40" s="9"/>
    </row>
    <row r="41" spans="2:43" ht="78.75" x14ac:dyDescent="0.25">
      <c r="B41" s="167" t="s">
        <v>299</v>
      </c>
      <c r="C41" s="96" t="s">
        <v>582</v>
      </c>
      <c r="D41" s="93" t="s">
        <v>87</v>
      </c>
      <c r="E41" s="92">
        <v>1</v>
      </c>
      <c r="F41" s="92">
        <v>1</v>
      </c>
      <c r="G41" s="91">
        <v>0</v>
      </c>
      <c r="H41" s="90">
        <f>E41*F41*G41</f>
        <v>0</v>
      </c>
      <c r="I41" s="168"/>
      <c r="J41" s="84"/>
      <c r="K41" s="101">
        <v>0</v>
      </c>
      <c r="L41" s="88">
        <f>H41</f>
        <v>0</v>
      </c>
      <c r="M41" s="8"/>
      <c r="N41" s="29"/>
      <c r="O41" s="8"/>
      <c r="P41" s="220"/>
      <c r="Q41" s="220"/>
      <c r="R41" s="220"/>
      <c r="S41" s="8"/>
      <c r="T41" s="20"/>
      <c r="U41" s="21">
        <v>0</v>
      </c>
      <c r="V41" s="21">
        <v>0</v>
      </c>
      <c r="W41" s="21">
        <f t="shared" si="28"/>
        <v>0</v>
      </c>
      <c r="X41" s="22">
        <v>1</v>
      </c>
      <c r="Y41" s="23">
        <f t="shared" si="12"/>
        <v>0</v>
      </c>
      <c r="Z41" s="21">
        <f t="shared" si="19"/>
        <v>0</v>
      </c>
      <c r="AA41" s="21">
        <f t="shared" si="7"/>
        <v>0</v>
      </c>
      <c r="AC41" s="9"/>
      <c r="AD41" s="9" t="str">
        <f t="shared" si="20"/>
        <v>2.15</v>
      </c>
      <c r="AE41" s="27">
        <f t="shared" si="21"/>
        <v>0</v>
      </c>
      <c r="AF41" s="21">
        <f t="shared" si="22"/>
        <v>0</v>
      </c>
      <c r="AG41" s="21">
        <v>0</v>
      </c>
      <c r="AH41" s="21">
        <f t="shared" si="8"/>
        <v>0</v>
      </c>
      <c r="AI41" s="21">
        <f t="shared" si="29"/>
        <v>0</v>
      </c>
      <c r="AJ41" s="21">
        <f t="shared" si="30"/>
        <v>0</v>
      </c>
      <c r="AK41" s="9" t="s">
        <v>57</v>
      </c>
      <c r="AL41" s="9" t="s">
        <v>57</v>
      </c>
      <c r="AM41" s="22">
        <v>0</v>
      </c>
      <c r="AN41" s="23">
        <f t="shared" si="31"/>
        <v>0</v>
      </c>
      <c r="AO41" s="9"/>
      <c r="AP41" s="26">
        <v>0</v>
      </c>
      <c r="AQ41" s="9"/>
    </row>
    <row r="42" spans="2:43" ht="78.75" x14ac:dyDescent="0.25">
      <c r="B42" s="167" t="s">
        <v>300</v>
      </c>
      <c r="C42" s="96" t="s">
        <v>583</v>
      </c>
      <c r="D42" s="93" t="s">
        <v>87</v>
      </c>
      <c r="E42" s="92">
        <v>1</v>
      </c>
      <c r="F42" s="92">
        <v>1</v>
      </c>
      <c r="G42" s="91">
        <v>0</v>
      </c>
      <c r="H42" s="90">
        <f>E42*F42*G42</f>
        <v>0</v>
      </c>
      <c r="I42" s="168"/>
      <c r="J42" s="84"/>
      <c r="K42" s="101">
        <v>0</v>
      </c>
      <c r="L42" s="88">
        <f>H42</f>
        <v>0</v>
      </c>
      <c r="M42" s="8"/>
      <c r="N42" s="29"/>
      <c r="O42" s="8"/>
      <c r="P42" s="220"/>
      <c r="Q42" s="220"/>
      <c r="R42" s="220"/>
      <c r="S42" s="8"/>
      <c r="T42" s="20"/>
      <c r="U42" s="21">
        <v>0</v>
      </c>
      <c r="V42" s="21">
        <v>0</v>
      </c>
      <c r="W42" s="21">
        <f t="shared" si="28"/>
        <v>0</v>
      </c>
      <c r="X42" s="22">
        <v>1</v>
      </c>
      <c r="Y42" s="23">
        <f t="shared" si="12"/>
        <v>0</v>
      </c>
      <c r="Z42" s="21">
        <f t="shared" si="19"/>
        <v>0</v>
      </c>
      <c r="AA42" s="21">
        <f t="shared" si="7"/>
        <v>0</v>
      </c>
      <c r="AC42" s="9"/>
      <c r="AD42" s="9" t="str">
        <f t="shared" si="20"/>
        <v>2.16</v>
      </c>
      <c r="AE42" s="27">
        <f t="shared" si="21"/>
        <v>0</v>
      </c>
      <c r="AF42" s="21">
        <f t="shared" si="22"/>
        <v>0</v>
      </c>
      <c r="AG42" s="21">
        <v>0</v>
      </c>
      <c r="AH42" s="21">
        <f t="shared" si="8"/>
        <v>0</v>
      </c>
      <c r="AI42" s="21">
        <f t="shared" si="29"/>
        <v>0</v>
      </c>
      <c r="AJ42" s="21">
        <f t="shared" si="30"/>
        <v>0</v>
      </c>
      <c r="AK42" s="9" t="s">
        <v>57</v>
      </c>
      <c r="AL42" s="9" t="s">
        <v>57</v>
      </c>
      <c r="AM42" s="22">
        <v>0</v>
      </c>
      <c r="AN42" s="23">
        <f t="shared" si="31"/>
        <v>0</v>
      </c>
      <c r="AO42" s="9"/>
      <c r="AP42" s="26">
        <v>0</v>
      </c>
      <c r="AQ42" s="9"/>
    </row>
    <row r="43" spans="2:43" ht="38.25" x14ac:dyDescent="0.25">
      <c r="B43" s="165">
        <v>3</v>
      </c>
      <c r="C43" s="129" t="s">
        <v>256</v>
      </c>
      <c r="D43" s="87"/>
      <c r="E43" s="87"/>
      <c r="F43" s="87"/>
      <c r="G43" s="87"/>
      <c r="H43" s="87"/>
      <c r="I43" s="166">
        <f>SUM(H44:H54)</f>
        <v>0</v>
      </c>
      <c r="J43" s="84"/>
      <c r="K43" s="99" t="s">
        <v>75</v>
      </c>
      <c r="L43" s="98" t="str">
        <f>L$15</f>
        <v>30 DIAS</v>
      </c>
      <c r="M43" s="7"/>
      <c r="N43" s="33"/>
      <c r="O43" s="7"/>
      <c r="P43" s="218" t="s">
        <v>506</v>
      </c>
      <c r="Q43" s="218" t="s">
        <v>507</v>
      </c>
      <c r="R43" s="218" t="s">
        <v>508</v>
      </c>
      <c r="S43" s="7"/>
      <c r="T43" s="144" t="s">
        <v>22</v>
      </c>
      <c r="U43" s="145" t="s">
        <v>23</v>
      </c>
      <c r="V43" s="146" t="s">
        <v>523</v>
      </c>
      <c r="W43" s="146" t="s">
        <v>24</v>
      </c>
      <c r="X43" s="333" t="s">
        <v>68</v>
      </c>
      <c r="Y43" s="334"/>
      <c r="Z43" s="147" t="s">
        <v>25</v>
      </c>
      <c r="AA43" s="147" t="s">
        <v>26</v>
      </c>
      <c r="AB43" s="148"/>
      <c r="AC43" s="149" t="s">
        <v>16</v>
      </c>
      <c r="AD43" s="149" t="s">
        <v>17</v>
      </c>
      <c r="AE43" s="150" t="s">
        <v>22</v>
      </c>
      <c r="AF43" s="151" t="s">
        <v>23</v>
      </c>
      <c r="AG43" s="146" t="s">
        <v>523</v>
      </c>
      <c r="AH43" s="152" t="s">
        <v>24</v>
      </c>
      <c r="AI43" s="153" t="s">
        <v>25</v>
      </c>
      <c r="AJ43" s="153" t="s">
        <v>26</v>
      </c>
      <c r="AK43" s="149" t="s">
        <v>18</v>
      </c>
      <c r="AL43" s="149" t="s">
        <v>67</v>
      </c>
      <c r="AM43" s="333" t="s">
        <v>68</v>
      </c>
      <c r="AN43" s="334"/>
      <c r="AO43" s="149" t="s">
        <v>19</v>
      </c>
      <c r="AP43" s="149" t="s">
        <v>20</v>
      </c>
      <c r="AQ43" s="154" t="s">
        <v>21</v>
      </c>
    </row>
    <row r="44" spans="2:43" ht="94.5" x14ac:dyDescent="0.25">
      <c r="B44" s="167" t="s">
        <v>41</v>
      </c>
      <c r="C44" s="96" t="s">
        <v>584</v>
      </c>
      <c r="D44" s="93" t="s">
        <v>87</v>
      </c>
      <c r="E44" s="92">
        <v>1</v>
      </c>
      <c r="F44" s="92">
        <v>1</v>
      </c>
      <c r="G44" s="91">
        <v>0</v>
      </c>
      <c r="H44" s="90">
        <f t="shared" ref="H44:H54" si="32">E44*F44*G44</f>
        <v>0</v>
      </c>
      <c r="I44" s="168"/>
      <c r="J44" s="84"/>
      <c r="K44" s="95">
        <v>0</v>
      </c>
      <c r="L44" s="127">
        <f t="shared" ref="L44:L50" si="33">H44</f>
        <v>0</v>
      </c>
      <c r="M44" s="11"/>
      <c r="N44" s="33"/>
      <c r="O44" s="11"/>
      <c r="P44" s="219"/>
      <c r="Q44" s="219"/>
      <c r="R44" s="219"/>
      <c r="S44" s="11"/>
      <c r="T44" s="20"/>
      <c r="U44" s="21">
        <v>0</v>
      </c>
      <c r="V44" s="21">
        <v>0</v>
      </c>
      <c r="W44" s="21">
        <f t="shared" si="28"/>
        <v>0</v>
      </c>
      <c r="X44" s="22">
        <v>1</v>
      </c>
      <c r="Y44" s="23">
        <f t="shared" si="12"/>
        <v>0</v>
      </c>
      <c r="Z44" s="234">
        <f t="shared" ref="Z44:Z50" si="34">U44*0%</f>
        <v>0</v>
      </c>
      <c r="AA44" s="21">
        <f t="shared" si="7"/>
        <v>0</v>
      </c>
      <c r="AC44" s="9"/>
      <c r="AD44" s="9" t="str">
        <f t="shared" ref="AD44" si="35">B44</f>
        <v>3.1</v>
      </c>
      <c r="AE44" s="27">
        <f t="shared" ref="AE44" si="36">T44</f>
        <v>0</v>
      </c>
      <c r="AF44" s="21">
        <f t="shared" ref="AF44" si="37">U44</f>
        <v>0</v>
      </c>
      <c r="AG44" s="21">
        <v>0</v>
      </c>
      <c r="AH44" s="21">
        <f t="shared" ref="AH44" si="38">H44-AF44</f>
        <v>0</v>
      </c>
      <c r="AI44" s="21">
        <f t="shared" ref="AI44" si="39">AF44*10%</f>
        <v>0</v>
      </c>
      <c r="AJ44" s="21">
        <f t="shared" ref="AJ44" si="40">AN44+AI44</f>
        <v>0</v>
      </c>
      <c r="AK44" s="9" t="s">
        <v>57</v>
      </c>
      <c r="AL44" s="9" t="s">
        <v>57</v>
      </c>
      <c r="AM44" s="22">
        <v>0</v>
      </c>
      <c r="AN44" s="23">
        <f t="shared" ref="AN44" si="41">(AH44-(AH44*AM44))</f>
        <v>0</v>
      </c>
      <c r="AO44" s="9"/>
      <c r="AP44" s="26">
        <v>0</v>
      </c>
      <c r="AQ44" s="9"/>
    </row>
    <row r="45" spans="2:43" ht="94.5" x14ac:dyDescent="0.25">
      <c r="B45" s="167" t="s">
        <v>42</v>
      </c>
      <c r="C45" s="96" t="s">
        <v>585</v>
      </c>
      <c r="D45" s="93" t="s">
        <v>87</v>
      </c>
      <c r="E45" s="92">
        <v>1</v>
      </c>
      <c r="F45" s="92">
        <v>1</v>
      </c>
      <c r="G45" s="91">
        <v>0</v>
      </c>
      <c r="H45" s="90">
        <f t="shared" si="32"/>
        <v>0</v>
      </c>
      <c r="I45" s="168"/>
      <c r="J45" s="84"/>
      <c r="K45" s="95">
        <v>0</v>
      </c>
      <c r="L45" s="127">
        <f t="shared" si="33"/>
        <v>0</v>
      </c>
      <c r="M45" s="11"/>
      <c r="N45" s="33"/>
      <c r="O45" s="11"/>
      <c r="P45" s="219"/>
      <c r="Q45" s="219"/>
      <c r="R45" s="219"/>
      <c r="S45" s="11"/>
      <c r="T45" s="20"/>
      <c r="U45" s="21">
        <v>0</v>
      </c>
      <c r="V45" s="21">
        <v>0</v>
      </c>
      <c r="W45" s="21">
        <f t="shared" si="28"/>
        <v>0</v>
      </c>
      <c r="X45" s="22">
        <v>1</v>
      </c>
      <c r="Y45" s="23">
        <f t="shared" si="12"/>
        <v>0</v>
      </c>
      <c r="Z45" s="234">
        <f t="shared" si="34"/>
        <v>0</v>
      </c>
      <c r="AA45" s="21">
        <f t="shared" si="7"/>
        <v>0</v>
      </c>
      <c r="AC45" s="9"/>
      <c r="AD45" s="9" t="str">
        <f t="shared" ref="AD45:AD54" si="42">B45</f>
        <v>3.2</v>
      </c>
      <c r="AE45" s="27">
        <f t="shared" ref="AE45:AE54" si="43">T45</f>
        <v>0</v>
      </c>
      <c r="AF45" s="21">
        <f t="shared" ref="AF45:AF54" si="44">U45</f>
        <v>0</v>
      </c>
      <c r="AG45" s="21">
        <v>0</v>
      </c>
      <c r="AH45" s="21">
        <f t="shared" ref="AH45:AH54" si="45">H45-AF45</f>
        <v>0</v>
      </c>
      <c r="AI45" s="21">
        <f t="shared" ref="AI45:AI54" si="46">AF45*10%</f>
        <v>0</v>
      </c>
      <c r="AJ45" s="21">
        <f t="shared" ref="AJ45:AJ54" si="47">AN45+AI45</f>
        <v>0</v>
      </c>
      <c r="AK45" s="9" t="s">
        <v>57</v>
      </c>
      <c r="AL45" s="9" t="s">
        <v>57</v>
      </c>
      <c r="AM45" s="22">
        <v>0</v>
      </c>
      <c r="AN45" s="23">
        <f t="shared" ref="AN45:AN54" si="48">(AH45-(AH45*AM45))</f>
        <v>0</v>
      </c>
      <c r="AO45" s="9"/>
      <c r="AP45" s="26">
        <v>0</v>
      </c>
      <c r="AQ45" s="9"/>
    </row>
    <row r="46" spans="2:43" ht="94.5" x14ac:dyDescent="0.25">
      <c r="B46" s="167" t="s">
        <v>43</v>
      </c>
      <c r="C46" s="96" t="s">
        <v>586</v>
      </c>
      <c r="D46" s="93" t="s">
        <v>87</v>
      </c>
      <c r="E46" s="92">
        <v>1</v>
      </c>
      <c r="F46" s="92">
        <v>1</v>
      </c>
      <c r="G46" s="91">
        <v>0</v>
      </c>
      <c r="H46" s="90">
        <f t="shared" si="32"/>
        <v>0</v>
      </c>
      <c r="I46" s="168"/>
      <c r="J46" s="84"/>
      <c r="K46" s="95">
        <v>0</v>
      </c>
      <c r="L46" s="127">
        <f t="shared" si="33"/>
        <v>0</v>
      </c>
      <c r="M46" s="11"/>
      <c r="N46" s="33"/>
      <c r="O46" s="11"/>
      <c r="P46" s="219"/>
      <c r="Q46" s="219"/>
      <c r="R46" s="219"/>
      <c r="S46" s="11"/>
      <c r="T46" s="20"/>
      <c r="U46" s="21">
        <v>0</v>
      </c>
      <c r="V46" s="21">
        <v>0</v>
      </c>
      <c r="W46" s="21">
        <f t="shared" si="28"/>
        <v>0</v>
      </c>
      <c r="X46" s="22">
        <v>1</v>
      </c>
      <c r="Y46" s="23">
        <f t="shared" si="12"/>
        <v>0</v>
      </c>
      <c r="Z46" s="234">
        <f t="shared" si="34"/>
        <v>0</v>
      </c>
      <c r="AA46" s="21">
        <f t="shared" si="7"/>
        <v>0</v>
      </c>
      <c r="AC46" s="9"/>
      <c r="AD46" s="9" t="str">
        <f t="shared" si="42"/>
        <v>3.3</v>
      </c>
      <c r="AE46" s="27">
        <f t="shared" si="43"/>
        <v>0</v>
      </c>
      <c r="AF46" s="21">
        <f t="shared" si="44"/>
        <v>0</v>
      </c>
      <c r="AG46" s="21">
        <v>0</v>
      </c>
      <c r="AH46" s="21">
        <f t="shared" si="45"/>
        <v>0</v>
      </c>
      <c r="AI46" s="21">
        <f t="shared" si="46"/>
        <v>0</v>
      </c>
      <c r="AJ46" s="21">
        <f t="shared" si="47"/>
        <v>0</v>
      </c>
      <c r="AK46" s="9" t="s">
        <v>57</v>
      </c>
      <c r="AL46" s="9" t="s">
        <v>57</v>
      </c>
      <c r="AM46" s="22">
        <v>0</v>
      </c>
      <c r="AN46" s="23">
        <f t="shared" si="48"/>
        <v>0</v>
      </c>
      <c r="AO46" s="9"/>
      <c r="AP46" s="26">
        <v>0</v>
      </c>
      <c r="AQ46" s="9"/>
    </row>
    <row r="47" spans="2:43" ht="94.5" x14ac:dyDescent="0.25">
      <c r="B47" s="167" t="s">
        <v>255</v>
      </c>
      <c r="C47" s="96" t="s">
        <v>587</v>
      </c>
      <c r="D47" s="93" t="s">
        <v>87</v>
      </c>
      <c r="E47" s="92">
        <v>1</v>
      </c>
      <c r="F47" s="92">
        <v>1</v>
      </c>
      <c r="G47" s="91">
        <v>0</v>
      </c>
      <c r="H47" s="90">
        <f t="shared" si="32"/>
        <v>0</v>
      </c>
      <c r="I47" s="168"/>
      <c r="J47" s="84"/>
      <c r="K47" s="95">
        <v>0</v>
      </c>
      <c r="L47" s="127">
        <f t="shared" si="33"/>
        <v>0</v>
      </c>
      <c r="M47" s="1"/>
      <c r="N47" s="33"/>
      <c r="O47" s="1"/>
      <c r="P47" s="219"/>
      <c r="Q47" s="219"/>
      <c r="R47" s="219"/>
      <c r="S47" s="1"/>
      <c r="T47" s="20"/>
      <c r="U47" s="21">
        <v>0</v>
      </c>
      <c r="V47" s="21">
        <v>0</v>
      </c>
      <c r="W47" s="21">
        <f t="shared" si="28"/>
        <v>0</v>
      </c>
      <c r="X47" s="22">
        <v>1</v>
      </c>
      <c r="Y47" s="23">
        <f t="shared" si="12"/>
        <v>0</v>
      </c>
      <c r="Z47" s="234">
        <f t="shared" si="34"/>
        <v>0</v>
      </c>
      <c r="AA47" s="21">
        <f t="shared" si="7"/>
        <v>0</v>
      </c>
      <c r="AC47" s="9"/>
      <c r="AD47" s="9" t="str">
        <f t="shared" si="42"/>
        <v>3.4</v>
      </c>
      <c r="AE47" s="27">
        <f t="shared" si="43"/>
        <v>0</v>
      </c>
      <c r="AF47" s="21">
        <f t="shared" si="44"/>
        <v>0</v>
      </c>
      <c r="AG47" s="21">
        <v>0</v>
      </c>
      <c r="AH47" s="21">
        <f t="shared" si="45"/>
        <v>0</v>
      </c>
      <c r="AI47" s="21">
        <f t="shared" si="46"/>
        <v>0</v>
      </c>
      <c r="AJ47" s="21">
        <f t="shared" si="47"/>
        <v>0</v>
      </c>
      <c r="AK47" s="9" t="s">
        <v>57</v>
      </c>
      <c r="AL47" s="9" t="s">
        <v>57</v>
      </c>
      <c r="AM47" s="22">
        <v>0</v>
      </c>
      <c r="AN47" s="23">
        <f t="shared" si="48"/>
        <v>0</v>
      </c>
      <c r="AO47" s="9"/>
      <c r="AP47" s="26">
        <v>0</v>
      </c>
      <c r="AQ47" s="9"/>
    </row>
    <row r="48" spans="2:43" ht="94.5" x14ac:dyDescent="0.25">
      <c r="B48" s="167" t="s">
        <v>254</v>
      </c>
      <c r="C48" s="96" t="s">
        <v>588</v>
      </c>
      <c r="D48" s="93" t="s">
        <v>87</v>
      </c>
      <c r="E48" s="92">
        <v>1</v>
      </c>
      <c r="F48" s="92">
        <v>1</v>
      </c>
      <c r="G48" s="91">
        <v>0</v>
      </c>
      <c r="H48" s="90">
        <f t="shared" si="32"/>
        <v>0</v>
      </c>
      <c r="I48" s="168"/>
      <c r="J48" s="84"/>
      <c r="K48" s="95">
        <v>0</v>
      </c>
      <c r="L48" s="127">
        <f t="shared" si="33"/>
        <v>0</v>
      </c>
      <c r="M48" s="11"/>
      <c r="N48" s="33"/>
      <c r="O48" s="11"/>
      <c r="P48" s="219"/>
      <c r="Q48" s="219"/>
      <c r="R48" s="219"/>
      <c r="S48" s="11"/>
      <c r="T48" s="20"/>
      <c r="U48" s="21">
        <v>0</v>
      </c>
      <c r="V48" s="21">
        <v>0</v>
      </c>
      <c r="W48" s="21">
        <f t="shared" si="28"/>
        <v>0</v>
      </c>
      <c r="X48" s="22">
        <v>1</v>
      </c>
      <c r="Y48" s="23">
        <f t="shared" si="12"/>
        <v>0</v>
      </c>
      <c r="Z48" s="234">
        <f t="shared" si="34"/>
        <v>0</v>
      </c>
      <c r="AA48" s="21">
        <f t="shared" si="7"/>
        <v>0</v>
      </c>
      <c r="AC48" s="9"/>
      <c r="AD48" s="9" t="str">
        <f t="shared" si="42"/>
        <v>3.5</v>
      </c>
      <c r="AE48" s="27">
        <f t="shared" si="43"/>
        <v>0</v>
      </c>
      <c r="AF48" s="21">
        <f t="shared" si="44"/>
        <v>0</v>
      </c>
      <c r="AG48" s="21">
        <v>0</v>
      </c>
      <c r="AH48" s="21">
        <f t="shared" si="45"/>
        <v>0</v>
      </c>
      <c r="AI48" s="21">
        <f t="shared" si="46"/>
        <v>0</v>
      </c>
      <c r="AJ48" s="21">
        <f t="shared" si="47"/>
        <v>0</v>
      </c>
      <c r="AK48" s="9" t="s">
        <v>57</v>
      </c>
      <c r="AL48" s="9" t="s">
        <v>57</v>
      </c>
      <c r="AM48" s="22">
        <v>0</v>
      </c>
      <c r="AN48" s="23">
        <f t="shared" si="48"/>
        <v>0</v>
      </c>
      <c r="AO48" s="9"/>
      <c r="AP48" s="26">
        <v>0</v>
      </c>
      <c r="AQ48" s="9"/>
    </row>
    <row r="49" spans="2:43" ht="94.5" x14ac:dyDescent="0.25">
      <c r="B49" s="167" t="s">
        <v>253</v>
      </c>
      <c r="C49" s="108" t="s">
        <v>589</v>
      </c>
      <c r="D49" s="93" t="s">
        <v>87</v>
      </c>
      <c r="E49" s="92">
        <v>1</v>
      </c>
      <c r="F49" s="92">
        <v>1</v>
      </c>
      <c r="G49" s="91">
        <v>0</v>
      </c>
      <c r="H49" s="90">
        <f t="shared" si="32"/>
        <v>0</v>
      </c>
      <c r="I49" s="168"/>
      <c r="J49" s="84"/>
      <c r="K49" s="95">
        <v>0</v>
      </c>
      <c r="L49" s="127">
        <f t="shared" si="33"/>
        <v>0</v>
      </c>
      <c r="M49" s="84"/>
      <c r="N49" s="33"/>
      <c r="O49" s="84"/>
      <c r="P49" s="219"/>
      <c r="Q49" s="219"/>
      <c r="R49" s="219"/>
      <c r="S49" s="84"/>
      <c r="T49" s="202"/>
      <c r="U49" s="21">
        <v>0</v>
      </c>
      <c r="V49" s="21">
        <v>0</v>
      </c>
      <c r="W49" s="21">
        <f t="shared" si="28"/>
        <v>0</v>
      </c>
      <c r="X49" s="22">
        <v>1</v>
      </c>
      <c r="Y49" s="23">
        <f t="shared" ref="Y49" si="49">W49-(W49*X49)</f>
        <v>0</v>
      </c>
      <c r="Z49" s="234">
        <f t="shared" si="34"/>
        <v>0</v>
      </c>
      <c r="AA49" s="21">
        <f t="shared" si="7"/>
        <v>0</v>
      </c>
      <c r="AB49" s="203"/>
      <c r="AC49" s="9"/>
      <c r="AD49" s="9" t="str">
        <f t="shared" si="42"/>
        <v>3.6</v>
      </c>
      <c r="AE49" s="27">
        <f t="shared" si="43"/>
        <v>0</v>
      </c>
      <c r="AF49" s="21">
        <f t="shared" si="44"/>
        <v>0</v>
      </c>
      <c r="AG49" s="21">
        <v>0</v>
      </c>
      <c r="AH49" s="21">
        <f t="shared" si="45"/>
        <v>0</v>
      </c>
      <c r="AI49" s="21">
        <f t="shared" si="46"/>
        <v>0</v>
      </c>
      <c r="AJ49" s="21">
        <f t="shared" si="47"/>
        <v>0</v>
      </c>
      <c r="AK49" s="9" t="s">
        <v>57</v>
      </c>
      <c r="AL49" s="9" t="s">
        <v>57</v>
      </c>
      <c r="AM49" s="22">
        <v>0</v>
      </c>
      <c r="AN49" s="23">
        <f t="shared" si="48"/>
        <v>0</v>
      </c>
      <c r="AO49" s="9"/>
      <c r="AP49" s="26">
        <v>0</v>
      </c>
      <c r="AQ49" s="9"/>
    </row>
    <row r="50" spans="2:43" ht="94.5" x14ac:dyDescent="0.25">
      <c r="B50" s="167" t="s">
        <v>252</v>
      </c>
      <c r="C50" s="96" t="s">
        <v>590</v>
      </c>
      <c r="D50" s="93" t="s">
        <v>87</v>
      </c>
      <c r="E50" s="92">
        <v>1</v>
      </c>
      <c r="F50" s="92">
        <v>1</v>
      </c>
      <c r="G50" s="91">
        <v>0</v>
      </c>
      <c r="H50" s="90">
        <f t="shared" si="32"/>
        <v>0</v>
      </c>
      <c r="I50" s="168"/>
      <c r="J50" s="84"/>
      <c r="K50" s="95">
        <v>0</v>
      </c>
      <c r="L50" s="127">
        <f t="shared" si="33"/>
        <v>0</v>
      </c>
      <c r="M50" s="1"/>
      <c r="N50" s="29"/>
      <c r="O50" s="1"/>
      <c r="P50" s="219"/>
      <c r="Q50" s="219"/>
      <c r="R50" s="219"/>
      <c r="S50" s="1"/>
      <c r="T50" s="20"/>
      <c r="U50" s="21">
        <v>0</v>
      </c>
      <c r="V50" s="21">
        <v>0</v>
      </c>
      <c r="W50" s="21">
        <f t="shared" si="28"/>
        <v>0</v>
      </c>
      <c r="X50" s="22">
        <v>1</v>
      </c>
      <c r="Y50" s="23">
        <f t="shared" si="12"/>
        <v>0</v>
      </c>
      <c r="Z50" s="234">
        <f t="shared" si="34"/>
        <v>0</v>
      </c>
      <c r="AA50" s="21">
        <f t="shared" si="7"/>
        <v>0</v>
      </c>
      <c r="AC50" s="9"/>
      <c r="AD50" s="9" t="str">
        <f t="shared" si="42"/>
        <v>3.7</v>
      </c>
      <c r="AE50" s="27">
        <f t="shared" si="43"/>
        <v>0</v>
      </c>
      <c r="AF50" s="21">
        <f t="shared" si="44"/>
        <v>0</v>
      </c>
      <c r="AG50" s="21">
        <v>0</v>
      </c>
      <c r="AH50" s="21">
        <f t="shared" si="45"/>
        <v>0</v>
      </c>
      <c r="AI50" s="21">
        <f t="shared" si="46"/>
        <v>0</v>
      </c>
      <c r="AJ50" s="21">
        <f t="shared" si="47"/>
        <v>0</v>
      </c>
      <c r="AK50" s="9" t="s">
        <v>57</v>
      </c>
      <c r="AL50" s="9" t="s">
        <v>57</v>
      </c>
      <c r="AM50" s="22">
        <v>0</v>
      </c>
      <c r="AN50" s="23">
        <f t="shared" si="48"/>
        <v>0</v>
      </c>
      <c r="AO50" s="9"/>
      <c r="AP50" s="26">
        <v>0</v>
      </c>
      <c r="AQ50" s="9"/>
    </row>
    <row r="51" spans="2:43" ht="78.75" x14ac:dyDescent="0.25">
      <c r="B51" s="167" t="s">
        <v>251</v>
      </c>
      <c r="C51" s="108" t="s">
        <v>591</v>
      </c>
      <c r="D51" s="93" t="s">
        <v>87</v>
      </c>
      <c r="E51" s="92">
        <v>1</v>
      </c>
      <c r="F51" s="92">
        <v>1</v>
      </c>
      <c r="G51" s="91">
        <v>0</v>
      </c>
      <c r="H51" s="90">
        <f t="shared" si="32"/>
        <v>0</v>
      </c>
      <c r="I51" s="168"/>
      <c r="J51" s="84"/>
      <c r="K51" s="95">
        <f>H51</f>
        <v>0</v>
      </c>
      <c r="L51" s="127">
        <v>0</v>
      </c>
      <c r="M51" s="11"/>
      <c r="N51" s="30"/>
      <c r="O51" s="11"/>
      <c r="P51" s="219"/>
      <c r="Q51" s="219"/>
      <c r="R51" s="219"/>
      <c r="S51" s="11"/>
      <c r="T51" s="20"/>
      <c r="U51" s="21">
        <v>0</v>
      </c>
      <c r="V51" s="21">
        <v>0</v>
      </c>
      <c r="W51" s="21">
        <f t="shared" si="28"/>
        <v>0</v>
      </c>
      <c r="X51" s="22">
        <v>1</v>
      </c>
      <c r="Y51" s="23">
        <f t="shared" si="12"/>
        <v>0</v>
      </c>
      <c r="Z51" s="234">
        <f>U51*0%</f>
        <v>0</v>
      </c>
      <c r="AA51" s="21">
        <f t="shared" si="7"/>
        <v>0</v>
      </c>
      <c r="AC51" s="9"/>
      <c r="AD51" s="9" t="str">
        <f t="shared" si="42"/>
        <v>3.8</v>
      </c>
      <c r="AE51" s="27">
        <f t="shared" si="43"/>
        <v>0</v>
      </c>
      <c r="AF51" s="21">
        <f t="shared" si="44"/>
        <v>0</v>
      </c>
      <c r="AG51" s="21">
        <v>0</v>
      </c>
      <c r="AH51" s="21">
        <f t="shared" si="45"/>
        <v>0</v>
      </c>
      <c r="AI51" s="21">
        <f t="shared" si="46"/>
        <v>0</v>
      </c>
      <c r="AJ51" s="21">
        <f t="shared" si="47"/>
        <v>0</v>
      </c>
      <c r="AK51" s="9" t="s">
        <v>57</v>
      </c>
      <c r="AL51" s="9" t="s">
        <v>57</v>
      </c>
      <c r="AM51" s="22">
        <v>0</v>
      </c>
      <c r="AN51" s="23">
        <f t="shared" si="48"/>
        <v>0</v>
      </c>
      <c r="AO51" s="9"/>
      <c r="AP51" s="26">
        <v>0</v>
      </c>
      <c r="AQ51" s="9"/>
    </row>
    <row r="52" spans="2:43" ht="94.5" x14ac:dyDescent="0.25">
      <c r="B52" s="167" t="s">
        <v>250</v>
      </c>
      <c r="C52" s="108" t="s">
        <v>592</v>
      </c>
      <c r="D52" s="93" t="s">
        <v>87</v>
      </c>
      <c r="E52" s="92">
        <v>1</v>
      </c>
      <c r="F52" s="92">
        <v>1</v>
      </c>
      <c r="G52" s="91">
        <v>0</v>
      </c>
      <c r="H52" s="90">
        <f t="shared" si="32"/>
        <v>0</v>
      </c>
      <c r="I52" s="168"/>
      <c r="J52" s="84"/>
      <c r="K52" s="95">
        <f>H52</f>
        <v>0</v>
      </c>
      <c r="L52" s="127">
        <v>0</v>
      </c>
      <c r="M52" s="11"/>
      <c r="N52" s="30"/>
      <c r="O52" s="11"/>
      <c r="P52" s="219"/>
      <c r="Q52" s="219"/>
      <c r="R52" s="219"/>
      <c r="S52" s="11"/>
      <c r="T52" s="20"/>
      <c r="U52" s="21">
        <v>0</v>
      </c>
      <c r="V52" s="21">
        <v>0</v>
      </c>
      <c r="W52" s="21">
        <f t="shared" si="28"/>
        <v>0</v>
      </c>
      <c r="X52" s="22">
        <v>1</v>
      </c>
      <c r="Y52" s="23">
        <f t="shared" si="12"/>
        <v>0</v>
      </c>
      <c r="Z52" s="234">
        <f t="shared" ref="Z52:Z54" si="50">U52*0%</f>
        <v>0</v>
      </c>
      <c r="AA52" s="21">
        <f t="shared" si="7"/>
        <v>0</v>
      </c>
      <c r="AC52" s="9"/>
      <c r="AD52" s="9" t="str">
        <f t="shared" si="42"/>
        <v>3.9</v>
      </c>
      <c r="AE52" s="27">
        <f t="shared" si="43"/>
        <v>0</v>
      </c>
      <c r="AF52" s="21">
        <f t="shared" si="44"/>
        <v>0</v>
      </c>
      <c r="AG52" s="21">
        <v>0</v>
      </c>
      <c r="AH52" s="21">
        <f t="shared" si="45"/>
        <v>0</v>
      </c>
      <c r="AI52" s="21">
        <f t="shared" si="46"/>
        <v>0</v>
      </c>
      <c r="AJ52" s="21">
        <f t="shared" si="47"/>
        <v>0</v>
      </c>
      <c r="AK52" s="9" t="s">
        <v>57</v>
      </c>
      <c r="AL52" s="9" t="s">
        <v>57</v>
      </c>
      <c r="AM52" s="22">
        <v>0</v>
      </c>
      <c r="AN52" s="23">
        <f t="shared" si="48"/>
        <v>0</v>
      </c>
      <c r="AO52" s="9"/>
      <c r="AP52" s="26">
        <v>0</v>
      </c>
      <c r="AQ52" s="9"/>
    </row>
    <row r="53" spans="2:43" ht="94.5" x14ac:dyDescent="0.25">
      <c r="B53" s="167" t="s">
        <v>249</v>
      </c>
      <c r="C53" s="108" t="s">
        <v>593</v>
      </c>
      <c r="D53" s="93" t="s">
        <v>87</v>
      </c>
      <c r="E53" s="92">
        <v>1</v>
      </c>
      <c r="F53" s="92">
        <v>1</v>
      </c>
      <c r="G53" s="91">
        <v>0</v>
      </c>
      <c r="H53" s="90">
        <f t="shared" si="32"/>
        <v>0</v>
      </c>
      <c r="I53" s="168"/>
      <c r="J53" s="84"/>
      <c r="K53" s="95">
        <f>H53</f>
        <v>0</v>
      </c>
      <c r="L53" s="127">
        <v>0</v>
      </c>
      <c r="M53" s="11"/>
      <c r="N53" s="30"/>
      <c r="O53" s="11"/>
      <c r="P53" s="219"/>
      <c r="Q53" s="219"/>
      <c r="R53" s="219"/>
      <c r="S53" s="11"/>
      <c r="T53" s="20"/>
      <c r="U53" s="21">
        <v>0</v>
      </c>
      <c r="V53" s="21">
        <v>0</v>
      </c>
      <c r="W53" s="21">
        <f t="shared" si="28"/>
        <v>0</v>
      </c>
      <c r="X53" s="22">
        <v>1</v>
      </c>
      <c r="Y53" s="23">
        <f t="shared" si="12"/>
        <v>0</v>
      </c>
      <c r="Z53" s="234">
        <f t="shared" si="50"/>
        <v>0</v>
      </c>
      <c r="AA53" s="21">
        <f t="shared" si="7"/>
        <v>0</v>
      </c>
      <c r="AC53" s="9"/>
      <c r="AD53" s="9" t="str">
        <f t="shared" si="42"/>
        <v>3.10</v>
      </c>
      <c r="AE53" s="27">
        <f t="shared" si="43"/>
        <v>0</v>
      </c>
      <c r="AF53" s="21">
        <f t="shared" si="44"/>
        <v>0</v>
      </c>
      <c r="AG53" s="21">
        <v>0</v>
      </c>
      <c r="AH53" s="21">
        <f t="shared" si="45"/>
        <v>0</v>
      </c>
      <c r="AI53" s="21">
        <f t="shared" si="46"/>
        <v>0</v>
      </c>
      <c r="AJ53" s="21">
        <f t="shared" si="47"/>
        <v>0</v>
      </c>
      <c r="AK53" s="9" t="s">
        <v>57</v>
      </c>
      <c r="AL53" s="9" t="s">
        <v>57</v>
      </c>
      <c r="AM53" s="22">
        <v>0</v>
      </c>
      <c r="AN53" s="23">
        <f t="shared" si="48"/>
        <v>0</v>
      </c>
      <c r="AO53" s="9"/>
      <c r="AP53" s="26">
        <v>0</v>
      </c>
      <c r="AQ53" s="9"/>
    </row>
    <row r="54" spans="2:43" ht="94.5" x14ac:dyDescent="0.25">
      <c r="B54" s="167" t="s">
        <v>281</v>
      </c>
      <c r="C54" s="108" t="s">
        <v>594</v>
      </c>
      <c r="D54" s="93" t="s">
        <v>87</v>
      </c>
      <c r="E54" s="92">
        <v>1</v>
      </c>
      <c r="F54" s="92">
        <v>1</v>
      </c>
      <c r="G54" s="91">
        <v>0</v>
      </c>
      <c r="H54" s="90">
        <f t="shared" si="32"/>
        <v>0</v>
      </c>
      <c r="I54" s="168"/>
      <c r="J54" s="84"/>
      <c r="K54" s="95">
        <f>H54</f>
        <v>0</v>
      </c>
      <c r="L54" s="127">
        <v>0</v>
      </c>
      <c r="M54" s="11"/>
      <c r="N54" s="30"/>
      <c r="O54" s="11"/>
      <c r="P54" s="219"/>
      <c r="Q54" s="219"/>
      <c r="R54" s="219"/>
      <c r="S54" s="11"/>
      <c r="T54" s="20"/>
      <c r="U54" s="21">
        <v>0</v>
      </c>
      <c r="V54" s="21">
        <v>0</v>
      </c>
      <c r="W54" s="21">
        <f t="shared" si="28"/>
        <v>0</v>
      </c>
      <c r="X54" s="22">
        <v>1</v>
      </c>
      <c r="Y54" s="23">
        <f>W54-(W54*X54)</f>
        <v>0</v>
      </c>
      <c r="Z54" s="234">
        <f t="shared" si="50"/>
        <v>0</v>
      </c>
      <c r="AA54" s="21">
        <f t="shared" si="7"/>
        <v>0</v>
      </c>
      <c r="AC54" s="9"/>
      <c r="AD54" s="9" t="str">
        <f t="shared" si="42"/>
        <v>3.11</v>
      </c>
      <c r="AE54" s="27">
        <f t="shared" si="43"/>
        <v>0</v>
      </c>
      <c r="AF54" s="21">
        <f t="shared" si="44"/>
        <v>0</v>
      </c>
      <c r="AG54" s="21">
        <v>0</v>
      </c>
      <c r="AH54" s="21">
        <f t="shared" si="45"/>
        <v>0</v>
      </c>
      <c r="AI54" s="21">
        <f t="shared" si="46"/>
        <v>0</v>
      </c>
      <c r="AJ54" s="21">
        <f t="shared" si="47"/>
        <v>0</v>
      </c>
      <c r="AK54" s="9" t="s">
        <v>57</v>
      </c>
      <c r="AL54" s="9" t="s">
        <v>57</v>
      </c>
      <c r="AM54" s="22">
        <v>0</v>
      </c>
      <c r="AN54" s="23">
        <f t="shared" si="48"/>
        <v>0</v>
      </c>
      <c r="AO54" s="9"/>
      <c r="AP54" s="26">
        <v>0</v>
      </c>
      <c r="AQ54" s="9"/>
    </row>
    <row r="55" spans="2:43" ht="38.25" x14ac:dyDescent="0.25">
      <c r="B55" s="165">
        <v>4</v>
      </c>
      <c r="C55" s="87" t="s">
        <v>285</v>
      </c>
      <c r="D55" s="87"/>
      <c r="E55" s="87"/>
      <c r="F55" s="87"/>
      <c r="G55" s="87"/>
      <c r="H55" s="87"/>
      <c r="I55" s="166">
        <f>SUM(H56:H81)</f>
        <v>0</v>
      </c>
      <c r="J55" s="84"/>
      <c r="K55" s="99" t="s">
        <v>75</v>
      </c>
      <c r="L55" s="98" t="str">
        <f>L$15</f>
        <v>30 DIAS</v>
      </c>
      <c r="M55" s="8"/>
      <c r="N55" s="29"/>
      <c r="O55" s="8"/>
      <c r="P55" s="218" t="s">
        <v>506</v>
      </c>
      <c r="Q55" s="218" t="s">
        <v>507</v>
      </c>
      <c r="R55" s="218" t="s">
        <v>508</v>
      </c>
      <c r="S55" s="8"/>
      <c r="T55" s="144" t="s">
        <v>22</v>
      </c>
      <c r="U55" s="145" t="s">
        <v>23</v>
      </c>
      <c r="V55" s="146" t="s">
        <v>523</v>
      </c>
      <c r="W55" s="146" t="s">
        <v>24</v>
      </c>
      <c r="X55" s="333" t="s">
        <v>68</v>
      </c>
      <c r="Y55" s="334"/>
      <c r="Z55" s="147" t="s">
        <v>25</v>
      </c>
      <c r="AA55" s="147" t="s">
        <v>26</v>
      </c>
      <c r="AB55" s="148"/>
      <c r="AC55" s="149" t="s">
        <v>16</v>
      </c>
      <c r="AD55" s="149" t="s">
        <v>17</v>
      </c>
      <c r="AE55" s="150" t="s">
        <v>22</v>
      </c>
      <c r="AF55" s="151" t="s">
        <v>23</v>
      </c>
      <c r="AG55" s="146" t="s">
        <v>523</v>
      </c>
      <c r="AH55" s="152" t="s">
        <v>24</v>
      </c>
      <c r="AI55" s="153" t="s">
        <v>25</v>
      </c>
      <c r="AJ55" s="153" t="s">
        <v>26</v>
      </c>
      <c r="AK55" s="149" t="s">
        <v>18</v>
      </c>
      <c r="AL55" s="149" t="s">
        <v>67</v>
      </c>
      <c r="AM55" s="333" t="s">
        <v>68</v>
      </c>
      <c r="AN55" s="334"/>
      <c r="AO55" s="149" t="s">
        <v>19</v>
      </c>
      <c r="AP55" s="149" t="s">
        <v>20</v>
      </c>
      <c r="AQ55" s="154" t="s">
        <v>21</v>
      </c>
    </row>
    <row r="56" spans="2:43" ht="63" x14ac:dyDescent="0.25">
      <c r="B56" s="170" t="s">
        <v>44</v>
      </c>
      <c r="C56" s="125" t="s">
        <v>595</v>
      </c>
      <c r="D56" s="93" t="s">
        <v>87</v>
      </c>
      <c r="E56" s="92">
        <v>1</v>
      </c>
      <c r="F56" s="92">
        <v>1</v>
      </c>
      <c r="G56" s="91">
        <v>0</v>
      </c>
      <c r="H56" s="90">
        <f t="shared" ref="H56:H68" si="51">E56*F56*G56</f>
        <v>0</v>
      </c>
      <c r="I56" s="171"/>
      <c r="J56" s="84"/>
      <c r="K56" s="95">
        <v>0</v>
      </c>
      <c r="L56" s="88">
        <f t="shared" ref="L56:L68" si="52">H56</f>
        <v>0</v>
      </c>
      <c r="M56" s="8"/>
      <c r="N56" s="29"/>
      <c r="O56" s="8"/>
      <c r="P56" s="220"/>
      <c r="Q56" s="220"/>
      <c r="R56" s="220"/>
      <c r="S56" s="8"/>
      <c r="T56" s="20"/>
      <c r="U56" s="21">
        <v>0</v>
      </c>
      <c r="V56" s="21">
        <v>0</v>
      </c>
      <c r="W56" s="21">
        <f t="shared" ref="W56:W79" si="53">(H56-U56)-V56</f>
        <v>0</v>
      </c>
      <c r="X56" s="22">
        <v>1</v>
      </c>
      <c r="Y56" s="23">
        <f>W56-(W56*X56)</f>
        <v>0</v>
      </c>
      <c r="Z56" s="21">
        <f t="shared" ref="Z56:Z68" si="54">U56*10%</f>
        <v>0</v>
      </c>
      <c r="AA56" s="21">
        <f t="shared" si="7"/>
        <v>0</v>
      </c>
      <c r="AC56" s="9"/>
      <c r="AD56" s="9" t="str">
        <f t="shared" ref="AD56:AD68" si="55">B56</f>
        <v>4.1</v>
      </c>
      <c r="AE56" s="27">
        <f t="shared" ref="AE56:AE68" si="56">T56</f>
        <v>0</v>
      </c>
      <c r="AF56" s="21">
        <f t="shared" ref="AF56:AF68" si="57">U56</f>
        <v>0</v>
      </c>
      <c r="AG56" s="21">
        <v>0</v>
      </c>
      <c r="AH56" s="21">
        <f t="shared" ref="AH56:AH68" si="58">H56-AF56</f>
        <v>0</v>
      </c>
      <c r="AI56" s="21">
        <f t="shared" ref="AI56:AI68" si="59">AF56*10%</f>
        <v>0</v>
      </c>
      <c r="AJ56" s="21">
        <f t="shared" ref="AJ56:AJ68" si="60">AN56+AI56</f>
        <v>0</v>
      </c>
      <c r="AK56" s="9" t="s">
        <v>57</v>
      </c>
      <c r="AL56" s="9" t="s">
        <v>57</v>
      </c>
      <c r="AM56" s="22">
        <v>0</v>
      </c>
      <c r="AN56" s="23">
        <f t="shared" ref="AN56:AN68" si="61">(AH56-(AH56*AM56))</f>
        <v>0</v>
      </c>
      <c r="AO56" s="9"/>
      <c r="AP56" s="26">
        <v>0</v>
      </c>
      <c r="AQ56" s="9"/>
    </row>
    <row r="57" spans="2:43" ht="63" x14ac:dyDescent="0.25">
      <c r="B57" s="170" t="s">
        <v>247</v>
      </c>
      <c r="C57" s="102" t="s">
        <v>596</v>
      </c>
      <c r="D57" s="93" t="s">
        <v>87</v>
      </c>
      <c r="E57" s="92">
        <v>1</v>
      </c>
      <c r="F57" s="92">
        <v>1</v>
      </c>
      <c r="G57" s="91">
        <v>0</v>
      </c>
      <c r="H57" s="90">
        <f t="shared" si="51"/>
        <v>0</v>
      </c>
      <c r="I57" s="171"/>
      <c r="J57" s="84"/>
      <c r="K57" s="95">
        <v>0</v>
      </c>
      <c r="L57" s="88">
        <f t="shared" si="52"/>
        <v>0</v>
      </c>
      <c r="M57" s="8"/>
      <c r="N57" s="29"/>
      <c r="O57" s="8"/>
      <c r="P57" s="220"/>
      <c r="Q57" s="220"/>
      <c r="R57" s="220"/>
      <c r="S57" s="8"/>
      <c r="T57" s="20"/>
      <c r="U57" s="21">
        <v>0</v>
      </c>
      <c r="V57" s="21">
        <v>0</v>
      </c>
      <c r="W57" s="21">
        <f t="shared" si="53"/>
        <v>0</v>
      </c>
      <c r="X57" s="22">
        <v>1</v>
      </c>
      <c r="Y57" s="23">
        <f t="shared" ref="Y57:Y80" si="62">W57-(W57*X57)</f>
        <v>0</v>
      </c>
      <c r="Z57" s="21">
        <f t="shared" si="54"/>
        <v>0</v>
      </c>
      <c r="AA57" s="21">
        <f t="shared" si="7"/>
        <v>0</v>
      </c>
      <c r="AC57" s="9"/>
      <c r="AD57" s="9" t="str">
        <f t="shared" si="55"/>
        <v>4.2</v>
      </c>
      <c r="AE57" s="27">
        <f t="shared" si="56"/>
        <v>0</v>
      </c>
      <c r="AF57" s="21">
        <f t="shared" si="57"/>
        <v>0</v>
      </c>
      <c r="AG57" s="21">
        <v>0</v>
      </c>
      <c r="AH57" s="21">
        <f t="shared" si="58"/>
        <v>0</v>
      </c>
      <c r="AI57" s="21">
        <f t="shared" si="59"/>
        <v>0</v>
      </c>
      <c r="AJ57" s="21">
        <f t="shared" si="60"/>
        <v>0</v>
      </c>
      <c r="AK57" s="9" t="s">
        <v>57</v>
      </c>
      <c r="AL57" s="9" t="s">
        <v>57</v>
      </c>
      <c r="AM57" s="22">
        <v>0</v>
      </c>
      <c r="AN57" s="23">
        <f t="shared" si="61"/>
        <v>0</v>
      </c>
      <c r="AO57" s="9"/>
      <c r="AP57" s="26">
        <v>0</v>
      </c>
      <c r="AQ57" s="9"/>
    </row>
    <row r="58" spans="2:43" ht="63" x14ac:dyDescent="0.25">
      <c r="B58" s="170" t="s">
        <v>246</v>
      </c>
      <c r="C58" s="102" t="s">
        <v>597</v>
      </c>
      <c r="D58" s="93" t="s">
        <v>87</v>
      </c>
      <c r="E58" s="92">
        <v>1</v>
      </c>
      <c r="F58" s="92">
        <v>1</v>
      </c>
      <c r="G58" s="91">
        <v>0</v>
      </c>
      <c r="H58" s="90">
        <f t="shared" si="51"/>
        <v>0</v>
      </c>
      <c r="I58" s="171"/>
      <c r="J58" s="84"/>
      <c r="K58" s="95">
        <v>0</v>
      </c>
      <c r="L58" s="88">
        <f t="shared" si="52"/>
        <v>0</v>
      </c>
      <c r="M58" s="8"/>
      <c r="N58" s="29"/>
      <c r="O58" s="8"/>
      <c r="P58" s="220"/>
      <c r="Q58" s="220"/>
      <c r="R58" s="220"/>
      <c r="S58" s="8"/>
      <c r="T58" s="20"/>
      <c r="U58" s="21">
        <v>0</v>
      </c>
      <c r="V58" s="21">
        <v>0</v>
      </c>
      <c r="W58" s="21">
        <f t="shared" si="53"/>
        <v>0</v>
      </c>
      <c r="X58" s="22">
        <v>1</v>
      </c>
      <c r="Y58" s="23">
        <f t="shared" si="62"/>
        <v>0</v>
      </c>
      <c r="Z58" s="21">
        <f t="shared" si="54"/>
        <v>0</v>
      </c>
      <c r="AA58" s="21">
        <f t="shared" si="7"/>
        <v>0</v>
      </c>
      <c r="AC58" s="9"/>
      <c r="AD58" s="9" t="str">
        <f t="shared" si="55"/>
        <v>4.3</v>
      </c>
      <c r="AE58" s="27">
        <f t="shared" si="56"/>
        <v>0</v>
      </c>
      <c r="AF58" s="21">
        <f t="shared" si="57"/>
        <v>0</v>
      </c>
      <c r="AG58" s="21">
        <v>0</v>
      </c>
      <c r="AH58" s="21">
        <f t="shared" si="58"/>
        <v>0</v>
      </c>
      <c r="AI58" s="21">
        <f t="shared" si="59"/>
        <v>0</v>
      </c>
      <c r="AJ58" s="21">
        <f t="shared" si="60"/>
        <v>0</v>
      </c>
      <c r="AK58" s="9" t="s">
        <v>57</v>
      </c>
      <c r="AL58" s="9" t="s">
        <v>57</v>
      </c>
      <c r="AM58" s="22">
        <v>0</v>
      </c>
      <c r="AN58" s="23">
        <f t="shared" si="61"/>
        <v>0</v>
      </c>
      <c r="AO58" s="9"/>
      <c r="AP58" s="26">
        <v>0</v>
      </c>
      <c r="AQ58" s="9"/>
    </row>
    <row r="59" spans="2:43" ht="63" x14ac:dyDescent="0.25">
      <c r="B59" s="170" t="s">
        <v>245</v>
      </c>
      <c r="C59" s="102" t="s">
        <v>598</v>
      </c>
      <c r="D59" s="93" t="s">
        <v>87</v>
      </c>
      <c r="E59" s="92">
        <v>1</v>
      </c>
      <c r="F59" s="92">
        <v>1</v>
      </c>
      <c r="G59" s="91">
        <v>0</v>
      </c>
      <c r="H59" s="90">
        <f t="shared" si="51"/>
        <v>0</v>
      </c>
      <c r="I59" s="171"/>
      <c r="J59" s="84"/>
      <c r="K59" s="95">
        <v>0</v>
      </c>
      <c r="L59" s="88">
        <f t="shared" si="52"/>
        <v>0</v>
      </c>
      <c r="M59" s="8"/>
      <c r="N59" s="29"/>
      <c r="O59" s="8"/>
      <c r="P59" s="220"/>
      <c r="Q59" s="220"/>
      <c r="R59" s="220"/>
      <c r="S59" s="8"/>
      <c r="T59" s="20"/>
      <c r="U59" s="21">
        <v>0</v>
      </c>
      <c r="V59" s="21">
        <v>0</v>
      </c>
      <c r="W59" s="21">
        <f t="shared" si="53"/>
        <v>0</v>
      </c>
      <c r="X59" s="22">
        <v>1</v>
      </c>
      <c r="Y59" s="23">
        <f t="shared" si="62"/>
        <v>0</v>
      </c>
      <c r="Z59" s="21">
        <f t="shared" si="54"/>
        <v>0</v>
      </c>
      <c r="AA59" s="21">
        <f t="shared" si="7"/>
        <v>0</v>
      </c>
      <c r="AC59" s="9"/>
      <c r="AD59" s="9" t="str">
        <f t="shared" si="55"/>
        <v>4.4</v>
      </c>
      <c r="AE59" s="27">
        <f t="shared" si="56"/>
        <v>0</v>
      </c>
      <c r="AF59" s="21">
        <f t="shared" si="57"/>
        <v>0</v>
      </c>
      <c r="AG59" s="21">
        <v>0</v>
      </c>
      <c r="AH59" s="21">
        <f t="shared" si="58"/>
        <v>0</v>
      </c>
      <c r="AI59" s="21">
        <f t="shared" si="59"/>
        <v>0</v>
      </c>
      <c r="AJ59" s="21">
        <f t="shared" si="60"/>
        <v>0</v>
      </c>
      <c r="AK59" s="9" t="s">
        <v>57</v>
      </c>
      <c r="AL59" s="9" t="s">
        <v>57</v>
      </c>
      <c r="AM59" s="22">
        <v>0</v>
      </c>
      <c r="AN59" s="23">
        <f t="shared" si="61"/>
        <v>0</v>
      </c>
      <c r="AO59" s="9"/>
      <c r="AP59" s="26">
        <v>0</v>
      </c>
      <c r="AQ59" s="9"/>
    </row>
    <row r="60" spans="2:43" ht="63" x14ac:dyDescent="0.25">
      <c r="B60" s="170" t="s">
        <v>244</v>
      </c>
      <c r="C60" s="96" t="s">
        <v>599</v>
      </c>
      <c r="D60" s="93" t="s">
        <v>87</v>
      </c>
      <c r="E60" s="114">
        <v>1</v>
      </c>
      <c r="F60" s="114">
        <v>1</v>
      </c>
      <c r="G60" s="90">
        <v>0</v>
      </c>
      <c r="H60" s="124">
        <f t="shared" si="51"/>
        <v>0</v>
      </c>
      <c r="I60" s="172"/>
      <c r="J60" s="84"/>
      <c r="K60" s="95">
        <v>0</v>
      </c>
      <c r="L60" s="88">
        <f t="shared" si="52"/>
        <v>0</v>
      </c>
      <c r="M60" s="8"/>
      <c r="N60" s="29"/>
      <c r="O60" s="8"/>
      <c r="P60" s="220"/>
      <c r="Q60" s="220"/>
      <c r="R60" s="220"/>
      <c r="S60" s="8"/>
      <c r="T60" s="20"/>
      <c r="U60" s="21">
        <v>0</v>
      </c>
      <c r="V60" s="21">
        <v>0</v>
      </c>
      <c r="W60" s="21">
        <f t="shared" si="53"/>
        <v>0</v>
      </c>
      <c r="X60" s="22">
        <v>1</v>
      </c>
      <c r="Y60" s="23">
        <f t="shared" si="62"/>
        <v>0</v>
      </c>
      <c r="Z60" s="21">
        <f t="shared" si="54"/>
        <v>0</v>
      </c>
      <c r="AA60" s="21">
        <f t="shared" si="7"/>
        <v>0</v>
      </c>
      <c r="AC60" s="9"/>
      <c r="AD60" s="9" t="str">
        <f t="shared" si="55"/>
        <v>4.5</v>
      </c>
      <c r="AE60" s="27">
        <f t="shared" si="56"/>
        <v>0</v>
      </c>
      <c r="AF60" s="21">
        <f t="shared" si="57"/>
        <v>0</v>
      </c>
      <c r="AG60" s="21">
        <v>0</v>
      </c>
      <c r="AH60" s="21">
        <f t="shared" si="58"/>
        <v>0</v>
      </c>
      <c r="AI60" s="21">
        <f t="shared" si="59"/>
        <v>0</v>
      </c>
      <c r="AJ60" s="21">
        <f t="shared" si="60"/>
        <v>0</v>
      </c>
      <c r="AK60" s="9" t="s">
        <v>57</v>
      </c>
      <c r="AL60" s="9" t="s">
        <v>57</v>
      </c>
      <c r="AM60" s="22">
        <v>0</v>
      </c>
      <c r="AN60" s="23">
        <f t="shared" si="61"/>
        <v>0</v>
      </c>
      <c r="AO60" s="9"/>
      <c r="AP60" s="26">
        <v>0</v>
      </c>
      <c r="AQ60" s="9"/>
    </row>
    <row r="61" spans="2:43" ht="47.25" x14ac:dyDescent="0.25">
      <c r="B61" s="170" t="s">
        <v>243</v>
      </c>
      <c r="C61" s="96" t="s">
        <v>600</v>
      </c>
      <c r="D61" s="93" t="s">
        <v>87</v>
      </c>
      <c r="E61" s="114">
        <v>1</v>
      </c>
      <c r="F61" s="114">
        <v>1</v>
      </c>
      <c r="G61" s="90">
        <v>0</v>
      </c>
      <c r="H61" s="124">
        <f t="shared" si="51"/>
        <v>0</v>
      </c>
      <c r="I61" s="172"/>
      <c r="J61" s="84"/>
      <c r="K61" s="95">
        <v>0</v>
      </c>
      <c r="L61" s="88">
        <f t="shared" si="52"/>
        <v>0</v>
      </c>
      <c r="M61" s="8"/>
      <c r="N61" s="29"/>
      <c r="O61" s="8"/>
      <c r="P61" s="220"/>
      <c r="Q61" s="220"/>
      <c r="R61" s="220"/>
      <c r="S61" s="8"/>
      <c r="T61" s="20"/>
      <c r="U61" s="21">
        <v>0</v>
      </c>
      <c r="V61" s="21">
        <v>0</v>
      </c>
      <c r="W61" s="21">
        <f t="shared" si="53"/>
        <v>0</v>
      </c>
      <c r="X61" s="22">
        <v>1</v>
      </c>
      <c r="Y61" s="23">
        <f t="shared" si="62"/>
        <v>0</v>
      </c>
      <c r="Z61" s="21">
        <f t="shared" si="54"/>
        <v>0</v>
      </c>
      <c r="AA61" s="21">
        <f t="shared" si="7"/>
        <v>0</v>
      </c>
      <c r="AC61" s="9"/>
      <c r="AD61" s="9" t="str">
        <f t="shared" si="55"/>
        <v>4.6</v>
      </c>
      <c r="AE61" s="27">
        <f t="shared" si="56"/>
        <v>0</v>
      </c>
      <c r="AF61" s="21">
        <f t="shared" si="57"/>
        <v>0</v>
      </c>
      <c r="AG61" s="21">
        <v>0</v>
      </c>
      <c r="AH61" s="21">
        <f t="shared" si="58"/>
        <v>0</v>
      </c>
      <c r="AI61" s="21">
        <f t="shared" si="59"/>
        <v>0</v>
      </c>
      <c r="AJ61" s="21">
        <f t="shared" si="60"/>
        <v>0</v>
      </c>
      <c r="AK61" s="9" t="s">
        <v>57</v>
      </c>
      <c r="AL61" s="9" t="s">
        <v>57</v>
      </c>
      <c r="AM61" s="22">
        <v>0</v>
      </c>
      <c r="AN61" s="23">
        <f t="shared" si="61"/>
        <v>0</v>
      </c>
      <c r="AO61" s="9"/>
      <c r="AP61" s="26">
        <v>0</v>
      </c>
      <c r="AQ61" s="9"/>
    </row>
    <row r="62" spans="2:43" ht="63" x14ac:dyDescent="0.25">
      <c r="B62" s="170" t="s">
        <v>242</v>
      </c>
      <c r="C62" s="102" t="s">
        <v>601</v>
      </c>
      <c r="D62" s="93" t="s">
        <v>87</v>
      </c>
      <c r="E62" s="92">
        <v>1</v>
      </c>
      <c r="F62" s="92">
        <v>1</v>
      </c>
      <c r="G62" s="91">
        <v>0</v>
      </c>
      <c r="H62" s="90">
        <f t="shared" si="51"/>
        <v>0</v>
      </c>
      <c r="I62" s="171"/>
      <c r="J62" s="84"/>
      <c r="K62" s="95">
        <v>0</v>
      </c>
      <c r="L62" s="88">
        <f t="shared" si="52"/>
        <v>0</v>
      </c>
      <c r="M62" s="8"/>
      <c r="N62" s="29"/>
      <c r="O62" s="8"/>
      <c r="P62" s="220"/>
      <c r="Q62" s="220"/>
      <c r="R62" s="220"/>
      <c r="S62" s="8"/>
      <c r="T62" s="20"/>
      <c r="U62" s="21">
        <v>0</v>
      </c>
      <c r="V62" s="21">
        <v>0</v>
      </c>
      <c r="W62" s="21">
        <f t="shared" si="53"/>
        <v>0</v>
      </c>
      <c r="X62" s="22">
        <v>1</v>
      </c>
      <c r="Y62" s="23">
        <f t="shared" si="62"/>
        <v>0</v>
      </c>
      <c r="Z62" s="21">
        <f t="shared" si="54"/>
        <v>0</v>
      </c>
      <c r="AA62" s="21">
        <f t="shared" si="7"/>
        <v>0</v>
      </c>
      <c r="AC62" s="9"/>
      <c r="AD62" s="9" t="str">
        <f t="shared" si="55"/>
        <v>4.7</v>
      </c>
      <c r="AE62" s="27">
        <f t="shared" si="56"/>
        <v>0</v>
      </c>
      <c r="AF62" s="21">
        <f t="shared" si="57"/>
        <v>0</v>
      </c>
      <c r="AG62" s="21">
        <v>0</v>
      </c>
      <c r="AH62" s="21">
        <f t="shared" si="58"/>
        <v>0</v>
      </c>
      <c r="AI62" s="21">
        <f t="shared" si="59"/>
        <v>0</v>
      </c>
      <c r="AJ62" s="21">
        <f t="shared" si="60"/>
        <v>0</v>
      </c>
      <c r="AK62" s="9" t="s">
        <v>57</v>
      </c>
      <c r="AL62" s="9" t="s">
        <v>57</v>
      </c>
      <c r="AM62" s="22">
        <v>0</v>
      </c>
      <c r="AN62" s="23">
        <f t="shared" si="61"/>
        <v>0</v>
      </c>
      <c r="AO62" s="9"/>
      <c r="AP62" s="26">
        <v>0</v>
      </c>
      <c r="AQ62" s="9"/>
    </row>
    <row r="63" spans="2:43" ht="63" x14ac:dyDescent="0.25">
      <c r="B63" s="170" t="s">
        <v>241</v>
      </c>
      <c r="C63" s="102" t="s">
        <v>602</v>
      </c>
      <c r="D63" s="93" t="s">
        <v>87</v>
      </c>
      <c r="E63" s="92">
        <v>1</v>
      </c>
      <c r="F63" s="92">
        <v>1</v>
      </c>
      <c r="G63" s="91">
        <v>0</v>
      </c>
      <c r="H63" s="90">
        <f t="shared" si="51"/>
        <v>0</v>
      </c>
      <c r="I63" s="171"/>
      <c r="J63" s="84"/>
      <c r="K63" s="95">
        <v>0</v>
      </c>
      <c r="L63" s="88">
        <f t="shared" si="52"/>
        <v>0</v>
      </c>
      <c r="M63" s="8"/>
      <c r="N63" s="29"/>
      <c r="O63" s="8"/>
      <c r="P63" s="220"/>
      <c r="Q63" s="220"/>
      <c r="R63" s="220"/>
      <c r="S63" s="8"/>
      <c r="T63" s="20"/>
      <c r="U63" s="21">
        <v>0</v>
      </c>
      <c r="V63" s="21">
        <v>0</v>
      </c>
      <c r="W63" s="21">
        <f t="shared" si="53"/>
        <v>0</v>
      </c>
      <c r="X63" s="22">
        <v>1</v>
      </c>
      <c r="Y63" s="23">
        <f t="shared" si="62"/>
        <v>0</v>
      </c>
      <c r="Z63" s="21">
        <f t="shared" si="54"/>
        <v>0</v>
      </c>
      <c r="AA63" s="21">
        <f t="shared" si="7"/>
        <v>0</v>
      </c>
      <c r="AC63" s="9"/>
      <c r="AD63" s="9" t="str">
        <f t="shared" si="55"/>
        <v>4.8</v>
      </c>
      <c r="AE63" s="27">
        <f t="shared" si="56"/>
        <v>0</v>
      </c>
      <c r="AF63" s="21">
        <f t="shared" si="57"/>
        <v>0</v>
      </c>
      <c r="AG63" s="21">
        <v>0</v>
      </c>
      <c r="AH63" s="21">
        <f t="shared" si="58"/>
        <v>0</v>
      </c>
      <c r="AI63" s="21">
        <f t="shared" si="59"/>
        <v>0</v>
      </c>
      <c r="AJ63" s="21">
        <f t="shared" si="60"/>
        <v>0</v>
      </c>
      <c r="AK63" s="9" t="s">
        <v>57</v>
      </c>
      <c r="AL63" s="9" t="s">
        <v>57</v>
      </c>
      <c r="AM63" s="22">
        <v>0</v>
      </c>
      <c r="AN63" s="23">
        <f t="shared" si="61"/>
        <v>0</v>
      </c>
      <c r="AO63" s="9"/>
      <c r="AP63" s="26">
        <v>0</v>
      </c>
      <c r="AQ63" s="9"/>
    </row>
    <row r="64" spans="2:43" ht="63" x14ac:dyDescent="0.25">
      <c r="B64" s="170" t="s">
        <v>240</v>
      </c>
      <c r="C64" s="102" t="s">
        <v>603</v>
      </c>
      <c r="D64" s="93" t="s">
        <v>87</v>
      </c>
      <c r="E64" s="92">
        <v>1</v>
      </c>
      <c r="F64" s="92">
        <v>1</v>
      </c>
      <c r="G64" s="91">
        <v>0</v>
      </c>
      <c r="H64" s="90">
        <f t="shared" si="51"/>
        <v>0</v>
      </c>
      <c r="I64" s="171"/>
      <c r="J64" s="84"/>
      <c r="K64" s="95">
        <v>0</v>
      </c>
      <c r="L64" s="88">
        <f t="shared" si="52"/>
        <v>0</v>
      </c>
      <c r="M64" s="8"/>
      <c r="N64" s="29"/>
      <c r="O64" s="8"/>
      <c r="P64" s="220"/>
      <c r="Q64" s="220"/>
      <c r="R64" s="220"/>
      <c r="S64" s="8"/>
      <c r="T64" s="20"/>
      <c r="U64" s="21">
        <v>0</v>
      </c>
      <c r="V64" s="21">
        <v>0</v>
      </c>
      <c r="W64" s="21">
        <f t="shared" si="53"/>
        <v>0</v>
      </c>
      <c r="X64" s="22">
        <v>1</v>
      </c>
      <c r="Y64" s="23">
        <f>W64-(W64*X64)</f>
        <v>0</v>
      </c>
      <c r="Z64" s="21">
        <f t="shared" si="54"/>
        <v>0</v>
      </c>
      <c r="AA64" s="21">
        <f t="shared" si="7"/>
        <v>0</v>
      </c>
      <c r="AC64" s="9"/>
      <c r="AD64" s="9" t="str">
        <f t="shared" si="55"/>
        <v>4.9</v>
      </c>
      <c r="AE64" s="27">
        <f t="shared" si="56"/>
        <v>0</v>
      </c>
      <c r="AF64" s="21">
        <f t="shared" si="57"/>
        <v>0</v>
      </c>
      <c r="AG64" s="21">
        <v>0</v>
      </c>
      <c r="AH64" s="21">
        <f t="shared" si="58"/>
        <v>0</v>
      </c>
      <c r="AI64" s="21">
        <f t="shared" si="59"/>
        <v>0</v>
      </c>
      <c r="AJ64" s="21">
        <f t="shared" si="60"/>
        <v>0</v>
      </c>
      <c r="AK64" s="9" t="s">
        <v>57</v>
      </c>
      <c r="AL64" s="9" t="s">
        <v>57</v>
      </c>
      <c r="AM64" s="22">
        <v>0</v>
      </c>
      <c r="AN64" s="23">
        <f t="shared" si="61"/>
        <v>0</v>
      </c>
      <c r="AO64" s="9"/>
      <c r="AP64" s="26">
        <v>0</v>
      </c>
      <c r="AQ64" s="9"/>
    </row>
    <row r="65" spans="2:43" ht="63" x14ac:dyDescent="0.25">
      <c r="B65" s="170" t="s">
        <v>239</v>
      </c>
      <c r="C65" s="102" t="s">
        <v>604</v>
      </c>
      <c r="D65" s="93" t="s">
        <v>87</v>
      </c>
      <c r="E65" s="92">
        <v>1</v>
      </c>
      <c r="F65" s="92">
        <v>1</v>
      </c>
      <c r="G65" s="91">
        <v>0</v>
      </c>
      <c r="H65" s="90">
        <f t="shared" si="51"/>
        <v>0</v>
      </c>
      <c r="I65" s="171"/>
      <c r="J65" s="84"/>
      <c r="K65" s="95">
        <v>0</v>
      </c>
      <c r="L65" s="88">
        <f t="shared" si="52"/>
        <v>0</v>
      </c>
      <c r="M65" s="8"/>
      <c r="N65" s="29"/>
      <c r="O65" s="8"/>
      <c r="P65" s="220"/>
      <c r="Q65" s="220"/>
      <c r="R65" s="220"/>
      <c r="S65" s="8"/>
      <c r="T65" s="20"/>
      <c r="U65" s="21">
        <v>0</v>
      </c>
      <c r="V65" s="21">
        <v>0</v>
      </c>
      <c r="W65" s="21">
        <f t="shared" si="53"/>
        <v>0</v>
      </c>
      <c r="X65" s="22">
        <v>1</v>
      </c>
      <c r="Y65" s="23">
        <f t="shared" si="62"/>
        <v>0</v>
      </c>
      <c r="Z65" s="21">
        <f t="shared" si="54"/>
        <v>0</v>
      </c>
      <c r="AA65" s="21">
        <f t="shared" si="7"/>
        <v>0</v>
      </c>
      <c r="AC65" s="9"/>
      <c r="AD65" s="9" t="str">
        <f t="shared" si="55"/>
        <v>4.10</v>
      </c>
      <c r="AE65" s="27">
        <f t="shared" si="56"/>
        <v>0</v>
      </c>
      <c r="AF65" s="21">
        <f t="shared" si="57"/>
        <v>0</v>
      </c>
      <c r="AG65" s="21">
        <v>0</v>
      </c>
      <c r="AH65" s="21">
        <f t="shared" si="58"/>
        <v>0</v>
      </c>
      <c r="AI65" s="21">
        <f t="shared" si="59"/>
        <v>0</v>
      </c>
      <c r="AJ65" s="21">
        <f t="shared" si="60"/>
        <v>0</v>
      </c>
      <c r="AK65" s="9" t="s">
        <v>57</v>
      </c>
      <c r="AL65" s="9" t="s">
        <v>57</v>
      </c>
      <c r="AM65" s="22">
        <v>0</v>
      </c>
      <c r="AN65" s="23">
        <f t="shared" si="61"/>
        <v>0</v>
      </c>
      <c r="AO65" s="9"/>
      <c r="AP65" s="26">
        <v>0</v>
      </c>
      <c r="AQ65" s="9"/>
    </row>
    <row r="66" spans="2:43" ht="63" x14ac:dyDescent="0.25">
      <c r="B66" s="170" t="s">
        <v>301</v>
      </c>
      <c r="C66" s="102" t="s">
        <v>605</v>
      </c>
      <c r="D66" s="93" t="s">
        <v>87</v>
      </c>
      <c r="E66" s="92">
        <v>1</v>
      </c>
      <c r="F66" s="92">
        <v>1</v>
      </c>
      <c r="G66" s="91">
        <v>0</v>
      </c>
      <c r="H66" s="90">
        <f t="shared" si="51"/>
        <v>0</v>
      </c>
      <c r="I66" s="171"/>
      <c r="J66" s="84"/>
      <c r="K66" s="95">
        <v>0</v>
      </c>
      <c r="L66" s="88">
        <f t="shared" si="52"/>
        <v>0</v>
      </c>
      <c r="M66" s="8"/>
      <c r="N66" s="29"/>
      <c r="O66" s="8"/>
      <c r="P66" s="220"/>
      <c r="Q66" s="220"/>
      <c r="R66" s="220"/>
      <c r="S66" s="8"/>
      <c r="T66" s="20"/>
      <c r="U66" s="21">
        <v>0</v>
      </c>
      <c r="V66" s="21">
        <v>0</v>
      </c>
      <c r="W66" s="21">
        <f t="shared" si="53"/>
        <v>0</v>
      </c>
      <c r="X66" s="22">
        <v>1</v>
      </c>
      <c r="Y66" s="23">
        <f t="shared" si="62"/>
        <v>0</v>
      </c>
      <c r="Z66" s="21">
        <f t="shared" si="54"/>
        <v>0</v>
      </c>
      <c r="AA66" s="21">
        <f t="shared" si="7"/>
        <v>0</v>
      </c>
      <c r="AC66" s="9"/>
      <c r="AD66" s="9" t="str">
        <f t="shared" si="55"/>
        <v>4.11</v>
      </c>
      <c r="AE66" s="27">
        <f t="shared" si="56"/>
        <v>0</v>
      </c>
      <c r="AF66" s="21">
        <f t="shared" si="57"/>
        <v>0</v>
      </c>
      <c r="AG66" s="21">
        <v>0</v>
      </c>
      <c r="AH66" s="21">
        <f t="shared" si="58"/>
        <v>0</v>
      </c>
      <c r="AI66" s="21">
        <f t="shared" si="59"/>
        <v>0</v>
      </c>
      <c r="AJ66" s="21">
        <f t="shared" si="60"/>
        <v>0</v>
      </c>
      <c r="AK66" s="9" t="s">
        <v>57</v>
      </c>
      <c r="AL66" s="9" t="s">
        <v>57</v>
      </c>
      <c r="AM66" s="22">
        <v>0</v>
      </c>
      <c r="AN66" s="23">
        <f t="shared" si="61"/>
        <v>0</v>
      </c>
      <c r="AO66" s="9"/>
      <c r="AP66" s="26">
        <v>0</v>
      </c>
      <c r="AQ66" s="9"/>
    </row>
    <row r="67" spans="2:43" ht="63" x14ac:dyDescent="0.25">
      <c r="B67" s="170" t="s">
        <v>302</v>
      </c>
      <c r="C67" s="102" t="s">
        <v>606</v>
      </c>
      <c r="D67" s="93" t="s">
        <v>87</v>
      </c>
      <c r="E67" s="92">
        <v>1</v>
      </c>
      <c r="F67" s="92">
        <v>1</v>
      </c>
      <c r="G67" s="91">
        <v>0</v>
      </c>
      <c r="H67" s="90">
        <f t="shared" si="51"/>
        <v>0</v>
      </c>
      <c r="I67" s="171"/>
      <c r="J67" s="84"/>
      <c r="K67" s="95">
        <v>0</v>
      </c>
      <c r="L67" s="88">
        <f t="shared" si="52"/>
        <v>0</v>
      </c>
      <c r="M67" s="8"/>
      <c r="N67" s="29"/>
      <c r="O67" s="8"/>
      <c r="P67" s="220"/>
      <c r="Q67" s="220"/>
      <c r="R67" s="220"/>
      <c r="S67" s="8"/>
      <c r="T67" s="20"/>
      <c r="U67" s="21">
        <v>0</v>
      </c>
      <c r="V67" s="21">
        <v>0</v>
      </c>
      <c r="W67" s="21">
        <f t="shared" si="53"/>
        <v>0</v>
      </c>
      <c r="X67" s="22">
        <v>1</v>
      </c>
      <c r="Y67" s="23">
        <f t="shared" si="62"/>
        <v>0</v>
      </c>
      <c r="Z67" s="21">
        <f t="shared" si="54"/>
        <v>0</v>
      </c>
      <c r="AA67" s="21">
        <f t="shared" si="7"/>
        <v>0</v>
      </c>
      <c r="AC67" s="9"/>
      <c r="AD67" s="9" t="str">
        <f t="shared" si="55"/>
        <v>4.12</v>
      </c>
      <c r="AE67" s="27">
        <f t="shared" si="56"/>
        <v>0</v>
      </c>
      <c r="AF67" s="21">
        <f t="shared" si="57"/>
        <v>0</v>
      </c>
      <c r="AG67" s="21">
        <v>0</v>
      </c>
      <c r="AH67" s="21">
        <f t="shared" si="58"/>
        <v>0</v>
      </c>
      <c r="AI67" s="21">
        <f t="shared" si="59"/>
        <v>0</v>
      </c>
      <c r="AJ67" s="21">
        <f t="shared" si="60"/>
        <v>0</v>
      </c>
      <c r="AK67" s="9" t="s">
        <v>57</v>
      </c>
      <c r="AL67" s="9" t="s">
        <v>57</v>
      </c>
      <c r="AM67" s="22">
        <v>0</v>
      </c>
      <c r="AN67" s="23">
        <f t="shared" si="61"/>
        <v>0</v>
      </c>
      <c r="AO67" s="9"/>
      <c r="AP67" s="26">
        <v>0</v>
      </c>
      <c r="AQ67" s="9"/>
    </row>
    <row r="68" spans="2:43" ht="63" x14ac:dyDescent="0.25">
      <c r="B68" s="170" t="s">
        <v>303</v>
      </c>
      <c r="C68" s="102" t="s">
        <v>607</v>
      </c>
      <c r="D68" s="93" t="s">
        <v>87</v>
      </c>
      <c r="E68" s="92">
        <v>1</v>
      </c>
      <c r="F68" s="92">
        <v>1</v>
      </c>
      <c r="G68" s="91">
        <v>0</v>
      </c>
      <c r="H68" s="90">
        <f t="shared" si="51"/>
        <v>0</v>
      </c>
      <c r="I68" s="171"/>
      <c r="J68" s="84"/>
      <c r="K68" s="95">
        <v>0</v>
      </c>
      <c r="L68" s="88">
        <f t="shared" si="52"/>
        <v>0</v>
      </c>
      <c r="M68" s="8"/>
      <c r="N68" s="29"/>
      <c r="O68" s="8"/>
      <c r="P68" s="220"/>
      <c r="Q68" s="220"/>
      <c r="R68" s="220"/>
      <c r="S68" s="8"/>
      <c r="T68" s="20"/>
      <c r="U68" s="21">
        <v>0</v>
      </c>
      <c r="V68" s="21">
        <v>0</v>
      </c>
      <c r="W68" s="21">
        <f t="shared" si="53"/>
        <v>0</v>
      </c>
      <c r="X68" s="22">
        <v>1</v>
      </c>
      <c r="Y68" s="23">
        <f t="shared" si="62"/>
        <v>0</v>
      </c>
      <c r="Z68" s="21">
        <f t="shared" si="54"/>
        <v>0</v>
      </c>
      <c r="AA68" s="21">
        <f t="shared" si="7"/>
        <v>0</v>
      </c>
      <c r="AC68" s="9"/>
      <c r="AD68" s="9" t="str">
        <f t="shared" si="55"/>
        <v>4.13</v>
      </c>
      <c r="AE68" s="27">
        <f t="shared" si="56"/>
        <v>0</v>
      </c>
      <c r="AF68" s="21">
        <f t="shared" si="57"/>
        <v>0</v>
      </c>
      <c r="AG68" s="21">
        <v>0</v>
      </c>
      <c r="AH68" s="21">
        <f t="shared" si="58"/>
        <v>0</v>
      </c>
      <c r="AI68" s="21">
        <f t="shared" si="59"/>
        <v>0</v>
      </c>
      <c r="AJ68" s="21">
        <f t="shared" si="60"/>
        <v>0</v>
      </c>
      <c r="AK68" s="9" t="s">
        <v>57</v>
      </c>
      <c r="AL68" s="9" t="s">
        <v>57</v>
      </c>
      <c r="AM68" s="22">
        <v>0</v>
      </c>
      <c r="AN68" s="23">
        <f t="shared" si="61"/>
        <v>0</v>
      </c>
      <c r="AO68" s="9"/>
      <c r="AP68" s="26">
        <v>0</v>
      </c>
      <c r="AQ68" s="9"/>
    </row>
    <row r="69" spans="2:43" x14ac:dyDescent="0.25">
      <c r="B69" s="173"/>
      <c r="C69" s="121" t="s">
        <v>201</v>
      </c>
      <c r="D69" s="120"/>
      <c r="E69" s="119"/>
      <c r="F69" s="119"/>
      <c r="G69" s="118"/>
      <c r="H69" s="115"/>
      <c r="I69" s="174"/>
      <c r="J69" s="84"/>
      <c r="K69" s="117"/>
      <c r="L69" s="116"/>
      <c r="M69" s="8"/>
      <c r="N69" s="29"/>
      <c r="O69" s="8"/>
      <c r="P69" s="220"/>
      <c r="Q69" s="220"/>
      <c r="R69" s="220"/>
      <c r="S69" s="8"/>
      <c r="T69" s="190"/>
      <c r="U69" s="190"/>
      <c r="V69" s="190"/>
      <c r="W69" s="190"/>
      <c r="X69" s="190"/>
      <c r="Y69" s="190"/>
      <c r="Z69" s="190"/>
      <c r="AA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</row>
    <row r="70" spans="2:43" ht="78.75" x14ac:dyDescent="0.25">
      <c r="B70" s="170" t="s">
        <v>304</v>
      </c>
      <c r="C70" s="102" t="s">
        <v>609</v>
      </c>
      <c r="D70" s="93" t="s">
        <v>87</v>
      </c>
      <c r="E70" s="92">
        <v>1</v>
      </c>
      <c r="F70" s="92">
        <v>1</v>
      </c>
      <c r="G70" s="91">
        <v>0</v>
      </c>
      <c r="H70" s="90">
        <f t="shared" ref="H70:H81" si="63">E70*F70*G70</f>
        <v>0</v>
      </c>
      <c r="I70" s="171"/>
      <c r="J70" s="84"/>
      <c r="K70" s="101">
        <v>0</v>
      </c>
      <c r="L70" s="88">
        <f t="shared" ref="L70:L81" si="64">H70</f>
        <v>0</v>
      </c>
      <c r="M70" s="8"/>
      <c r="N70" s="29"/>
      <c r="O70" s="8"/>
      <c r="P70" s="220"/>
      <c r="Q70" s="220"/>
      <c r="R70" s="220"/>
      <c r="S70" s="8"/>
      <c r="T70" s="20"/>
      <c r="U70" s="21">
        <v>0</v>
      </c>
      <c r="V70" s="21">
        <v>0</v>
      </c>
      <c r="W70" s="21">
        <f t="shared" si="53"/>
        <v>0</v>
      </c>
      <c r="X70" s="22">
        <v>1</v>
      </c>
      <c r="Y70" s="23">
        <f t="shared" si="62"/>
        <v>0</v>
      </c>
      <c r="Z70" s="21">
        <f t="shared" ref="Z70:Z81" si="65">U70*10%</f>
        <v>0</v>
      </c>
      <c r="AA70" s="21">
        <f t="shared" si="7"/>
        <v>0</v>
      </c>
      <c r="AC70" s="9"/>
      <c r="AD70" s="9" t="str">
        <f t="shared" ref="AD70:AD81" si="66">B70</f>
        <v>4.14</v>
      </c>
      <c r="AE70" s="27">
        <f t="shared" ref="AE70:AE81" si="67">T70</f>
        <v>0</v>
      </c>
      <c r="AF70" s="21">
        <f t="shared" ref="AF70:AF81" si="68">U70</f>
        <v>0</v>
      </c>
      <c r="AG70" s="21">
        <v>0</v>
      </c>
      <c r="AH70" s="21">
        <f t="shared" ref="AH70:AH81" si="69">H70-AF70</f>
        <v>0</v>
      </c>
      <c r="AI70" s="21">
        <f t="shared" ref="AI70:AI81" si="70">AF70*10%</f>
        <v>0</v>
      </c>
      <c r="AJ70" s="21">
        <f t="shared" ref="AJ70:AJ81" si="71">AN70+AI70</f>
        <v>0</v>
      </c>
      <c r="AK70" s="9" t="s">
        <v>57</v>
      </c>
      <c r="AL70" s="9" t="s">
        <v>57</v>
      </c>
      <c r="AM70" s="22">
        <v>0</v>
      </c>
      <c r="AN70" s="23">
        <f t="shared" ref="AN70:AN81" si="72">(AH70-(AH70*AM70))</f>
        <v>0</v>
      </c>
      <c r="AO70" s="9"/>
      <c r="AP70" s="26">
        <v>0</v>
      </c>
      <c r="AQ70" s="9"/>
    </row>
    <row r="71" spans="2:43" ht="78.75" x14ac:dyDescent="0.25">
      <c r="B71" s="170" t="s">
        <v>305</v>
      </c>
      <c r="C71" s="102" t="s">
        <v>610</v>
      </c>
      <c r="D71" s="93" t="s">
        <v>87</v>
      </c>
      <c r="E71" s="92">
        <v>1</v>
      </c>
      <c r="F71" s="92">
        <v>1</v>
      </c>
      <c r="G71" s="91">
        <v>0</v>
      </c>
      <c r="H71" s="90">
        <f t="shared" si="63"/>
        <v>0</v>
      </c>
      <c r="I71" s="171"/>
      <c r="J71" s="84"/>
      <c r="K71" s="101">
        <v>0</v>
      </c>
      <c r="L71" s="88">
        <f t="shared" si="64"/>
        <v>0</v>
      </c>
      <c r="M71" s="8"/>
      <c r="N71" s="29"/>
      <c r="O71" s="8"/>
      <c r="P71" s="220"/>
      <c r="Q71" s="220"/>
      <c r="R71" s="220"/>
      <c r="S71" s="8"/>
      <c r="T71" s="20"/>
      <c r="U71" s="21">
        <v>0</v>
      </c>
      <c r="V71" s="21">
        <v>0</v>
      </c>
      <c r="W71" s="21">
        <f t="shared" si="53"/>
        <v>0</v>
      </c>
      <c r="X71" s="22">
        <v>1</v>
      </c>
      <c r="Y71" s="23">
        <f t="shared" si="62"/>
        <v>0</v>
      </c>
      <c r="Z71" s="21">
        <f t="shared" si="65"/>
        <v>0</v>
      </c>
      <c r="AA71" s="21">
        <f t="shared" si="7"/>
        <v>0</v>
      </c>
      <c r="AC71" s="9"/>
      <c r="AD71" s="9" t="str">
        <f t="shared" si="66"/>
        <v>4.15</v>
      </c>
      <c r="AE71" s="27">
        <f t="shared" si="67"/>
        <v>0</v>
      </c>
      <c r="AF71" s="21">
        <f t="shared" si="68"/>
        <v>0</v>
      </c>
      <c r="AG71" s="21">
        <v>0</v>
      </c>
      <c r="AH71" s="21">
        <f t="shared" si="69"/>
        <v>0</v>
      </c>
      <c r="AI71" s="21">
        <f t="shared" si="70"/>
        <v>0</v>
      </c>
      <c r="AJ71" s="21">
        <f t="shared" si="71"/>
        <v>0</v>
      </c>
      <c r="AK71" s="9" t="s">
        <v>57</v>
      </c>
      <c r="AL71" s="9" t="s">
        <v>57</v>
      </c>
      <c r="AM71" s="22">
        <v>0</v>
      </c>
      <c r="AN71" s="23">
        <f t="shared" si="72"/>
        <v>0</v>
      </c>
      <c r="AO71" s="9"/>
      <c r="AP71" s="26">
        <v>0</v>
      </c>
      <c r="AQ71" s="9"/>
    </row>
    <row r="72" spans="2:43" ht="78.75" x14ac:dyDescent="0.25">
      <c r="B72" s="170" t="s">
        <v>306</v>
      </c>
      <c r="C72" s="102" t="s">
        <v>611</v>
      </c>
      <c r="D72" s="93" t="s">
        <v>87</v>
      </c>
      <c r="E72" s="92">
        <v>1</v>
      </c>
      <c r="F72" s="92">
        <v>1</v>
      </c>
      <c r="G72" s="91">
        <v>0</v>
      </c>
      <c r="H72" s="90">
        <f t="shared" si="63"/>
        <v>0</v>
      </c>
      <c r="I72" s="171"/>
      <c r="J72" s="84"/>
      <c r="K72" s="101">
        <v>0</v>
      </c>
      <c r="L72" s="88">
        <f t="shared" si="64"/>
        <v>0</v>
      </c>
      <c r="M72" s="8"/>
      <c r="N72" s="29"/>
      <c r="O72" s="8"/>
      <c r="P72" s="220"/>
      <c r="Q72" s="220"/>
      <c r="R72" s="220"/>
      <c r="S72" s="8"/>
      <c r="T72" s="20"/>
      <c r="U72" s="21">
        <v>0</v>
      </c>
      <c r="V72" s="21">
        <v>0</v>
      </c>
      <c r="W72" s="21">
        <f t="shared" si="53"/>
        <v>0</v>
      </c>
      <c r="X72" s="22">
        <v>1</v>
      </c>
      <c r="Y72" s="23">
        <f t="shared" si="62"/>
        <v>0</v>
      </c>
      <c r="Z72" s="21">
        <f t="shared" si="65"/>
        <v>0</v>
      </c>
      <c r="AA72" s="21">
        <f t="shared" si="7"/>
        <v>0</v>
      </c>
      <c r="AC72" s="9"/>
      <c r="AD72" s="9" t="str">
        <f t="shared" si="66"/>
        <v>4.16</v>
      </c>
      <c r="AE72" s="27">
        <f t="shared" si="67"/>
        <v>0</v>
      </c>
      <c r="AF72" s="21">
        <f t="shared" si="68"/>
        <v>0</v>
      </c>
      <c r="AG72" s="21">
        <v>0</v>
      </c>
      <c r="AH72" s="21">
        <f t="shared" si="69"/>
        <v>0</v>
      </c>
      <c r="AI72" s="21">
        <f t="shared" si="70"/>
        <v>0</v>
      </c>
      <c r="AJ72" s="21">
        <f t="shared" si="71"/>
        <v>0</v>
      </c>
      <c r="AK72" s="9" t="s">
        <v>57</v>
      </c>
      <c r="AL72" s="9" t="s">
        <v>57</v>
      </c>
      <c r="AM72" s="22">
        <v>0</v>
      </c>
      <c r="AN72" s="23">
        <f t="shared" si="72"/>
        <v>0</v>
      </c>
      <c r="AO72" s="9"/>
      <c r="AP72" s="26">
        <v>0</v>
      </c>
      <c r="AQ72" s="9"/>
    </row>
    <row r="73" spans="2:43" ht="94.5" x14ac:dyDescent="0.25">
      <c r="B73" s="170" t="s">
        <v>307</v>
      </c>
      <c r="C73" s="126" t="s">
        <v>612</v>
      </c>
      <c r="D73" s="93" t="s">
        <v>87</v>
      </c>
      <c r="E73" s="92">
        <v>1</v>
      </c>
      <c r="F73" s="92">
        <v>1</v>
      </c>
      <c r="G73" s="91">
        <v>0</v>
      </c>
      <c r="H73" s="90">
        <f t="shared" si="63"/>
        <v>0</v>
      </c>
      <c r="I73" s="171"/>
      <c r="J73" s="84"/>
      <c r="K73" s="101">
        <v>0</v>
      </c>
      <c r="L73" s="88">
        <f t="shared" si="64"/>
        <v>0</v>
      </c>
      <c r="M73" s="8"/>
      <c r="N73" s="29"/>
      <c r="O73" s="8"/>
      <c r="P73" s="220"/>
      <c r="Q73" s="220"/>
      <c r="R73" s="220"/>
      <c r="S73" s="8"/>
      <c r="T73" s="20"/>
      <c r="U73" s="21">
        <v>0</v>
      </c>
      <c r="V73" s="21">
        <v>0</v>
      </c>
      <c r="W73" s="21">
        <f t="shared" si="53"/>
        <v>0</v>
      </c>
      <c r="X73" s="22">
        <v>1</v>
      </c>
      <c r="Y73" s="23">
        <f t="shared" si="62"/>
        <v>0</v>
      </c>
      <c r="Z73" s="21">
        <f t="shared" si="65"/>
        <v>0</v>
      </c>
      <c r="AA73" s="21">
        <f t="shared" si="7"/>
        <v>0</v>
      </c>
      <c r="AC73" s="9"/>
      <c r="AD73" s="9" t="str">
        <f t="shared" si="66"/>
        <v>4.17</v>
      </c>
      <c r="AE73" s="27">
        <f t="shared" si="67"/>
        <v>0</v>
      </c>
      <c r="AF73" s="21">
        <f t="shared" si="68"/>
        <v>0</v>
      </c>
      <c r="AG73" s="21">
        <v>0</v>
      </c>
      <c r="AH73" s="21">
        <f t="shared" si="69"/>
        <v>0</v>
      </c>
      <c r="AI73" s="21">
        <f t="shared" si="70"/>
        <v>0</v>
      </c>
      <c r="AJ73" s="21">
        <f t="shared" si="71"/>
        <v>0</v>
      </c>
      <c r="AK73" s="9" t="s">
        <v>57</v>
      </c>
      <c r="AL73" s="9" t="s">
        <v>57</v>
      </c>
      <c r="AM73" s="22">
        <v>0</v>
      </c>
      <c r="AN73" s="23">
        <f t="shared" si="72"/>
        <v>0</v>
      </c>
      <c r="AO73" s="9"/>
      <c r="AP73" s="26">
        <v>0</v>
      </c>
      <c r="AQ73" s="9"/>
    </row>
    <row r="74" spans="2:43" ht="110.25" x14ac:dyDescent="0.25">
      <c r="B74" s="170" t="s">
        <v>308</v>
      </c>
      <c r="C74" s="126" t="s">
        <v>613</v>
      </c>
      <c r="D74" s="93" t="s">
        <v>87</v>
      </c>
      <c r="E74" s="92">
        <v>1</v>
      </c>
      <c r="F74" s="92">
        <v>1</v>
      </c>
      <c r="G74" s="91">
        <v>0</v>
      </c>
      <c r="H74" s="90">
        <f t="shared" si="63"/>
        <v>0</v>
      </c>
      <c r="I74" s="171"/>
      <c r="J74" s="84"/>
      <c r="K74" s="101">
        <v>0</v>
      </c>
      <c r="L74" s="88">
        <f t="shared" si="64"/>
        <v>0</v>
      </c>
      <c r="M74" s="8"/>
      <c r="N74" s="29"/>
      <c r="O74" s="8"/>
      <c r="P74" s="220"/>
      <c r="Q74" s="220"/>
      <c r="R74" s="220"/>
      <c r="S74" s="8"/>
      <c r="T74" s="20"/>
      <c r="U74" s="21">
        <v>0</v>
      </c>
      <c r="V74" s="21">
        <v>0</v>
      </c>
      <c r="W74" s="21">
        <f t="shared" si="53"/>
        <v>0</v>
      </c>
      <c r="X74" s="22">
        <v>1</v>
      </c>
      <c r="Y74" s="23">
        <f t="shared" si="62"/>
        <v>0</v>
      </c>
      <c r="Z74" s="21">
        <f t="shared" si="65"/>
        <v>0</v>
      </c>
      <c r="AA74" s="21">
        <f t="shared" si="7"/>
        <v>0</v>
      </c>
      <c r="AC74" s="9"/>
      <c r="AD74" s="9" t="str">
        <f t="shared" si="66"/>
        <v>4.18</v>
      </c>
      <c r="AE74" s="27">
        <f t="shared" si="67"/>
        <v>0</v>
      </c>
      <c r="AF74" s="21">
        <f t="shared" si="68"/>
        <v>0</v>
      </c>
      <c r="AG74" s="21">
        <v>0</v>
      </c>
      <c r="AH74" s="21">
        <f t="shared" si="69"/>
        <v>0</v>
      </c>
      <c r="AI74" s="21">
        <f t="shared" si="70"/>
        <v>0</v>
      </c>
      <c r="AJ74" s="21">
        <f t="shared" si="71"/>
        <v>0</v>
      </c>
      <c r="AK74" s="9" t="s">
        <v>57</v>
      </c>
      <c r="AL74" s="9" t="s">
        <v>57</v>
      </c>
      <c r="AM74" s="22">
        <v>0</v>
      </c>
      <c r="AN74" s="23">
        <f t="shared" si="72"/>
        <v>0</v>
      </c>
      <c r="AO74" s="9"/>
      <c r="AP74" s="26">
        <v>0</v>
      </c>
      <c r="AQ74" s="9"/>
    </row>
    <row r="75" spans="2:43" ht="78.75" x14ac:dyDescent="0.25">
      <c r="B75" s="170" t="s">
        <v>309</v>
      </c>
      <c r="C75" s="102" t="s">
        <v>608</v>
      </c>
      <c r="D75" s="93" t="s">
        <v>87</v>
      </c>
      <c r="E75" s="92">
        <v>1</v>
      </c>
      <c r="F75" s="92">
        <v>1</v>
      </c>
      <c r="G75" s="91">
        <v>0</v>
      </c>
      <c r="H75" s="90">
        <f t="shared" si="63"/>
        <v>0</v>
      </c>
      <c r="I75" s="171"/>
      <c r="J75" s="84"/>
      <c r="K75" s="101">
        <v>0</v>
      </c>
      <c r="L75" s="88">
        <f t="shared" si="64"/>
        <v>0</v>
      </c>
      <c r="M75" s="8"/>
      <c r="N75" s="29"/>
      <c r="O75" s="8"/>
      <c r="P75" s="220"/>
      <c r="Q75" s="220"/>
      <c r="R75" s="220"/>
      <c r="S75" s="8"/>
      <c r="T75" s="20"/>
      <c r="U75" s="21">
        <v>0</v>
      </c>
      <c r="V75" s="21">
        <v>0</v>
      </c>
      <c r="W75" s="21">
        <f t="shared" si="53"/>
        <v>0</v>
      </c>
      <c r="X75" s="22">
        <v>1</v>
      </c>
      <c r="Y75" s="23">
        <f t="shared" si="62"/>
        <v>0</v>
      </c>
      <c r="Z75" s="21">
        <f t="shared" si="65"/>
        <v>0</v>
      </c>
      <c r="AA75" s="21">
        <f t="shared" si="7"/>
        <v>0</v>
      </c>
      <c r="AC75" s="9"/>
      <c r="AD75" s="9" t="str">
        <f t="shared" si="66"/>
        <v>4.19</v>
      </c>
      <c r="AE75" s="27">
        <f t="shared" si="67"/>
        <v>0</v>
      </c>
      <c r="AF75" s="21">
        <f t="shared" si="68"/>
        <v>0</v>
      </c>
      <c r="AG75" s="21">
        <v>0</v>
      </c>
      <c r="AH75" s="21">
        <f t="shared" si="69"/>
        <v>0</v>
      </c>
      <c r="AI75" s="21">
        <f t="shared" si="70"/>
        <v>0</v>
      </c>
      <c r="AJ75" s="21">
        <f t="shared" si="71"/>
        <v>0</v>
      </c>
      <c r="AK75" s="9" t="s">
        <v>57</v>
      </c>
      <c r="AL75" s="9" t="s">
        <v>57</v>
      </c>
      <c r="AM75" s="22">
        <v>0</v>
      </c>
      <c r="AN75" s="23">
        <f t="shared" si="72"/>
        <v>0</v>
      </c>
      <c r="AO75" s="9"/>
      <c r="AP75" s="26">
        <v>0</v>
      </c>
      <c r="AQ75" s="9"/>
    </row>
    <row r="76" spans="2:43" ht="78.75" x14ac:dyDescent="0.25">
      <c r="B76" s="170" t="s">
        <v>312</v>
      </c>
      <c r="C76" s="102" t="s">
        <v>614</v>
      </c>
      <c r="D76" s="93" t="s">
        <v>87</v>
      </c>
      <c r="E76" s="92">
        <v>1</v>
      </c>
      <c r="F76" s="92">
        <v>1</v>
      </c>
      <c r="G76" s="91">
        <v>0</v>
      </c>
      <c r="H76" s="90">
        <f t="shared" si="63"/>
        <v>0</v>
      </c>
      <c r="I76" s="171"/>
      <c r="J76" s="84"/>
      <c r="K76" s="101">
        <v>0</v>
      </c>
      <c r="L76" s="88">
        <f t="shared" si="64"/>
        <v>0</v>
      </c>
      <c r="M76" s="8"/>
      <c r="N76" s="29"/>
      <c r="O76" s="8"/>
      <c r="P76" s="220"/>
      <c r="Q76" s="220"/>
      <c r="R76" s="220"/>
      <c r="S76" s="8"/>
      <c r="T76" s="20"/>
      <c r="U76" s="21">
        <v>0</v>
      </c>
      <c r="V76" s="21">
        <v>0</v>
      </c>
      <c r="W76" s="21">
        <f t="shared" si="53"/>
        <v>0</v>
      </c>
      <c r="X76" s="22">
        <v>1</v>
      </c>
      <c r="Y76" s="23">
        <f t="shared" si="62"/>
        <v>0</v>
      </c>
      <c r="Z76" s="21">
        <f t="shared" si="65"/>
        <v>0</v>
      </c>
      <c r="AA76" s="21">
        <f t="shared" si="7"/>
        <v>0</v>
      </c>
      <c r="AC76" s="9"/>
      <c r="AD76" s="9" t="str">
        <f t="shared" si="66"/>
        <v>4.20</v>
      </c>
      <c r="AE76" s="27">
        <f t="shared" si="67"/>
        <v>0</v>
      </c>
      <c r="AF76" s="21">
        <f t="shared" si="68"/>
        <v>0</v>
      </c>
      <c r="AG76" s="21">
        <v>0</v>
      </c>
      <c r="AH76" s="21">
        <f t="shared" si="69"/>
        <v>0</v>
      </c>
      <c r="AI76" s="21">
        <f t="shared" si="70"/>
        <v>0</v>
      </c>
      <c r="AJ76" s="21">
        <f t="shared" si="71"/>
        <v>0</v>
      </c>
      <c r="AK76" s="9" t="s">
        <v>57</v>
      </c>
      <c r="AL76" s="9" t="s">
        <v>57</v>
      </c>
      <c r="AM76" s="22">
        <v>0</v>
      </c>
      <c r="AN76" s="23">
        <f t="shared" si="72"/>
        <v>0</v>
      </c>
      <c r="AO76" s="9"/>
      <c r="AP76" s="26">
        <v>0</v>
      </c>
      <c r="AQ76" s="9"/>
    </row>
    <row r="77" spans="2:43" ht="78.75" x14ac:dyDescent="0.25">
      <c r="B77" s="170" t="s">
        <v>313</v>
      </c>
      <c r="C77" s="209" t="s">
        <v>615</v>
      </c>
      <c r="D77" s="93" t="s">
        <v>87</v>
      </c>
      <c r="E77" s="92">
        <v>1</v>
      </c>
      <c r="F77" s="92">
        <v>1</v>
      </c>
      <c r="G77" s="91">
        <v>0</v>
      </c>
      <c r="H77" s="90">
        <f t="shared" si="63"/>
        <v>0</v>
      </c>
      <c r="I77" s="171"/>
      <c r="J77" s="84"/>
      <c r="K77" s="101">
        <v>0</v>
      </c>
      <c r="L77" s="88">
        <f t="shared" si="64"/>
        <v>0</v>
      </c>
      <c r="M77" s="8"/>
      <c r="N77" s="29"/>
      <c r="O77" s="8"/>
      <c r="P77" s="220"/>
      <c r="Q77" s="220"/>
      <c r="R77" s="220"/>
      <c r="S77" s="8"/>
      <c r="T77" s="20"/>
      <c r="U77" s="21">
        <v>0</v>
      </c>
      <c r="V77" s="21">
        <v>0</v>
      </c>
      <c r="W77" s="21">
        <f t="shared" si="53"/>
        <v>0</v>
      </c>
      <c r="X77" s="22">
        <v>1</v>
      </c>
      <c r="Y77" s="23">
        <f t="shared" si="62"/>
        <v>0</v>
      </c>
      <c r="Z77" s="21">
        <f t="shared" si="65"/>
        <v>0</v>
      </c>
      <c r="AA77" s="21">
        <f t="shared" si="7"/>
        <v>0</v>
      </c>
      <c r="AC77" s="9"/>
      <c r="AD77" s="9" t="str">
        <f t="shared" si="66"/>
        <v>4.21</v>
      </c>
      <c r="AE77" s="27">
        <f t="shared" si="67"/>
        <v>0</v>
      </c>
      <c r="AF77" s="21">
        <f t="shared" si="68"/>
        <v>0</v>
      </c>
      <c r="AG77" s="21">
        <v>0</v>
      </c>
      <c r="AH77" s="21">
        <f t="shared" si="69"/>
        <v>0</v>
      </c>
      <c r="AI77" s="21">
        <f t="shared" si="70"/>
        <v>0</v>
      </c>
      <c r="AJ77" s="21">
        <f t="shared" si="71"/>
        <v>0</v>
      </c>
      <c r="AK77" s="9" t="s">
        <v>57</v>
      </c>
      <c r="AL77" s="9" t="s">
        <v>57</v>
      </c>
      <c r="AM77" s="22">
        <v>0</v>
      </c>
      <c r="AN77" s="23">
        <f t="shared" si="72"/>
        <v>0</v>
      </c>
      <c r="AO77" s="9"/>
      <c r="AP77" s="26">
        <v>0</v>
      </c>
      <c r="AQ77" s="9"/>
    </row>
    <row r="78" spans="2:43" ht="63" x14ac:dyDescent="0.25">
      <c r="B78" s="170" t="s">
        <v>314</v>
      </c>
      <c r="C78" s="209" t="s">
        <v>616</v>
      </c>
      <c r="D78" s="93" t="s">
        <v>87</v>
      </c>
      <c r="E78" s="92">
        <v>1</v>
      </c>
      <c r="F78" s="92">
        <v>1</v>
      </c>
      <c r="G78" s="91">
        <v>0</v>
      </c>
      <c r="H78" s="90">
        <f t="shared" si="63"/>
        <v>0</v>
      </c>
      <c r="I78" s="171"/>
      <c r="J78" s="84"/>
      <c r="K78" s="101">
        <v>0</v>
      </c>
      <c r="L78" s="88">
        <f t="shared" si="64"/>
        <v>0</v>
      </c>
      <c r="M78" s="8"/>
      <c r="N78" s="29"/>
      <c r="O78" s="8"/>
      <c r="P78" s="220"/>
      <c r="Q78" s="220"/>
      <c r="R78" s="220"/>
      <c r="S78" s="8"/>
      <c r="T78" s="20"/>
      <c r="U78" s="21">
        <v>0</v>
      </c>
      <c r="V78" s="21">
        <v>0</v>
      </c>
      <c r="W78" s="21">
        <f t="shared" si="53"/>
        <v>0</v>
      </c>
      <c r="X78" s="22">
        <v>1</v>
      </c>
      <c r="Y78" s="23">
        <f t="shared" si="62"/>
        <v>0</v>
      </c>
      <c r="Z78" s="21">
        <f t="shared" si="65"/>
        <v>0</v>
      </c>
      <c r="AA78" s="21">
        <f t="shared" si="7"/>
        <v>0</v>
      </c>
      <c r="AC78" s="9"/>
      <c r="AD78" s="9" t="str">
        <f t="shared" si="66"/>
        <v>4.22</v>
      </c>
      <c r="AE78" s="27">
        <f t="shared" si="67"/>
        <v>0</v>
      </c>
      <c r="AF78" s="21">
        <f t="shared" si="68"/>
        <v>0</v>
      </c>
      <c r="AG78" s="21">
        <v>0</v>
      </c>
      <c r="AH78" s="21">
        <f t="shared" si="69"/>
        <v>0</v>
      </c>
      <c r="AI78" s="21">
        <f t="shared" si="70"/>
        <v>0</v>
      </c>
      <c r="AJ78" s="21">
        <f t="shared" si="71"/>
        <v>0</v>
      </c>
      <c r="AK78" s="9" t="s">
        <v>57</v>
      </c>
      <c r="AL78" s="9" t="s">
        <v>57</v>
      </c>
      <c r="AM78" s="22">
        <v>0</v>
      </c>
      <c r="AN78" s="23">
        <f t="shared" si="72"/>
        <v>0</v>
      </c>
      <c r="AO78" s="9"/>
      <c r="AP78" s="26">
        <v>0</v>
      </c>
      <c r="AQ78" s="9"/>
    </row>
    <row r="79" spans="2:43" ht="63" x14ac:dyDescent="0.25">
      <c r="B79" s="170" t="s">
        <v>315</v>
      </c>
      <c r="C79" s="209" t="s">
        <v>617</v>
      </c>
      <c r="D79" s="93" t="s">
        <v>87</v>
      </c>
      <c r="E79" s="92">
        <v>1</v>
      </c>
      <c r="F79" s="92">
        <v>1</v>
      </c>
      <c r="G79" s="91">
        <v>0</v>
      </c>
      <c r="H79" s="90">
        <f t="shared" si="63"/>
        <v>0</v>
      </c>
      <c r="I79" s="171"/>
      <c r="J79" s="84"/>
      <c r="K79" s="101">
        <v>0</v>
      </c>
      <c r="L79" s="88">
        <f t="shared" si="64"/>
        <v>0</v>
      </c>
      <c r="M79" s="8"/>
      <c r="N79" s="29"/>
      <c r="O79" s="8"/>
      <c r="P79" s="220"/>
      <c r="Q79" s="220"/>
      <c r="R79" s="220"/>
      <c r="S79" s="8"/>
      <c r="T79" s="20"/>
      <c r="U79" s="21">
        <v>0</v>
      </c>
      <c r="V79" s="21">
        <v>0</v>
      </c>
      <c r="W79" s="21">
        <f t="shared" si="53"/>
        <v>0</v>
      </c>
      <c r="X79" s="22">
        <v>1</v>
      </c>
      <c r="Y79" s="23">
        <f t="shared" si="62"/>
        <v>0</v>
      </c>
      <c r="Z79" s="21">
        <f t="shared" si="65"/>
        <v>0</v>
      </c>
      <c r="AA79" s="21">
        <f t="shared" si="7"/>
        <v>0</v>
      </c>
      <c r="AC79" s="9"/>
      <c r="AD79" s="9" t="str">
        <f t="shared" si="66"/>
        <v>4.23</v>
      </c>
      <c r="AE79" s="27">
        <f t="shared" si="67"/>
        <v>0</v>
      </c>
      <c r="AF79" s="21">
        <f t="shared" si="68"/>
        <v>0</v>
      </c>
      <c r="AG79" s="21">
        <v>0</v>
      </c>
      <c r="AH79" s="21">
        <f t="shared" si="69"/>
        <v>0</v>
      </c>
      <c r="AI79" s="21">
        <f t="shared" si="70"/>
        <v>0</v>
      </c>
      <c r="AJ79" s="21">
        <f t="shared" si="71"/>
        <v>0</v>
      </c>
      <c r="AK79" s="9" t="s">
        <v>57</v>
      </c>
      <c r="AL79" s="9" t="s">
        <v>57</v>
      </c>
      <c r="AM79" s="22">
        <v>0</v>
      </c>
      <c r="AN79" s="23">
        <f t="shared" si="72"/>
        <v>0</v>
      </c>
      <c r="AO79" s="9"/>
      <c r="AP79" s="26">
        <v>0</v>
      </c>
      <c r="AQ79" s="9"/>
    </row>
    <row r="80" spans="2:43" ht="94.5" x14ac:dyDescent="0.25">
      <c r="B80" s="170" t="s">
        <v>316</v>
      </c>
      <c r="C80" s="209" t="s">
        <v>618</v>
      </c>
      <c r="D80" s="93" t="s">
        <v>87</v>
      </c>
      <c r="E80" s="92">
        <v>1</v>
      </c>
      <c r="F80" s="92">
        <v>1</v>
      </c>
      <c r="G80" s="91">
        <v>0</v>
      </c>
      <c r="H80" s="90">
        <f t="shared" si="63"/>
        <v>0</v>
      </c>
      <c r="I80" s="171"/>
      <c r="J80" s="84"/>
      <c r="K80" s="101">
        <v>0</v>
      </c>
      <c r="L80" s="88">
        <f t="shared" si="64"/>
        <v>0</v>
      </c>
      <c r="M80" s="8"/>
      <c r="N80" s="29"/>
      <c r="O80" s="8"/>
      <c r="P80" s="220"/>
      <c r="Q80" s="220"/>
      <c r="R80" s="220"/>
      <c r="S80" s="8"/>
      <c r="T80" s="20"/>
      <c r="U80" s="21">
        <v>0</v>
      </c>
      <c r="V80" s="21">
        <v>0</v>
      </c>
      <c r="W80" s="21">
        <f t="shared" ref="W80:W81" si="73">(H80-U80)-V80</f>
        <v>0</v>
      </c>
      <c r="X80" s="22">
        <v>1</v>
      </c>
      <c r="Y80" s="23">
        <f t="shared" si="62"/>
        <v>0</v>
      </c>
      <c r="Z80" s="21">
        <f t="shared" si="65"/>
        <v>0</v>
      </c>
      <c r="AA80" s="21">
        <f t="shared" ref="AA80:AA143" si="74">(W80+Z80)-Y80</f>
        <v>0</v>
      </c>
      <c r="AC80" s="9"/>
      <c r="AD80" s="9" t="str">
        <f t="shared" si="66"/>
        <v>4.24</v>
      </c>
      <c r="AE80" s="27">
        <f t="shared" si="67"/>
        <v>0</v>
      </c>
      <c r="AF80" s="21">
        <f t="shared" si="68"/>
        <v>0</v>
      </c>
      <c r="AG80" s="21">
        <v>0</v>
      </c>
      <c r="AH80" s="21">
        <f t="shared" si="69"/>
        <v>0</v>
      </c>
      <c r="AI80" s="21">
        <f t="shared" si="70"/>
        <v>0</v>
      </c>
      <c r="AJ80" s="21">
        <f t="shared" si="71"/>
        <v>0</v>
      </c>
      <c r="AK80" s="9" t="s">
        <v>57</v>
      </c>
      <c r="AL80" s="9" t="s">
        <v>57</v>
      </c>
      <c r="AM80" s="22">
        <v>0</v>
      </c>
      <c r="AN80" s="23">
        <f t="shared" si="72"/>
        <v>0</v>
      </c>
      <c r="AO80" s="9"/>
      <c r="AP80" s="26">
        <v>0</v>
      </c>
      <c r="AQ80" s="9"/>
    </row>
    <row r="81" spans="2:43" ht="94.5" x14ac:dyDescent="0.25">
      <c r="B81" s="170" t="s">
        <v>317</v>
      </c>
      <c r="C81" s="209" t="s">
        <v>619</v>
      </c>
      <c r="D81" s="93" t="s">
        <v>87</v>
      </c>
      <c r="E81" s="92">
        <v>1</v>
      </c>
      <c r="F81" s="92">
        <v>1</v>
      </c>
      <c r="G81" s="91">
        <v>0</v>
      </c>
      <c r="H81" s="90">
        <f t="shared" si="63"/>
        <v>0</v>
      </c>
      <c r="I81" s="171"/>
      <c r="J81" s="84"/>
      <c r="K81" s="101">
        <v>0</v>
      </c>
      <c r="L81" s="88">
        <f t="shared" si="64"/>
        <v>0</v>
      </c>
      <c r="M81" s="8"/>
      <c r="N81" s="29"/>
      <c r="O81" s="8"/>
      <c r="P81" s="220"/>
      <c r="Q81" s="220"/>
      <c r="R81" s="220"/>
      <c r="S81" s="8"/>
      <c r="T81" s="20"/>
      <c r="U81" s="21">
        <v>0</v>
      </c>
      <c r="V81" s="21">
        <v>0</v>
      </c>
      <c r="W81" s="21">
        <f t="shared" si="73"/>
        <v>0</v>
      </c>
      <c r="X81" s="22">
        <v>1</v>
      </c>
      <c r="Y81" s="23">
        <f>W81-(W81*X81)</f>
        <v>0</v>
      </c>
      <c r="Z81" s="21">
        <f t="shared" si="65"/>
        <v>0</v>
      </c>
      <c r="AA81" s="21">
        <f t="shared" si="74"/>
        <v>0</v>
      </c>
      <c r="AC81" s="9"/>
      <c r="AD81" s="9" t="str">
        <f t="shared" si="66"/>
        <v>4.25</v>
      </c>
      <c r="AE81" s="27">
        <f t="shared" si="67"/>
        <v>0</v>
      </c>
      <c r="AF81" s="21">
        <f t="shared" si="68"/>
        <v>0</v>
      </c>
      <c r="AG81" s="21">
        <v>0</v>
      </c>
      <c r="AH81" s="21">
        <f t="shared" si="69"/>
        <v>0</v>
      </c>
      <c r="AI81" s="21">
        <f t="shared" si="70"/>
        <v>0</v>
      </c>
      <c r="AJ81" s="21">
        <f t="shared" si="71"/>
        <v>0</v>
      </c>
      <c r="AK81" s="9" t="s">
        <v>57</v>
      </c>
      <c r="AL81" s="9" t="s">
        <v>57</v>
      </c>
      <c r="AM81" s="22">
        <v>0</v>
      </c>
      <c r="AN81" s="23">
        <f t="shared" si="72"/>
        <v>0</v>
      </c>
      <c r="AO81" s="9"/>
      <c r="AP81" s="26">
        <v>0</v>
      </c>
      <c r="AQ81" s="9"/>
    </row>
    <row r="82" spans="2:43" ht="38.25" x14ac:dyDescent="0.25">
      <c r="B82" s="165">
        <v>5</v>
      </c>
      <c r="C82" s="87" t="s">
        <v>286</v>
      </c>
      <c r="D82" s="87"/>
      <c r="E82" s="87"/>
      <c r="F82" s="87"/>
      <c r="G82" s="87"/>
      <c r="H82" s="87"/>
      <c r="I82" s="166">
        <f>SUM(H83:H99)</f>
        <v>0</v>
      </c>
      <c r="J82" s="84"/>
      <c r="K82" s="99" t="s">
        <v>75</v>
      </c>
      <c r="L82" s="98" t="str">
        <f>L$15</f>
        <v>30 DIAS</v>
      </c>
      <c r="M82" s="8"/>
      <c r="N82" s="29"/>
      <c r="O82" s="8"/>
      <c r="P82" s="218" t="s">
        <v>506</v>
      </c>
      <c r="Q82" s="218" t="s">
        <v>507</v>
      </c>
      <c r="R82" s="218" t="s">
        <v>508</v>
      </c>
      <c r="S82" s="8"/>
      <c r="T82" s="144" t="s">
        <v>22</v>
      </c>
      <c r="U82" s="145" t="s">
        <v>23</v>
      </c>
      <c r="V82" s="146" t="s">
        <v>523</v>
      </c>
      <c r="W82" s="146" t="s">
        <v>24</v>
      </c>
      <c r="X82" s="333" t="s">
        <v>68</v>
      </c>
      <c r="Y82" s="334"/>
      <c r="Z82" s="147" t="s">
        <v>25</v>
      </c>
      <c r="AA82" s="147" t="s">
        <v>26</v>
      </c>
      <c r="AB82" s="148"/>
      <c r="AC82" s="149" t="s">
        <v>16</v>
      </c>
      <c r="AD82" s="149" t="s">
        <v>17</v>
      </c>
      <c r="AE82" s="150" t="s">
        <v>22</v>
      </c>
      <c r="AF82" s="151" t="s">
        <v>23</v>
      </c>
      <c r="AG82" s="146" t="s">
        <v>523</v>
      </c>
      <c r="AH82" s="152" t="s">
        <v>24</v>
      </c>
      <c r="AI82" s="153" t="s">
        <v>25</v>
      </c>
      <c r="AJ82" s="153" t="s">
        <v>26</v>
      </c>
      <c r="AK82" s="149" t="s">
        <v>18</v>
      </c>
      <c r="AL82" s="149" t="s">
        <v>67</v>
      </c>
      <c r="AM82" s="333" t="s">
        <v>68</v>
      </c>
      <c r="AN82" s="334"/>
      <c r="AO82" s="149" t="s">
        <v>19</v>
      </c>
      <c r="AP82" s="149" t="s">
        <v>20</v>
      </c>
      <c r="AQ82" s="154" t="s">
        <v>21</v>
      </c>
    </row>
    <row r="83" spans="2:43" ht="63" x14ac:dyDescent="0.25">
      <c r="B83" s="170" t="s">
        <v>237</v>
      </c>
      <c r="C83" s="108" t="s">
        <v>620</v>
      </c>
      <c r="D83" s="93" t="s">
        <v>87</v>
      </c>
      <c r="E83" s="92">
        <v>1</v>
      </c>
      <c r="F83" s="92">
        <v>1</v>
      </c>
      <c r="G83" s="91">
        <v>0</v>
      </c>
      <c r="H83" s="90">
        <f t="shared" ref="H83:H97" si="75">E83*F83*G83</f>
        <v>0</v>
      </c>
      <c r="I83" s="171"/>
      <c r="J83" s="84"/>
      <c r="K83" s="95">
        <v>0</v>
      </c>
      <c r="L83" s="88">
        <f t="shared" ref="L83:L97" si="76">H83</f>
        <v>0</v>
      </c>
      <c r="M83" s="8"/>
      <c r="N83" s="29"/>
      <c r="O83" s="8"/>
      <c r="P83" s="220"/>
      <c r="Q83" s="220"/>
      <c r="R83" s="220"/>
      <c r="S83" s="8"/>
      <c r="T83" s="20"/>
      <c r="U83" s="21">
        <v>0</v>
      </c>
      <c r="V83" s="21">
        <v>0</v>
      </c>
      <c r="W83" s="21">
        <f t="shared" ref="W83:W143" si="77">(H83-U83)-V83</f>
        <v>0</v>
      </c>
      <c r="X83" s="22">
        <v>1</v>
      </c>
      <c r="Y83" s="23">
        <f>W83-(W83*X83)</f>
        <v>0</v>
      </c>
      <c r="Z83" s="21">
        <f t="shared" ref="Z83:Z99" si="78">U83*10%</f>
        <v>0</v>
      </c>
      <c r="AA83" s="21">
        <f t="shared" si="74"/>
        <v>0</v>
      </c>
      <c r="AC83" s="9"/>
      <c r="AD83" s="9" t="str">
        <f t="shared" ref="AD83:AD99" si="79">B83</f>
        <v>5.1</v>
      </c>
      <c r="AE83" s="27">
        <f t="shared" ref="AE83:AE99" si="80">T83</f>
        <v>0</v>
      </c>
      <c r="AF83" s="21">
        <f t="shared" ref="AF83:AF99" si="81">U83</f>
        <v>0</v>
      </c>
      <c r="AG83" s="21">
        <v>0</v>
      </c>
      <c r="AH83" s="21">
        <f t="shared" ref="AH83:AH99" si="82">H83-AF83</f>
        <v>0</v>
      </c>
      <c r="AI83" s="21">
        <f t="shared" ref="AI83:AI99" si="83">AF83*10%</f>
        <v>0</v>
      </c>
      <c r="AJ83" s="21">
        <f t="shared" ref="AJ83:AJ99" si="84">AN83+AI83</f>
        <v>0</v>
      </c>
      <c r="AK83" s="9" t="s">
        <v>57</v>
      </c>
      <c r="AL83" s="9" t="s">
        <v>57</v>
      </c>
      <c r="AM83" s="22">
        <v>0</v>
      </c>
      <c r="AN83" s="23">
        <f t="shared" ref="AN83:AN99" si="85">(AH83-(AH83*AM83))</f>
        <v>0</v>
      </c>
      <c r="AO83" s="9"/>
      <c r="AP83" s="26">
        <v>0</v>
      </c>
      <c r="AQ83" s="9"/>
    </row>
    <row r="84" spans="2:43" ht="63" x14ac:dyDescent="0.25">
      <c r="B84" s="170" t="s">
        <v>236</v>
      </c>
      <c r="C84" s="108" t="s">
        <v>621</v>
      </c>
      <c r="D84" s="93" t="s">
        <v>87</v>
      </c>
      <c r="E84" s="92">
        <v>1</v>
      </c>
      <c r="F84" s="92">
        <v>1</v>
      </c>
      <c r="G84" s="91">
        <v>0</v>
      </c>
      <c r="H84" s="90">
        <f t="shared" si="75"/>
        <v>0</v>
      </c>
      <c r="I84" s="171"/>
      <c r="J84" s="84"/>
      <c r="K84" s="95">
        <v>0</v>
      </c>
      <c r="L84" s="88">
        <f t="shared" si="76"/>
        <v>0</v>
      </c>
      <c r="M84" s="8"/>
      <c r="N84" s="29"/>
      <c r="O84" s="8"/>
      <c r="P84" s="220"/>
      <c r="Q84" s="220"/>
      <c r="R84" s="220"/>
      <c r="S84" s="8"/>
      <c r="T84" s="20"/>
      <c r="U84" s="21">
        <v>0</v>
      </c>
      <c r="V84" s="21">
        <v>0</v>
      </c>
      <c r="W84" s="21">
        <f t="shared" si="77"/>
        <v>0</v>
      </c>
      <c r="X84" s="22">
        <v>1</v>
      </c>
      <c r="Y84" s="23">
        <f t="shared" ref="Y84:Y98" si="86">W84-(W84*X84)</f>
        <v>0</v>
      </c>
      <c r="Z84" s="21">
        <f t="shared" si="78"/>
        <v>0</v>
      </c>
      <c r="AA84" s="21">
        <f t="shared" si="74"/>
        <v>0</v>
      </c>
      <c r="AC84" s="9"/>
      <c r="AD84" s="9" t="str">
        <f t="shared" si="79"/>
        <v>5.2</v>
      </c>
      <c r="AE84" s="27">
        <f t="shared" si="80"/>
        <v>0</v>
      </c>
      <c r="AF84" s="21">
        <f t="shared" si="81"/>
        <v>0</v>
      </c>
      <c r="AG84" s="21">
        <v>0</v>
      </c>
      <c r="AH84" s="21">
        <f t="shared" si="82"/>
        <v>0</v>
      </c>
      <c r="AI84" s="21">
        <f t="shared" si="83"/>
        <v>0</v>
      </c>
      <c r="AJ84" s="21">
        <f t="shared" si="84"/>
        <v>0</v>
      </c>
      <c r="AK84" s="9" t="s">
        <v>57</v>
      </c>
      <c r="AL84" s="9" t="s">
        <v>57</v>
      </c>
      <c r="AM84" s="22">
        <v>0</v>
      </c>
      <c r="AN84" s="23">
        <f t="shared" si="85"/>
        <v>0</v>
      </c>
      <c r="AO84" s="9"/>
      <c r="AP84" s="26">
        <v>0</v>
      </c>
      <c r="AQ84" s="9"/>
    </row>
    <row r="85" spans="2:43" ht="63" x14ac:dyDescent="0.25">
      <c r="B85" s="170" t="s">
        <v>235</v>
      </c>
      <c r="C85" s="108" t="s">
        <v>622</v>
      </c>
      <c r="D85" s="93" t="s">
        <v>87</v>
      </c>
      <c r="E85" s="114">
        <v>1</v>
      </c>
      <c r="F85" s="114">
        <v>1</v>
      </c>
      <c r="G85" s="90">
        <v>0</v>
      </c>
      <c r="H85" s="124">
        <f t="shared" si="75"/>
        <v>0</v>
      </c>
      <c r="I85" s="171"/>
      <c r="J85" s="84"/>
      <c r="K85" s="95">
        <v>0</v>
      </c>
      <c r="L85" s="88">
        <f t="shared" si="76"/>
        <v>0</v>
      </c>
      <c r="M85" s="8"/>
      <c r="N85" s="29"/>
      <c r="O85" s="8"/>
      <c r="P85" s="220"/>
      <c r="Q85" s="220"/>
      <c r="R85" s="220"/>
      <c r="S85" s="8"/>
      <c r="T85" s="20"/>
      <c r="U85" s="21">
        <v>0</v>
      </c>
      <c r="V85" s="21">
        <v>0</v>
      </c>
      <c r="W85" s="21">
        <f t="shared" si="77"/>
        <v>0</v>
      </c>
      <c r="X85" s="22">
        <v>1</v>
      </c>
      <c r="Y85" s="23">
        <f t="shared" si="86"/>
        <v>0</v>
      </c>
      <c r="Z85" s="21">
        <f t="shared" si="78"/>
        <v>0</v>
      </c>
      <c r="AA85" s="21">
        <f t="shared" si="74"/>
        <v>0</v>
      </c>
      <c r="AC85" s="9"/>
      <c r="AD85" s="9" t="str">
        <f t="shared" si="79"/>
        <v>5.3</v>
      </c>
      <c r="AE85" s="27">
        <f t="shared" si="80"/>
        <v>0</v>
      </c>
      <c r="AF85" s="21">
        <f t="shared" si="81"/>
        <v>0</v>
      </c>
      <c r="AG85" s="21">
        <v>0</v>
      </c>
      <c r="AH85" s="21">
        <f t="shared" si="82"/>
        <v>0</v>
      </c>
      <c r="AI85" s="21">
        <f t="shared" si="83"/>
        <v>0</v>
      </c>
      <c r="AJ85" s="21">
        <f t="shared" si="84"/>
        <v>0</v>
      </c>
      <c r="AK85" s="9" t="s">
        <v>57</v>
      </c>
      <c r="AL85" s="9" t="s">
        <v>57</v>
      </c>
      <c r="AM85" s="22">
        <v>0</v>
      </c>
      <c r="AN85" s="23">
        <f t="shared" si="85"/>
        <v>0</v>
      </c>
      <c r="AO85" s="9"/>
      <c r="AP85" s="26">
        <v>0</v>
      </c>
      <c r="AQ85" s="9"/>
    </row>
    <row r="86" spans="2:43" ht="63" x14ac:dyDescent="0.25">
      <c r="B86" s="170" t="s">
        <v>234</v>
      </c>
      <c r="C86" s="108" t="s">
        <v>623</v>
      </c>
      <c r="D86" s="93" t="s">
        <v>87</v>
      </c>
      <c r="E86" s="92">
        <v>1</v>
      </c>
      <c r="F86" s="92">
        <v>1</v>
      </c>
      <c r="G86" s="91">
        <v>0</v>
      </c>
      <c r="H86" s="90">
        <f t="shared" si="75"/>
        <v>0</v>
      </c>
      <c r="I86" s="171"/>
      <c r="J86" s="84"/>
      <c r="K86" s="95">
        <v>0</v>
      </c>
      <c r="L86" s="88">
        <f t="shared" si="76"/>
        <v>0</v>
      </c>
      <c r="M86" s="8"/>
      <c r="N86" s="29"/>
      <c r="O86" s="8"/>
      <c r="P86" s="220"/>
      <c r="Q86" s="220"/>
      <c r="R86" s="220"/>
      <c r="S86" s="8"/>
      <c r="T86" s="20"/>
      <c r="U86" s="21">
        <v>0</v>
      </c>
      <c r="V86" s="21">
        <v>0</v>
      </c>
      <c r="W86" s="21">
        <f t="shared" si="77"/>
        <v>0</v>
      </c>
      <c r="X86" s="22">
        <v>1</v>
      </c>
      <c r="Y86" s="23">
        <f t="shared" si="86"/>
        <v>0</v>
      </c>
      <c r="Z86" s="21">
        <f t="shared" si="78"/>
        <v>0</v>
      </c>
      <c r="AA86" s="21">
        <f t="shared" si="74"/>
        <v>0</v>
      </c>
      <c r="AC86" s="9"/>
      <c r="AD86" s="9" t="str">
        <f t="shared" si="79"/>
        <v>5.4</v>
      </c>
      <c r="AE86" s="27">
        <f t="shared" si="80"/>
        <v>0</v>
      </c>
      <c r="AF86" s="21">
        <f t="shared" si="81"/>
        <v>0</v>
      </c>
      <c r="AG86" s="21">
        <v>0</v>
      </c>
      <c r="AH86" s="21">
        <f t="shared" si="82"/>
        <v>0</v>
      </c>
      <c r="AI86" s="21">
        <f t="shared" si="83"/>
        <v>0</v>
      </c>
      <c r="AJ86" s="21">
        <f t="shared" si="84"/>
        <v>0</v>
      </c>
      <c r="AK86" s="9" t="s">
        <v>57</v>
      </c>
      <c r="AL86" s="9" t="s">
        <v>57</v>
      </c>
      <c r="AM86" s="22">
        <v>0</v>
      </c>
      <c r="AN86" s="23">
        <f t="shared" si="85"/>
        <v>0</v>
      </c>
      <c r="AO86" s="9"/>
      <c r="AP86" s="26">
        <v>0</v>
      </c>
      <c r="AQ86" s="9"/>
    </row>
    <row r="87" spans="2:43" ht="63" x14ac:dyDescent="0.25">
      <c r="B87" s="170" t="s">
        <v>233</v>
      </c>
      <c r="C87" s="108" t="s">
        <v>624</v>
      </c>
      <c r="D87" s="93" t="s">
        <v>87</v>
      </c>
      <c r="E87" s="114">
        <v>1</v>
      </c>
      <c r="F87" s="114">
        <v>1</v>
      </c>
      <c r="G87" s="90">
        <v>0</v>
      </c>
      <c r="H87" s="124">
        <f t="shared" si="75"/>
        <v>0</v>
      </c>
      <c r="I87" s="171"/>
      <c r="J87" s="84"/>
      <c r="K87" s="95">
        <v>0</v>
      </c>
      <c r="L87" s="88">
        <f t="shared" si="76"/>
        <v>0</v>
      </c>
      <c r="M87" s="8"/>
      <c r="N87" s="29"/>
      <c r="O87" s="8"/>
      <c r="P87" s="220"/>
      <c r="Q87" s="220"/>
      <c r="R87" s="220"/>
      <c r="S87" s="8"/>
      <c r="T87" s="20"/>
      <c r="U87" s="21">
        <v>0</v>
      </c>
      <c r="V87" s="21">
        <v>0</v>
      </c>
      <c r="W87" s="21">
        <f t="shared" si="77"/>
        <v>0</v>
      </c>
      <c r="X87" s="22">
        <v>1</v>
      </c>
      <c r="Y87" s="23">
        <f t="shared" si="86"/>
        <v>0</v>
      </c>
      <c r="Z87" s="21">
        <f t="shared" si="78"/>
        <v>0</v>
      </c>
      <c r="AA87" s="21">
        <f t="shared" si="74"/>
        <v>0</v>
      </c>
      <c r="AC87" s="9"/>
      <c r="AD87" s="9" t="str">
        <f t="shared" si="79"/>
        <v>5.5</v>
      </c>
      <c r="AE87" s="27">
        <f t="shared" si="80"/>
        <v>0</v>
      </c>
      <c r="AF87" s="21">
        <f t="shared" si="81"/>
        <v>0</v>
      </c>
      <c r="AG87" s="21">
        <v>0</v>
      </c>
      <c r="AH87" s="21">
        <f t="shared" si="82"/>
        <v>0</v>
      </c>
      <c r="AI87" s="21">
        <f t="shared" si="83"/>
        <v>0</v>
      </c>
      <c r="AJ87" s="21">
        <f t="shared" si="84"/>
        <v>0</v>
      </c>
      <c r="AK87" s="9" t="s">
        <v>57</v>
      </c>
      <c r="AL87" s="9" t="s">
        <v>57</v>
      </c>
      <c r="AM87" s="22">
        <v>0</v>
      </c>
      <c r="AN87" s="23">
        <f t="shared" si="85"/>
        <v>0</v>
      </c>
      <c r="AO87" s="9"/>
      <c r="AP87" s="26">
        <v>0</v>
      </c>
      <c r="AQ87" s="9"/>
    </row>
    <row r="88" spans="2:43" ht="63" x14ac:dyDescent="0.25">
      <c r="B88" s="170" t="s">
        <v>232</v>
      </c>
      <c r="C88" s="108" t="s">
        <v>625</v>
      </c>
      <c r="D88" s="93" t="s">
        <v>87</v>
      </c>
      <c r="E88" s="114">
        <v>1</v>
      </c>
      <c r="F88" s="114">
        <v>1</v>
      </c>
      <c r="G88" s="90">
        <v>0</v>
      </c>
      <c r="H88" s="124">
        <f t="shared" si="75"/>
        <v>0</v>
      </c>
      <c r="I88" s="171"/>
      <c r="J88" s="84"/>
      <c r="K88" s="95">
        <v>0</v>
      </c>
      <c r="L88" s="88">
        <f t="shared" si="76"/>
        <v>0</v>
      </c>
      <c r="M88" s="8"/>
      <c r="N88" s="29"/>
      <c r="O88" s="8"/>
      <c r="P88" s="220"/>
      <c r="Q88" s="220"/>
      <c r="R88" s="220"/>
      <c r="S88" s="8"/>
      <c r="T88" s="20"/>
      <c r="U88" s="21">
        <v>0</v>
      </c>
      <c r="V88" s="21">
        <v>0</v>
      </c>
      <c r="W88" s="21">
        <f t="shared" si="77"/>
        <v>0</v>
      </c>
      <c r="X88" s="22">
        <v>1</v>
      </c>
      <c r="Y88" s="23">
        <f t="shared" si="86"/>
        <v>0</v>
      </c>
      <c r="Z88" s="21">
        <f t="shared" si="78"/>
        <v>0</v>
      </c>
      <c r="AA88" s="21">
        <f t="shared" si="74"/>
        <v>0</v>
      </c>
      <c r="AC88" s="9"/>
      <c r="AD88" s="9" t="str">
        <f t="shared" si="79"/>
        <v>5.6</v>
      </c>
      <c r="AE88" s="27">
        <f t="shared" si="80"/>
        <v>0</v>
      </c>
      <c r="AF88" s="21">
        <f t="shared" si="81"/>
        <v>0</v>
      </c>
      <c r="AG88" s="21">
        <v>0</v>
      </c>
      <c r="AH88" s="21">
        <f t="shared" si="82"/>
        <v>0</v>
      </c>
      <c r="AI88" s="21">
        <f t="shared" si="83"/>
        <v>0</v>
      </c>
      <c r="AJ88" s="21">
        <f t="shared" si="84"/>
        <v>0</v>
      </c>
      <c r="AK88" s="9" t="s">
        <v>57</v>
      </c>
      <c r="AL88" s="9" t="s">
        <v>57</v>
      </c>
      <c r="AM88" s="22">
        <v>0</v>
      </c>
      <c r="AN88" s="23">
        <f t="shared" si="85"/>
        <v>0</v>
      </c>
      <c r="AO88" s="9"/>
      <c r="AP88" s="26">
        <v>0</v>
      </c>
      <c r="AQ88" s="9"/>
    </row>
    <row r="89" spans="2:43" ht="63" x14ac:dyDescent="0.25">
      <c r="B89" s="170" t="s">
        <v>231</v>
      </c>
      <c r="C89" s="125" t="s">
        <v>626</v>
      </c>
      <c r="D89" s="93" t="s">
        <v>87</v>
      </c>
      <c r="E89" s="114">
        <v>1</v>
      </c>
      <c r="F89" s="114">
        <v>1</v>
      </c>
      <c r="G89" s="90">
        <v>0</v>
      </c>
      <c r="H89" s="124">
        <f t="shared" si="75"/>
        <v>0</v>
      </c>
      <c r="I89" s="171"/>
      <c r="J89" s="84"/>
      <c r="K89" s="95">
        <v>0</v>
      </c>
      <c r="L89" s="88">
        <f t="shared" si="76"/>
        <v>0</v>
      </c>
      <c r="M89" s="8"/>
      <c r="N89" s="29"/>
      <c r="O89" s="8"/>
      <c r="P89" s="220"/>
      <c r="Q89" s="220"/>
      <c r="R89" s="220"/>
      <c r="S89" s="8"/>
      <c r="T89" s="20"/>
      <c r="U89" s="21">
        <v>0</v>
      </c>
      <c r="V89" s="21">
        <v>0</v>
      </c>
      <c r="W89" s="21">
        <f t="shared" si="77"/>
        <v>0</v>
      </c>
      <c r="X89" s="22">
        <v>1</v>
      </c>
      <c r="Y89" s="23">
        <f t="shared" si="86"/>
        <v>0</v>
      </c>
      <c r="Z89" s="21">
        <f t="shared" si="78"/>
        <v>0</v>
      </c>
      <c r="AA89" s="21">
        <f t="shared" si="74"/>
        <v>0</v>
      </c>
      <c r="AC89" s="9"/>
      <c r="AD89" s="9" t="str">
        <f t="shared" si="79"/>
        <v>5.7</v>
      </c>
      <c r="AE89" s="27">
        <f t="shared" si="80"/>
        <v>0</v>
      </c>
      <c r="AF89" s="21">
        <f t="shared" si="81"/>
        <v>0</v>
      </c>
      <c r="AG89" s="21">
        <v>0</v>
      </c>
      <c r="AH89" s="21">
        <f t="shared" si="82"/>
        <v>0</v>
      </c>
      <c r="AI89" s="21">
        <f t="shared" si="83"/>
        <v>0</v>
      </c>
      <c r="AJ89" s="21">
        <f t="shared" si="84"/>
        <v>0</v>
      </c>
      <c r="AK89" s="9" t="s">
        <v>57</v>
      </c>
      <c r="AL89" s="9" t="s">
        <v>57</v>
      </c>
      <c r="AM89" s="22">
        <v>0</v>
      </c>
      <c r="AN89" s="23">
        <f t="shared" si="85"/>
        <v>0</v>
      </c>
      <c r="AO89" s="9"/>
      <c r="AP89" s="26">
        <v>0</v>
      </c>
      <c r="AQ89" s="9"/>
    </row>
    <row r="90" spans="2:43" ht="63" x14ac:dyDescent="0.25">
      <c r="B90" s="170" t="s">
        <v>230</v>
      </c>
      <c r="C90" s="125" t="s">
        <v>627</v>
      </c>
      <c r="D90" s="93" t="s">
        <v>87</v>
      </c>
      <c r="E90" s="114">
        <v>1</v>
      </c>
      <c r="F90" s="114">
        <v>1</v>
      </c>
      <c r="G90" s="90">
        <v>0</v>
      </c>
      <c r="H90" s="124">
        <f t="shared" si="75"/>
        <v>0</v>
      </c>
      <c r="I90" s="171"/>
      <c r="J90" s="84"/>
      <c r="K90" s="95">
        <v>0</v>
      </c>
      <c r="L90" s="88">
        <f t="shared" si="76"/>
        <v>0</v>
      </c>
      <c r="M90" s="8"/>
      <c r="N90" s="29"/>
      <c r="O90" s="8"/>
      <c r="P90" s="220"/>
      <c r="Q90" s="220"/>
      <c r="R90" s="220"/>
      <c r="S90" s="8"/>
      <c r="T90" s="20"/>
      <c r="U90" s="21">
        <v>0</v>
      </c>
      <c r="V90" s="21">
        <v>0</v>
      </c>
      <c r="W90" s="21">
        <f t="shared" si="77"/>
        <v>0</v>
      </c>
      <c r="X90" s="22">
        <v>1</v>
      </c>
      <c r="Y90" s="23">
        <f t="shared" si="86"/>
        <v>0</v>
      </c>
      <c r="Z90" s="21">
        <f t="shared" si="78"/>
        <v>0</v>
      </c>
      <c r="AA90" s="21">
        <f t="shared" si="74"/>
        <v>0</v>
      </c>
      <c r="AC90" s="9"/>
      <c r="AD90" s="9" t="str">
        <f t="shared" si="79"/>
        <v>5.8</v>
      </c>
      <c r="AE90" s="27">
        <f t="shared" si="80"/>
        <v>0</v>
      </c>
      <c r="AF90" s="21">
        <f t="shared" si="81"/>
        <v>0</v>
      </c>
      <c r="AG90" s="21">
        <v>0</v>
      </c>
      <c r="AH90" s="21">
        <f t="shared" si="82"/>
        <v>0</v>
      </c>
      <c r="AI90" s="21">
        <f t="shared" si="83"/>
        <v>0</v>
      </c>
      <c r="AJ90" s="21">
        <f t="shared" si="84"/>
        <v>0</v>
      </c>
      <c r="AK90" s="9" t="s">
        <v>57</v>
      </c>
      <c r="AL90" s="9" t="s">
        <v>57</v>
      </c>
      <c r="AM90" s="22">
        <v>0</v>
      </c>
      <c r="AN90" s="23">
        <f t="shared" si="85"/>
        <v>0</v>
      </c>
      <c r="AO90" s="9"/>
      <c r="AP90" s="26">
        <v>0</v>
      </c>
      <c r="AQ90" s="9"/>
    </row>
    <row r="91" spans="2:43" ht="63" x14ac:dyDescent="0.25">
      <c r="B91" s="170" t="s">
        <v>229</v>
      </c>
      <c r="C91" s="125" t="s">
        <v>628</v>
      </c>
      <c r="D91" s="93" t="s">
        <v>87</v>
      </c>
      <c r="E91" s="114">
        <v>1</v>
      </c>
      <c r="F91" s="114">
        <v>1</v>
      </c>
      <c r="G91" s="90">
        <v>0</v>
      </c>
      <c r="H91" s="124">
        <f t="shared" si="75"/>
        <v>0</v>
      </c>
      <c r="I91" s="171"/>
      <c r="J91" s="84"/>
      <c r="K91" s="95">
        <v>0</v>
      </c>
      <c r="L91" s="88">
        <f t="shared" si="76"/>
        <v>0</v>
      </c>
      <c r="M91" s="8"/>
      <c r="N91" s="29"/>
      <c r="O91" s="8"/>
      <c r="P91" s="220"/>
      <c r="Q91" s="220"/>
      <c r="R91" s="220"/>
      <c r="S91" s="8"/>
      <c r="T91" s="20"/>
      <c r="U91" s="21">
        <v>0</v>
      </c>
      <c r="V91" s="21">
        <v>0</v>
      </c>
      <c r="W91" s="21">
        <f t="shared" si="77"/>
        <v>0</v>
      </c>
      <c r="X91" s="22">
        <v>1</v>
      </c>
      <c r="Y91" s="23">
        <f t="shared" si="86"/>
        <v>0</v>
      </c>
      <c r="Z91" s="21">
        <f t="shared" si="78"/>
        <v>0</v>
      </c>
      <c r="AA91" s="21">
        <f t="shared" si="74"/>
        <v>0</v>
      </c>
      <c r="AC91" s="9"/>
      <c r="AD91" s="9" t="str">
        <f t="shared" si="79"/>
        <v>5.9</v>
      </c>
      <c r="AE91" s="27">
        <f t="shared" si="80"/>
        <v>0</v>
      </c>
      <c r="AF91" s="21">
        <f t="shared" si="81"/>
        <v>0</v>
      </c>
      <c r="AG91" s="21">
        <v>0</v>
      </c>
      <c r="AH91" s="21">
        <f t="shared" si="82"/>
        <v>0</v>
      </c>
      <c r="AI91" s="21">
        <f t="shared" si="83"/>
        <v>0</v>
      </c>
      <c r="AJ91" s="21">
        <f t="shared" si="84"/>
        <v>0</v>
      </c>
      <c r="AK91" s="9" t="s">
        <v>57</v>
      </c>
      <c r="AL91" s="9" t="s">
        <v>57</v>
      </c>
      <c r="AM91" s="22">
        <v>0</v>
      </c>
      <c r="AN91" s="23">
        <f t="shared" si="85"/>
        <v>0</v>
      </c>
      <c r="AO91" s="9"/>
      <c r="AP91" s="26">
        <v>0</v>
      </c>
      <c r="AQ91" s="9"/>
    </row>
    <row r="92" spans="2:43" ht="63" x14ac:dyDescent="0.25">
      <c r="B92" s="170" t="s">
        <v>228</v>
      </c>
      <c r="C92" s="125" t="s">
        <v>629</v>
      </c>
      <c r="D92" s="93" t="s">
        <v>87</v>
      </c>
      <c r="E92" s="114">
        <v>1</v>
      </c>
      <c r="F92" s="114">
        <v>1</v>
      </c>
      <c r="G92" s="90">
        <v>0</v>
      </c>
      <c r="H92" s="124">
        <f t="shared" si="75"/>
        <v>0</v>
      </c>
      <c r="I92" s="171"/>
      <c r="J92" s="84"/>
      <c r="K92" s="95">
        <v>0</v>
      </c>
      <c r="L92" s="88">
        <f t="shared" si="76"/>
        <v>0</v>
      </c>
      <c r="M92" s="8"/>
      <c r="N92" s="29"/>
      <c r="O92" s="8"/>
      <c r="P92" s="220"/>
      <c r="Q92" s="220"/>
      <c r="R92" s="220"/>
      <c r="S92" s="8"/>
      <c r="T92" s="20"/>
      <c r="U92" s="21">
        <v>0</v>
      </c>
      <c r="V92" s="21">
        <v>0</v>
      </c>
      <c r="W92" s="21">
        <f t="shared" si="77"/>
        <v>0</v>
      </c>
      <c r="X92" s="22">
        <v>1</v>
      </c>
      <c r="Y92" s="23">
        <f t="shared" si="86"/>
        <v>0</v>
      </c>
      <c r="Z92" s="21">
        <f t="shared" si="78"/>
        <v>0</v>
      </c>
      <c r="AA92" s="21">
        <f t="shared" si="74"/>
        <v>0</v>
      </c>
      <c r="AC92" s="9"/>
      <c r="AD92" s="9" t="str">
        <f t="shared" si="79"/>
        <v>5.10</v>
      </c>
      <c r="AE92" s="27">
        <f t="shared" si="80"/>
        <v>0</v>
      </c>
      <c r="AF92" s="21">
        <f t="shared" si="81"/>
        <v>0</v>
      </c>
      <c r="AG92" s="21">
        <v>0</v>
      </c>
      <c r="AH92" s="21">
        <f t="shared" si="82"/>
        <v>0</v>
      </c>
      <c r="AI92" s="21">
        <f t="shared" si="83"/>
        <v>0</v>
      </c>
      <c r="AJ92" s="21">
        <f t="shared" si="84"/>
        <v>0</v>
      </c>
      <c r="AK92" s="9" t="s">
        <v>57</v>
      </c>
      <c r="AL92" s="9" t="s">
        <v>57</v>
      </c>
      <c r="AM92" s="22">
        <v>0</v>
      </c>
      <c r="AN92" s="23">
        <f t="shared" si="85"/>
        <v>0</v>
      </c>
      <c r="AO92" s="9"/>
      <c r="AP92" s="26">
        <v>0</v>
      </c>
      <c r="AQ92" s="9"/>
    </row>
    <row r="93" spans="2:43" ht="63" x14ac:dyDescent="0.25">
      <c r="B93" s="170" t="s">
        <v>227</v>
      </c>
      <c r="C93" s="125" t="s">
        <v>630</v>
      </c>
      <c r="D93" s="93" t="s">
        <v>87</v>
      </c>
      <c r="E93" s="114">
        <v>1</v>
      </c>
      <c r="F93" s="114">
        <v>1</v>
      </c>
      <c r="G93" s="90">
        <v>0</v>
      </c>
      <c r="H93" s="124">
        <f t="shared" si="75"/>
        <v>0</v>
      </c>
      <c r="I93" s="171"/>
      <c r="J93" s="84"/>
      <c r="K93" s="95">
        <v>0</v>
      </c>
      <c r="L93" s="88">
        <f t="shared" si="76"/>
        <v>0</v>
      </c>
      <c r="M93" s="8"/>
      <c r="N93" s="29"/>
      <c r="O93" s="8"/>
      <c r="P93" s="220"/>
      <c r="Q93" s="220"/>
      <c r="R93" s="220"/>
      <c r="S93" s="8"/>
      <c r="T93" s="20"/>
      <c r="U93" s="21">
        <v>0</v>
      </c>
      <c r="V93" s="21">
        <v>0</v>
      </c>
      <c r="W93" s="21">
        <f t="shared" si="77"/>
        <v>0</v>
      </c>
      <c r="X93" s="22">
        <v>1</v>
      </c>
      <c r="Y93" s="23">
        <f t="shared" si="86"/>
        <v>0</v>
      </c>
      <c r="Z93" s="21">
        <f t="shared" si="78"/>
        <v>0</v>
      </c>
      <c r="AA93" s="21">
        <f t="shared" si="74"/>
        <v>0</v>
      </c>
      <c r="AC93" s="9"/>
      <c r="AD93" s="9" t="str">
        <f t="shared" si="79"/>
        <v>5.11</v>
      </c>
      <c r="AE93" s="27">
        <f t="shared" si="80"/>
        <v>0</v>
      </c>
      <c r="AF93" s="21">
        <f t="shared" si="81"/>
        <v>0</v>
      </c>
      <c r="AG93" s="21">
        <v>0</v>
      </c>
      <c r="AH93" s="21">
        <f t="shared" si="82"/>
        <v>0</v>
      </c>
      <c r="AI93" s="21">
        <f t="shared" si="83"/>
        <v>0</v>
      </c>
      <c r="AJ93" s="21">
        <f t="shared" si="84"/>
        <v>0</v>
      </c>
      <c r="AK93" s="9" t="s">
        <v>57</v>
      </c>
      <c r="AL93" s="9" t="s">
        <v>57</v>
      </c>
      <c r="AM93" s="22">
        <v>0</v>
      </c>
      <c r="AN93" s="23">
        <f t="shared" si="85"/>
        <v>0</v>
      </c>
      <c r="AO93" s="9"/>
      <c r="AP93" s="26">
        <v>0</v>
      </c>
      <c r="AQ93" s="9"/>
    </row>
    <row r="94" spans="2:43" ht="63" x14ac:dyDescent="0.25">
      <c r="B94" s="170" t="s">
        <v>226</v>
      </c>
      <c r="C94" s="125" t="s">
        <v>631</v>
      </c>
      <c r="D94" s="93" t="s">
        <v>87</v>
      </c>
      <c r="E94" s="114">
        <v>1</v>
      </c>
      <c r="F94" s="114">
        <v>1</v>
      </c>
      <c r="G94" s="90">
        <v>0</v>
      </c>
      <c r="H94" s="124">
        <f t="shared" si="75"/>
        <v>0</v>
      </c>
      <c r="I94" s="171"/>
      <c r="J94" s="84"/>
      <c r="K94" s="95">
        <v>0</v>
      </c>
      <c r="L94" s="88">
        <f t="shared" si="76"/>
        <v>0</v>
      </c>
      <c r="M94" s="8"/>
      <c r="N94" s="29"/>
      <c r="O94" s="8"/>
      <c r="P94" s="220"/>
      <c r="Q94" s="220"/>
      <c r="R94" s="220"/>
      <c r="S94" s="8"/>
      <c r="T94" s="20"/>
      <c r="U94" s="21">
        <v>0</v>
      </c>
      <c r="V94" s="21">
        <v>0</v>
      </c>
      <c r="W94" s="21">
        <f t="shared" si="77"/>
        <v>0</v>
      </c>
      <c r="X94" s="22">
        <v>1</v>
      </c>
      <c r="Y94" s="23">
        <f t="shared" si="86"/>
        <v>0</v>
      </c>
      <c r="Z94" s="21">
        <f t="shared" si="78"/>
        <v>0</v>
      </c>
      <c r="AA94" s="21">
        <f t="shared" si="74"/>
        <v>0</v>
      </c>
      <c r="AC94" s="9"/>
      <c r="AD94" s="9" t="str">
        <f t="shared" si="79"/>
        <v>5.12</v>
      </c>
      <c r="AE94" s="27">
        <f t="shared" si="80"/>
        <v>0</v>
      </c>
      <c r="AF94" s="21">
        <f t="shared" si="81"/>
        <v>0</v>
      </c>
      <c r="AG94" s="21">
        <v>0</v>
      </c>
      <c r="AH94" s="21">
        <f t="shared" si="82"/>
        <v>0</v>
      </c>
      <c r="AI94" s="21">
        <f t="shared" si="83"/>
        <v>0</v>
      </c>
      <c r="AJ94" s="21">
        <f t="shared" si="84"/>
        <v>0</v>
      </c>
      <c r="AK94" s="9" t="s">
        <v>57</v>
      </c>
      <c r="AL94" s="9" t="s">
        <v>57</v>
      </c>
      <c r="AM94" s="22">
        <v>0</v>
      </c>
      <c r="AN94" s="23">
        <f t="shared" si="85"/>
        <v>0</v>
      </c>
      <c r="AO94" s="9"/>
      <c r="AP94" s="26">
        <v>0</v>
      </c>
      <c r="AQ94" s="9"/>
    </row>
    <row r="95" spans="2:43" ht="63" x14ac:dyDescent="0.25">
      <c r="B95" s="170" t="s">
        <v>279</v>
      </c>
      <c r="C95" s="96" t="s">
        <v>632</v>
      </c>
      <c r="D95" s="93" t="s">
        <v>87</v>
      </c>
      <c r="E95" s="92">
        <v>1</v>
      </c>
      <c r="F95" s="92">
        <v>1</v>
      </c>
      <c r="G95" s="122">
        <v>0</v>
      </c>
      <c r="H95" s="109">
        <f t="shared" si="75"/>
        <v>0</v>
      </c>
      <c r="I95" s="168"/>
      <c r="J95" s="84"/>
      <c r="K95" s="95">
        <v>0</v>
      </c>
      <c r="L95" s="88">
        <f t="shared" si="76"/>
        <v>0</v>
      </c>
      <c r="M95" s="8"/>
      <c r="N95" s="29"/>
      <c r="O95" s="8"/>
      <c r="P95" s="220"/>
      <c r="Q95" s="220"/>
      <c r="R95" s="220"/>
      <c r="S95" s="8"/>
      <c r="T95" s="20"/>
      <c r="U95" s="21">
        <v>0</v>
      </c>
      <c r="V95" s="21">
        <v>0</v>
      </c>
      <c r="W95" s="21">
        <f t="shared" si="77"/>
        <v>0</v>
      </c>
      <c r="X95" s="22">
        <v>1</v>
      </c>
      <c r="Y95" s="23">
        <f t="shared" si="86"/>
        <v>0</v>
      </c>
      <c r="Z95" s="21">
        <f t="shared" si="78"/>
        <v>0</v>
      </c>
      <c r="AA95" s="21">
        <f t="shared" si="74"/>
        <v>0</v>
      </c>
      <c r="AC95" s="9"/>
      <c r="AD95" s="9" t="str">
        <f t="shared" si="79"/>
        <v>5.13</v>
      </c>
      <c r="AE95" s="27">
        <f t="shared" si="80"/>
        <v>0</v>
      </c>
      <c r="AF95" s="21">
        <f t="shared" si="81"/>
        <v>0</v>
      </c>
      <c r="AG95" s="21">
        <v>0</v>
      </c>
      <c r="AH95" s="21">
        <f t="shared" si="82"/>
        <v>0</v>
      </c>
      <c r="AI95" s="21">
        <f t="shared" si="83"/>
        <v>0</v>
      </c>
      <c r="AJ95" s="21">
        <f t="shared" si="84"/>
        <v>0</v>
      </c>
      <c r="AK95" s="9" t="s">
        <v>57</v>
      </c>
      <c r="AL95" s="9" t="s">
        <v>57</v>
      </c>
      <c r="AM95" s="22">
        <v>0</v>
      </c>
      <c r="AN95" s="23">
        <f t="shared" si="85"/>
        <v>0</v>
      </c>
      <c r="AO95" s="9"/>
      <c r="AP95" s="26">
        <v>0</v>
      </c>
      <c r="AQ95" s="9"/>
    </row>
    <row r="96" spans="2:43" ht="63" x14ac:dyDescent="0.25">
      <c r="B96" s="170" t="s">
        <v>280</v>
      </c>
      <c r="C96" s="102" t="s">
        <v>633</v>
      </c>
      <c r="D96" s="93" t="s">
        <v>87</v>
      </c>
      <c r="E96" s="92">
        <v>1</v>
      </c>
      <c r="F96" s="92">
        <v>1</v>
      </c>
      <c r="G96" s="91">
        <v>0</v>
      </c>
      <c r="H96" s="90">
        <f t="shared" si="75"/>
        <v>0</v>
      </c>
      <c r="I96" s="171"/>
      <c r="J96" s="84"/>
      <c r="K96" s="95">
        <v>0</v>
      </c>
      <c r="L96" s="88">
        <f t="shared" si="76"/>
        <v>0</v>
      </c>
      <c r="M96" s="8"/>
      <c r="N96" s="29"/>
      <c r="O96" s="8"/>
      <c r="P96" s="220"/>
      <c r="Q96" s="220"/>
      <c r="R96" s="220"/>
      <c r="S96" s="8"/>
      <c r="T96" s="20"/>
      <c r="U96" s="21">
        <v>0</v>
      </c>
      <c r="V96" s="21">
        <v>0</v>
      </c>
      <c r="W96" s="21">
        <f t="shared" si="77"/>
        <v>0</v>
      </c>
      <c r="X96" s="22">
        <v>1</v>
      </c>
      <c r="Y96" s="23">
        <f t="shared" si="86"/>
        <v>0</v>
      </c>
      <c r="Z96" s="21">
        <f t="shared" si="78"/>
        <v>0</v>
      </c>
      <c r="AA96" s="21">
        <f t="shared" si="74"/>
        <v>0</v>
      </c>
      <c r="AC96" s="9"/>
      <c r="AD96" s="9" t="str">
        <f t="shared" si="79"/>
        <v>5.14</v>
      </c>
      <c r="AE96" s="27">
        <f t="shared" si="80"/>
        <v>0</v>
      </c>
      <c r="AF96" s="21">
        <f t="shared" si="81"/>
        <v>0</v>
      </c>
      <c r="AG96" s="21">
        <v>0</v>
      </c>
      <c r="AH96" s="21">
        <f t="shared" si="82"/>
        <v>0</v>
      </c>
      <c r="AI96" s="21">
        <f t="shared" si="83"/>
        <v>0</v>
      </c>
      <c r="AJ96" s="21">
        <f t="shared" si="84"/>
        <v>0</v>
      </c>
      <c r="AK96" s="9" t="s">
        <v>57</v>
      </c>
      <c r="AL96" s="9" t="s">
        <v>57</v>
      </c>
      <c r="AM96" s="22">
        <v>0</v>
      </c>
      <c r="AN96" s="23">
        <f t="shared" si="85"/>
        <v>0</v>
      </c>
      <c r="AO96" s="9"/>
      <c r="AP96" s="26">
        <v>0</v>
      </c>
      <c r="AQ96" s="9"/>
    </row>
    <row r="97" spans="2:43" ht="66.75" x14ac:dyDescent="0.25">
      <c r="B97" s="170" t="s">
        <v>356</v>
      </c>
      <c r="C97" s="211" t="s">
        <v>634</v>
      </c>
      <c r="D97" s="93" t="s">
        <v>87</v>
      </c>
      <c r="E97" s="92">
        <v>1</v>
      </c>
      <c r="F97" s="114">
        <v>1</v>
      </c>
      <c r="G97" s="91">
        <v>0</v>
      </c>
      <c r="H97" s="90">
        <f t="shared" si="75"/>
        <v>0</v>
      </c>
      <c r="I97" s="171"/>
      <c r="J97" s="84"/>
      <c r="K97" s="95">
        <v>0</v>
      </c>
      <c r="L97" s="88">
        <f t="shared" si="76"/>
        <v>0</v>
      </c>
      <c r="M97" s="8"/>
      <c r="N97" s="29"/>
      <c r="O97" s="8"/>
      <c r="P97" s="220"/>
      <c r="Q97" s="220"/>
      <c r="R97" s="220"/>
      <c r="S97" s="8"/>
      <c r="T97" s="20"/>
      <c r="U97" s="21">
        <v>0</v>
      </c>
      <c r="V97" s="21">
        <v>0</v>
      </c>
      <c r="W97" s="21">
        <f t="shared" si="77"/>
        <v>0</v>
      </c>
      <c r="X97" s="22">
        <v>1</v>
      </c>
      <c r="Y97" s="23">
        <f t="shared" si="86"/>
        <v>0</v>
      </c>
      <c r="Z97" s="21">
        <f t="shared" si="78"/>
        <v>0</v>
      </c>
      <c r="AA97" s="21">
        <f t="shared" si="74"/>
        <v>0</v>
      </c>
      <c r="AC97" s="9"/>
      <c r="AD97" s="9" t="str">
        <f t="shared" si="79"/>
        <v>5.15</v>
      </c>
      <c r="AE97" s="27">
        <f t="shared" si="80"/>
        <v>0</v>
      </c>
      <c r="AF97" s="21">
        <f t="shared" si="81"/>
        <v>0</v>
      </c>
      <c r="AG97" s="21">
        <v>0</v>
      </c>
      <c r="AH97" s="21">
        <f t="shared" si="82"/>
        <v>0</v>
      </c>
      <c r="AI97" s="21">
        <f t="shared" si="83"/>
        <v>0</v>
      </c>
      <c r="AJ97" s="21">
        <f t="shared" si="84"/>
        <v>0</v>
      </c>
      <c r="AK97" s="9" t="s">
        <v>57</v>
      </c>
      <c r="AL97" s="9" t="s">
        <v>57</v>
      </c>
      <c r="AM97" s="22">
        <v>0</v>
      </c>
      <c r="AN97" s="23">
        <f t="shared" si="85"/>
        <v>0</v>
      </c>
      <c r="AO97" s="9"/>
      <c r="AP97" s="26">
        <v>0</v>
      </c>
      <c r="AQ97" s="9"/>
    </row>
    <row r="98" spans="2:43" ht="63" x14ac:dyDescent="0.25">
      <c r="B98" s="170" t="s">
        <v>357</v>
      </c>
      <c r="C98" s="212" t="s">
        <v>635</v>
      </c>
      <c r="D98" s="93" t="s">
        <v>87</v>
      </c>
      <c r="E98" s="92">
        <v>1</v>
      </c>
      <c r="F98" s="92">
        <v>1</v>
      </c>
      <c r="G98" s="91">
        <v>0</v>
      </c>
      <c r="H98" s="90">
        <f>E98*F98*G98</f>
        <v>0</v>
      </c>
      <c r="I98" s="171"/>
      <c r="J98" s="84"/>
      <c r="K98" s="95">
        <v>0</v>
      </c>
      <c r="L98" s="88">
        <f>H98</f>
        <v>0</v>
      </c>
      <c r="M98" s="8"/>
      <c r="N98" s="29"/>
      <c r="O98" s="8"/>
      <c r="P98" s="220"/>
      <c r="Q98" s="220"/>
      <c r="R98" s="220"/>
      <c r="S98" s="8"/>
      <c r="T98" s="20"/>
      <c r="U98" s="21">
        <v>0</v>
      </c>
      <c r="V98" s="21">
        <v>0</v>
      </c>
      <c r="W98" s="21">
        <f t="shared" si="77"/>
        <v>0</v>
      </c>
      <c r="X98" s="22">
        <v>1</v>
      </c>
      <c r="Y98" s="23">
        <f t="shared" si="86"/>
        <v>0</v>
      </c>
      <c r="Z98" s="21">
        <f t="shared" si="78"/>
        <v>0</v>
      </c>
      <c r="AA98" s="21">
        <f t="shared" si="74"/>
        <v>0</v>
      </c>
      <c r="AC98" s="9"/>
      <c r="AD98" s="9" t="str">
        <f t="shared" si="79"/>
        <v>5.16</v>
      </c>
      <c r="AE98" s="27">
        <f t="shared" si="80"/>
        <v>0</v>
      </c>
      <c r="AF98" s="21">
        <f t="shared" si="81"/>
        <v>0</v>
      </c>
      <c r="AG98" s="21">
        <v>0</v>
      </c>
      <c r="AH98" s="21">
        <f t="shared" si="82"/>
        <v>0</v>
      </c>
      <c r="AI98" s="21">
        <f t="shared" si="83"/>
        <v>0</v>
      </c>
      <c r="AJ98" s="21">
        <f t="shared" si="84"/>
        <v>0</v>
      </c>
      <c r="AK98" s="9" t="s">
        <v>57</v>
      </c>
      <c r="AL98" s="9" t="s">
        <v>57</v>
      </c>
      <c r="AM98" s="22">
        <v>0</v>
      </c>
      <c r="AN98" s="23">
        <f t="shared" si="85"/>
        <v>0</v>
      </c>
      <c r="AO98" s="9"/>
      <c r="AP98" s="26">
        <v>0</v>
      </c>
      <c r="AQ98" s="9"/>
    </row>
    <row r="99" spans="2:43" ht="78.75" x14ac:dyDescent="0.25">
      <c r="B99" s="170" t="s">
        <v>434</v>
      </c>
      <c r="C99" s="103" t="s">
        <v>638</v>
      </c>
      <c r="D99" s="93" t="s">
        <v>87</v>
      </c>
      <c r="E99" s="92">
        <v>1</v>
      </c>
      <c r="F99" s="92">
        <v>1</v>
      </c>
      <c r="G99" s="91">
        <v>0</v>
      </c>
      <c r="H99" s="90">
        <f t="shared" ref="H99" si="87">E99*F99*G99</f>
        <v>0</v>
      </c>
      <c r="I99" s="171"/>
      <c r="J99" s="84"/>
      <c r="K99" s="95">
        <v>0</v>
      </c>
      <c r="L99" s="88">
        <f t="shared" ref="L99" si="88">H99</f>
        <v>0</v>
      </c>
      <c r="M99" s="8"/>
      <c r="N99" s="29"/>
      <c r="O99" s="8"/>
      <c r="P99" s="220"/>
      <c r="Q99" s="220"/>
      <c r="R99" s="220"/>
      <c r="S99" s="8"/>
      <c r="T99" s="20"/>
      <c r="U99" s="21">
        <v>0</v>
      </c>
      <c r="V99" s="21">
        <v>0</v>
      </c>
      <c r="W99" s="21">
        <f t="shared" si="77"/>
        <v>0</v>
      </c>
      <c r="X99" s="22">
        <v>1</v>
      </c>
      <c r="Y99" s="23">
        <f>W99-(W99*X99)</f>
        <v>0</v>
      </c>
      <c r="Z99" s="21">
        <f t="shared" si="78"/>
        <v>0</v>
      </c>
      <c r="AA99" s="21">
        <f t="shared" si="74"/>
        <v>0</v>
      </c>
      <c r="AC99" s="9"/>
      <c r="AD99" s="9" t="str">
        <f t="shared" si="79"/>
        <v>5.17</v>
      </c>
      <c r="AE99" s="27">
        <f t="shared" si="80"/>
        <v>0</v>
      </c>
      <c r="AF99" s="21">
        <f t="shared" si="81"/>
        <v>0</v>
      </c>
      <c r="AG99" s="21">
        <v>0</v>
      </c>
      <c r="AH99" s="21">
        <f t="shared" si="82"/>
        <v>0</v>
      </c>
      <c r="AI99" s="21">
        <f t="shared" si="83"/>
        <v>0</v>
      </c>
      <c r="AJ99" s="21">
        <f t="shared" si="84"/>
        <v>0</v>
      </c>
      <c r="AK99" s="9" t="s">
        <v>57</v>
      </c>
      <c r="AL99" s="9" t="s">
        <v>57</v>
      </c>
      <c r="AM99" s="22">
        <v>0</v>
      </c>
      <c r="AN99" s="23">
        <f t="shared" si="85"/>
        <v>0</v>
      </c>
      <c r="AO99" s="9"/>
      <c r="AP99" s="26">
        <v>0</v>
      </c>
      <c r="AQ99" s="9"/>
    </row>
    <row r="100" spans="2:43" ht="38.25" x14ac:dyDescent="0.25">
      <c r="B100" s="165">
        <v>6</v>
      </c>
      <c r="C100" s="87" t="s">
        <v>311</v>
      </c>
      <c r="D100" s="87"/>
      <c r="E100" s="87"/>
      <c r="F100" s="87"/>
      <c r="G100" s="87"/>
      <c r="H100" s="87"/>
      <c r="I100" s="166">
        <f>SUM(H101:H148)</f>
        <v>0</v>
      </c>
      <c r="J100" s="84"/>
      <c r="K100" s="99" t="s">
        <v>75</v>
      </c>
      <c r="L100" s="98" t="str">
        <f>L$15</f>
        <v>30 DIAS</v>
      </c>
      <c r="M100" s="8"/>
      <c r="N100" s="29"/>
      <c r="O100" s="8"/>
      <c r="P100" s="218" t="s">
        <v>506</v>
      </c>
      <c r="Q100" s="218" t="s">
        <v>507</v>
      </c>
      <c r="R100" s="218" t="s">
        <v>508</v>
      </c>
      <c r="S100" s="8"/>
      <c r="T100" s="144" t="s">
        <v>22</v>
      </c>
      <c r="U100" s="145" t="s">
        <v>23</v>
      </c>
      <c r="V100" s="146" t="s">
        <v>523</v>
      </c>
      <c r="W100" s="146" t="s">
        <v>24</v>
      </c>
      <c r="X100" s="333" t="s">
        <v>68</v>
      </c>
      <c r="Y100" s="334"/>
      <c r="Z100" s="147" t="s">
        <v>25</v>
      </c>
      <c r="AA100" s="147" t="s">
        <v>26</v>
      </c>
      <c r="AB100" s="148"/>
      <c r="AC100" s="149" t="s">
        <v>16</v>
      </c>
      <c r="AD100" s="149" t="s">
        <v>17</v>
      </c>
      <c r="AE100" s="150" t="s">
        <v>22</v>
      </c>
      <c r="AF100" s="151" t="s">
        <v>23</v>
      </c>
      <c r="AG100" s="146" t="s">
        <v>523</v>
      </c>
      <c r="AH100" s="152" t="s">
        <v>24</v>
      </c>
      <c r="AI100" s="153" t="s">
        <v>25</v>
      </c>
      <c r="AJ100" s="153" t="s">
        <v>26</v>
      </c>
      <c r="AK100" s="149" t="s">
        <v>18</v>
      </c>
      <c r="AL100" s="149" t="s">
        <v>67</v>
      </c>
      <c r="AM100" s="333" t="s">
        <v>68</v>
      </c>
      <c r="AN100" s="334"/>
      <c r="AO100" s="149" t="s">
        <v>19</v>
      </c>
      <c r="AP100" s="149" t="s">
        <v>20</v>
      </c>
      <c r="AQ100" s="154" t="s">
        <v>21</v>
      </c>
    </row>
    <row r="101" spans="2:43" ht="63" x14ac:dyDescent="0.25">
      <c r="B101" s="170" t="s">
        <v>45</v>
      </c>
      <c r="C101" s="125" t="s">
        <v>636</v>
      </c>
      <c r="D101" s="93" t="s">
        <v>87</v>
      </c>
      <c r="E101" s="114">
        <v>1</v>
      </c>
      <c r="F101" s="114">
        <v>1</v>
      </c>
      <c r="G101" s="90">
        <v>0</v>
      </c>
      <c r="H101" s="124">
        <f t="shared" ref="H101:H103" si="89">E101*F101*G101</f>
        <v>0</v>
      </c>
      <c r="I101" s="171"/>
      <c r="J101" s="84"/>
      <c r="K101" s="95">
        <v>0</v>
      </c>
      <c r="L101" s="88">
        <f t="shared" ref="L101:L103" si="90">H101</f>
        <v>0</v>
      </c>
      <c r="M101" s="8"/>
      <c r="N101" s="29"/>
      <c r="O101" s="8"/>
      <c r="P101" s="220"/>
      <c r="Q101" s="220"/>
      <c r="R101" s="220"/>
      <c r="S101" s="8"/>
      <c r="T101" s="20"/>
      <c r="U101" s="21">
        <v>0</v>
      </c>
      <c r="V101" s="21">
        <v>0</v>
      </c>
      <c r="W101" s="21">
        <f t="shared" si="77"/>
        <v>0</v>
      </c>
      <c r="X101" s="22">
        <v>1</v>
      </c>
      <c r="Y101" s="23">
        <f>W101-(W101*X101)</f>
        <v>0</v>
      </c>
      <c r="Z101" s="21">
        <f t="shared" ref="Z101:Z148" si="91">U101*10%</f>
        <v>0</v>
      </c>
      <c r="AA101" s="21">
        <f t="shared" si="74"/>
        <v>0</v>
      </c>
      <c r="AC101" s="9"/>
      <c r="AD101" s="9" t="str">
        <f t="shared" ref="AD101:AD148" si="92">B101</f>
        <v>6.1</v>
      </c>
      <c r="AE101" s="27">
        <f t="shared" ref="AE101:AE148" si="93">T101</f>
        <v>0</v>
      </c>
      <c r="AF101" s="21">
        <f t="shared" ref="AF101:AF148" si="94">U101</f>
        <v>0</v>
      </c>
      <c r="AG101" s="21">
        <v>0</v>
      </c>
      <c r="AH101" s="21">
        <f t="shared" ref="AH101:AH148" si="95">H101-AF101</f>
        <v>0</v>
      </c>
      <c r="AI101" s="21">
        <f t="shared" ref="AI101:AI148" si="96">AF101*10%</f>
        <v>0</v>
      </c>
      <c r="AJ101" s="21">
        <f t="shared" ref="AJ101:AJ148" si="97">AN101+AI101</f>
        <v>0</v>
      </c>
      <c r="AK101" s="9" t="s">
        <v>57</v>
      </c>
      <c r="AL101" s="9" t="s">
        <v>57</v>
      </c>
      <c r="AM101" s="22">
        <v>0</v>
      </c>
      <c r="AN101" s="23">
        <f t="shared" ref="AN101:AN148" si="98">(AH101-(AH101*AM101))</f>
        <v>0</v>
      </c>
      <c r="AO101" s="9"/>
      <c r="AP101" s="26">
        <v>0</v>
      </c>
      <c r="AQ101" s="9"/>
    </row>
    <row r="102" spans="2:43" ht="63" x14ac:dyDescent="0.25">
      <c r="B102" s="170" t="s">
        <v>46</v>
      </c>
      <c r="C102" s="108" t="s">
        <v>637</v>
      </c>
      <c r="D102" s="93" t="s">
        <v>87</v>
      </c>
      <c r="E102" s="114">
        <v>1</v>
      </c>
      <c r="F102" s="114">
        <v>1</v>
      </c>
      <c r="G102" s="90">
        <v>0</v>
      </c>
      <c r="H102" s="124">
        <f t="shared" si="89"/>
        <v>0</v>
      </c>
      <c r="I102" s="171"/>
      <c r="J102" s="84"/>
      <c r="K102" s="95">
        <v>0</v>
      </c>
      <c r="L102" s="88">
        <f t="shared" si="90"/>
        <v>0</v>
      </c>
      <c r="M102" s="8"/>
      <c r="N102" s="29"/>
      <c r="O102" s="8"/>
      <c r="P102" s="220"/>
      <c r="Q102" s="220"/>
      <c r="R102" s="220"/>
      <c r="S102" s="8"/>
      <c r="T102" s="20"/>
      <c r="U102" s="21">
        <v>0</v>
      </c>
      <c r="V102" s="21">
        <v>0</v>
      </c>
      <c r="W102" s="21">
        <f t="shared" si="77"/>
        <v>0</v>
      </c>
      <c r="X102" s="22">
        <v>1</v>
      </c>
      <c r="Y102" s="23">
        <f t="shared" ref="Y102:Y147" si="99">W102-(W102*X102)</f>
        <v>0</v>
      </c>
      <c r="Z102" s="21">
        <f t="shared" si="91"/>
        <v>0</v>
      </c>
      <c r="AA102" s="21">
        <f t="shared" si="74"/>
        <v>0</v>
      </c>
      <c r="AC102" s="9"/>
      <c r="AD102" s="9" t="str">
        <f t="shared" si="92"/>
        <v>6.2</v>
      </c>
      <c r="AE102" s="27">
        <f t="shared" si="93"/>
        <v>0</v>
      </c>
      <c r="AF102" s="21">
        <f t="shared" si="94"/>
        <v>0</v>
      </c>
      <c r="AG102" s="21">
        <v>0</v>
      </c>
      <c r="AH102" s="21">
        <f t="shared" si="95"/>
        <v>0</v>
      </c>
      <c r="AI102" s="21">
        <f t="shared" si="96"/>
        <v>0</v>
      </c>
      <c r="AJ102" s="21">
        <f t="shared" si="97"/>
        <v>0</v>
      </c>
      <c r="AK102" s="9" t="s">
        <v>57</v>
      </c>
      <c r="AL102" s="9" t="s">
        <v>57</v>
      </c>
      <c r="AM102" s="22">
        <v>0</v>
      </c>
      <c r="AN102" s="23">
        <f t="shared" si="98"/>
        <v>0</v>
      </c>
      <c r="AO102" s="9"/>
      <c r="AP102" s="26">
        <v>0</v>
      </c>
      <c r="AQ102" s="9"/>
    </row>
    <row r="103" spans="2:43" ht="78.75" x14ac:dyDescent="0.25">
      <c r="B103" s="170" t="s">
        <v>47</v>
      </c>
      <c r="C103" s="108" t="s">
        <v>639</v>
      </c>
      <c r="D103" s="93" t="s">
        <v>87</v>
      </c>
      <c r="E103" s="114">
        <v>1</v>
      </c>
      <c r="F103" s="114">
        <v>1</v>
      </c>
      <c r="G103" s="90">
        <v>0</v>
      </c>
      <c r="H103" s="124">
        <f t="shared" si="89"/>
        <v>0</v>
      </c>
      <c r="I103" s="172"/>
      <c r="J103" s="84"/>
      <c r="K103" s="95">
        <v>0</v>
      </c>
      <c r="L103" s="88">
        <f t="shared" si="90"/>
        <v>0</v>
      </c>
      <c r="M103" s="8"/>
      <c r="N103" s="29"/>
      <c r="O103" s="8"/>
      <c r="P103" s="220"/>
      <c r="Q103" s="220"/>
      <c r="R103" s="220"/>
      <c r="S103" s="8"/>
      <c r="T103" s="20"/>
      <c r="U103" s="21">
        <v>0</v>
      </c>
      <c r="V103" s="21">
        <v>0</v>
      </c>
      <c r="W103" s="21">
        <f t="shared" si="77"/>
        <v>0</v>
      </c>
      <c r="X103" s="22">
        <v>1</v>
      </c>
      <c r="Y103" s="23">
        <f t="shared" si="99"/>
        <v>0</v>
      </c>
      <c r="Z103" s="21">
        <f t="shared" si="91"/>
        <v>0</v>
      </c>
      <c r="AA103" s="21">
        <f t="shared" si="74"/>
        <v>0</v>
      </c>
      <c r="AC103" s="9"/>
      <c r="AD103" s="9" t="str">
        <f t="shared" si="92"/>
        <v>6.3</v>
      </c>
      <c r="AE103" s="27">
        <f t="shared" si="93"/>
        <v>0</v>
      </c>
      <c r="AF103" s="21">
        <f t="shared" si="94"/>
        <v>0</v>
      </c>
      <c r="AG103" s="21">
        <v>0</v>
      </c>
      <c r="AH103" s="21">
        <f t="shared" si="95"/>
        <v>0</v>
      </c>
      <c r="AI103" s="21">
        <f t="shared" si="96"/>
        <v>0</v>
      </c>
      <c r="AJ103" s="21">
        <f t="shared" si="97"/>
        <v>0</v>
      </c>
      <c r="AK103" s="9" t="s">
        <v>57</v>
      </c>
      <c r="AL103" s="9" t="s">
        <v>57</v>
      </c>
      <c r="AM103" s="22">
        <v>0</v>
      </c>
      <c r="AN103" s="23">
        <f t="shared" si="98"/>
        <v>0</v>
      </c>
      <c r="AO103" s="9"/>
      <c r="AP103" s="26">
        <v>0</v>
      </c>
      <c r="AQ103" s="9"/>
    </row>
    <row r="104" spans="2:43" ht="63" x14ac:dyDescent="0.25">
      <c r="B104" s="170" t="s">
        <v>48</v>
      </c>
      <c r="C104" s="209" t="s">
        <v>640</v>
      </c>
      <c r="D104" s="93" t="s">
        <v>87</v>
      </c>
      <c r="E104" s="92">
        <v>1</v>
      </c>
      <c r="F104" s="92">
        <v>1</v>
      </c>
      <c r="G104" s="91">
        <v>0</v>
      </c>
      <c r="H104" s="90">
        <f t="shared" ref="H104:H148" si="100">E104*F104*G104</f>
        <v>0</v>
      </c>
      <c r="I104" s="171"/>
      <c r="J104" s="84"/>
      <c r="K104" s="95">
        <v>0</v>
      </c>
      <c r="L104" s="88">
        <f t="shared" ref="L104:L142" si="101">H104</f>
        <v>0</v>
      </c>
      <c r="M104" s="8"/>
      <c r="N104" s="29"/>
      <c r="O104" s="8"/>
      <c r="P104" s="220"/>
      <c r="Q104" s="220"/>
      <c r="R104" s="220"/>
      <c r="S104" s="8"/>
      <c r="T104" s="20"/>
      <c r="U104" s="21">
        <v>0</v>
      </c>
      <c r="V104" s="21">
        <v>0</v>
      </c>
      <c r="W104" s="21">
        <f t="shared" si="77"/>
        <v>0</v>
      </c>
      <c r="X104" s="22">
        <v>1</v>
      </c>
      <c r="Y104" s="23">
        <f t="shared" si="99"/>
        <v>0</v>
      </c>
      <c r="Z104" s="21">
        <f t="shared" si="91"/>
        <v>0</v>
      </c>
      <c r="AA104" s="21">
        <f t="shared" si="74"/>
        <v>0</v>
      </c>
      <c r="AC104" s="9"/>
      <c r="AD104" s="9" t="str">
        <f t="shared" si="92"/>
        <v>6.4</v>
      </c>
      <c r="AE104" s="27">
        <f t="shared" si="93"/>
        <v>0</v>
      </c>
      <c r="AF104" s="21">
        <f t="shared" si="94"/>
        <v>0</v>
      </c>
      <c r="AG104" s="21">
        <v>0</v>
      </c>
      <c r="AH104" s="21">
        <f t="shared" si="95"/>
        <v>0</v>
      </c>
      <c r="AI104" s="21">
        <f t="shared" si="96"/>
        <v>0</v>
      </c>
      <c r="AJ104" s="21">
        <f t="shared" si="97"/>
        <v>0</v>
      </c>
      <c r="AK104" s="9" t="s">
        <v>57</v>
      </c>
      <c r="AL104" s="9" t="s">
        <v>57</v>
      </c>
      <c r="AM104" s="22">
        <v>0</v>
      </c>
      <c r="AN104" s="23">
        <f t="shared" si="98"/>
        <v>0</v>
      </c>
      <c r="AO104" s="9"/>
      <c r="AP104" s="26">
        <v>0</v>
      </c>
      <c r="AQ104" s="9"/>
    </row>
    <row r="105" spans="2:43" ht="63" x14ac:dyDescent="0.25">
      <c r="B105" s="170" t="s">
        <v>49</v>
      </c>
      <c r="C105" s="209" t="s">
        <v>641</v>
      </c>
      <c r="D105" s="93" t="s">
        <v>87</v>
      </c>
      <c r="E105" s="92">
        <v>1</v>
      </c>
      <c r="F105" s="92">
        <v>1</v>
      </c>
      <c r="G105" s="91">
        <v>0</v>
      </c>
      <c r="H105" s="90">
        <f t="shared" si="100"/>
        <v>0</v>
      </c>
      <c r="I105" s="171"/>
      <c r="J105" s="84"/>
      <c r="K105" s="95">
        <v>0</v>
      </c>
      <c r="L105" s="88">
        <f t="shared" si="101"/>
        <v>0</v>
      </c>
      <c r="M105" s="8"/>
      <c r="N105" s="29"/>
      <c r="O105" s="8"/>
      <c r="P105" s="220"/>
      <c r="Q105" s="220"/>
      <c r="R105" s="220"/>
      <c r="S105" s="8"/>
      <c r="T105" s="20"/>
      <c r="U105" s="21">
        <v>0</v>
      </c>
      <c r="V105" s="21">
        <v>0</v>
      </c>
      <c r="W105" s="21">
        <f t="shared" si="77"/>
        <v>0</v>
      </c>
      <c r="X105" s="22">
        <v>1</v>
      </c>
      <c r="Y105" s="23">
        <f t="shared" si="99"/>
        <v>0</v>
      </c>
      <c r="Z105" s="21">
        <f t="shared" si="91"/>
        <v>0</v>
      </c>
      <c r="AA105" s="21">
        <f t="shared" si="74"/>
        <v>0</v>
      </c>
      <c r="AC105" s="9"/>
      <c r="AD105" s="9" t="str">
        <f t="shared" si="92"/>
        <v>6.5</v>
      </c>
      <c r="AE105" s="27">
        <f t="shared" si="93"/>
        <v>0</v>
      </c>
      <c r="AF105" s="21">
        <f t="shared" si="94"/>
        <v>0</v>
      </c>
      <c r="AG105" s="21">
        <v>0</v>
      </c>
      <c r="AH105" s="21">
        <f t="shared" si="95"/>
        <v>0</v>
      </c>
      <c r="AI105" s="21">
        <f t="shared" si="96"/>
        <v>0</v>
      </c>
      <c r="AJ105" s="21">
        <f t="shared" si="97"/>
        <v>0</v>
      </c>
      <c r="AK105" s="9" t="s">
        <v>57</v>
      </c>
      <c r="AL105" s="9" t="s">
        <v>57</v>
      </c>
      <c r="AM105" s="22">
        <v>0</v>
      </c>
      <c r="AN105" s="23">
        <f t="shared" si="98"/>
        <v>0</v>
      </c>
      <c r="AO105" s="9"/>
      <c r="AP105" s="26">
        <v>0</v>
      </c>
      <c r="AQ105" s="9"/>
    </row>
    <row r="106" spans="2:43" ht="63" x14ac:dyDescent="0.25">
      <c r="B106" s="170" t="s">
        <v>225</v>
      </c>
      <c r="C106" s="209" t="s">
        <v>642</v>
      </c>
      <c r="D106" s="93" t="s">
        <v>87</v>
      </c>
      <c r="E106" s="92">
        <v>1</v>
      </c>
      <c r="F106" s="92">
        <v>1</v>
      </c>
      <c r="G106" s="91">
        <v>0</v>
      </c>
      <c r="H106" s="90">
        <f t="shared" si="100"/>
        <v>0</v>
      </c>
      <c r="I106" s="171"/>
      <c r="J106" s="84"/>
      <c r="K106" s="95">
        <v>0</v>
      </c>
      <c r="L106" s="88">
        <f t="shared" si="101"/>
        <v>0</v>
      </c>
      <c r="M106" s="8"/>
      <c r="N106" s="29"/>
      <c r="O106" s="8"/>
      <c r="P106" s="220"/>
      <c r="Q106" s="220"/>
      <c r="R106" s="220"/>
      <c r="S106" s="8"/>
      <c r="T106" s="20"/>
      <c r="U106" s="21">
        <v>0</v>
      </c>
      <c r="V106" s="21">
        <v>0</v>
      </c>
      <c r="W106" s="21">
        <f t="shared" si="77"/>
        <v>0</v>
      </c>
      <c r="X106" s="22">
        <v>1</v>
      </c>
      <c r="Y106" s="23">
        <f t="shared" si="99"/>
        <v>0</v>
      </c>
      <c r="Z106" s="21">
        <f t="shared" si="91"/>
        <v>0</v>
      </c>
      <c r="AA106" s="21">
        <f t="shared" si="74"/>
        <v>0</v>
      </c>
      <c r="AC106" s="9"/>
      <c r="AD106" s="9" t="str">
        <f t="shared" si="92"/>
        <v>6.6</v>
      </c>
      <c r="AE106" s="27">
        <f t="shared" si="93"/>
        <v>0</v>
      </c>
      <c r="AF106" s="21">
        <f t="shared" si="94"/>
        <v>0</v>
      </c>
      <c r="AG106" s="21">
        <v>0</v>
      </c>
      <c r="AH106" s="21">
        <f t="shared" si="95"/>
        <v>0</v>
      </c>
      <c r="AI106" s="21">
        <f t="shared" si="96"/>
        <v>0</v>
      </c>
      <c r="AJ106" s="21">
        <f t="shared" si="97"/>
        <v>0</v>
      </c>
      <c r="AK106" s="9" t="s">
        <v>57</v>
      </c>
      <c r="AL106" s="9" t="s">
        <v>57</v>
      </c>
      <c r="AM106" s="22">
        <v>0</v>
      </c>
      <c r="AN106" s="23">
        <f t="shared" si="98"/>
        <v>0</v>
      </c>
      <c r="AO106" s="9"/>
      <c r="AP106" s="26">
        <v>0</v>
      </c>
      <c r="AQ106" s="9"/>
    </row>
    <row r="107" spans="2:43" ht="63" x14ac:dyDescent="0.25">
      <c r="B107" s="170" t="s">
        <v>224</v>
      </c>
      <c r="C107" s="209" t="s">
        <v>643</v>
      </c>
      <c r="D107" s="93" t="s">
        <v>87</v>
      </c>
      <c r="E107" s="92">
        <v>1</v>
      </c>
      <c r="F107" s="92">
        <v>1</v>
      </c>
      <c r="G107" s="91">
        <v>0</v>
      </c>
      <c r="H107" s="90">
        <f t="shared" si="100"/>
        <v>0</v>
      </c>
      <c r="I107" s="171"/>
      <c r="J107" s="84"/>
      <c r="K107" s="95">
        <v>0</v>
      </c>
      <c r="L107" s="88">
        <f t="shared" si="101"/>
        <v>0</v>
      </c>
      <c r="M107" s="8"/>
      <c r="N107" s="29"/>
      <c r="O107" s="8"/>
      <c r="P107" s="220"/>
      <c r="Q107" s="220"/>
      <c r="R107" s="220"/>
      <c r="S107" s="8"/>
      <c r="T107" s="20"/>
      <c r="U107" s="21">
        <v>0</v>
      </c>
      <c r="V107" s="21">
        <v>0</v>
      </c>
      <c r="W107" s="21">
        <f t="shared" si="77"/>
        <v>0</v>
      </c>
      <c r="X107" s="22">
        <v>1</v>
      </c>
      <c r="Y107" s="23">
        <f t="shared" si="99"/>
        <v>0</v>
      </c>
      <c r="Z107" s="21">
        <f t="shared" si="91"/>
        <v>0</v>
      </c>
      <c r="AA107" s="21">
        <f t="shared" si="74"/>
        <v>0</v>
      </c>
      <c r="AC107" s="9"/>
      <c r="AD107" s="9" t="str">
        <f t="shared" si="92"/>
        <v>6.7</v>
      </c>
      <c r="AE107" s="27">
        <f t="shared" si="93"/>
        <v>0</v>
      </c>
      <c r="AF107" s="21">
        <f t="shared" si="94"/>
        <v>0</v>
      </c>
      <c r="AG107" s="21">
        <v>0</v>
      </c>
      <c r="AH107" s="21">
        <f t="shared" si="95"/>
        <v>0</v>
      </c>
      <c r="AI107" s="21">
        <f t="shared" si="96"/>
        <v>0</v>
      </c>
      <c r="AJ107" s="21">
        <f t="shared" si="97"/>
        <v>0</v>
      </c>
      <c r="AK107" s="9" t="s">
        <v>57</v>
      </c>
      <c r="AL107" s="9" t="s">
        <v>57</v>
      </c>
      <c r="AM107" s="22">
        <v>0</v>
      </c>
      <c r="AN107" s="23">
        <f t="shared" si="98"/>
        <v>0</v>
      </c>
      <c r="AO107" s="9"/>
      <c r="AP107" s="26">
        <v>0</v>
      </c>
      <c r="AQ107" s="9"/>
    </row>
    <row r="108" spans="2:43" ht="63" x14ac:dyDescent="0.25">
      <c r="B108" s="170" t="s">
        <v>223</v>
      </c>
      <c r="C108" s="209" t="s">
        <v>644</v>
      </c>
      <c r="D108" s="93" t="s">
        <v>87</v>
      </c>
      <c r="E108" s="92">
        <v>1</v>
      </c>
      <c r="F108" s="92">
        <v>1</v>
      </c>
      <c r="G108" s="91">
        <v>0</v>
      </c>
      <c r="H108" s="90">
        <f t="shared" si="100"/>
        <v>0</v>
      </c>
      <c r="I108" s="171"/>
      <c r="J108" s="84"/>
      <c r="K108" s="95">
        <v>0</v>
      </c>
      <c r="L108" s="88">
        <f t="shared" si="101"/>
        <v>0</v>
      </c>
      <c r="M108" s="8"/>
      <c r="N108" s="29"/>
      <c r="O108" s="8"/>
      <c r="P108" s="220"/>
      <c r="Q108" s="220"/>
      <c r="R108" s="220"/>
      <c r="S108" s="8"/>
      <c r="T108" s="20"/>
      <c r="U108" s="21">
        <v>0</v>
      </c>
      <c r="V108" s="21">
        <v>0</v>
      </c>
      <c r="W108" s="21">
        <f t="shared" si="77"/>
        <v>0</v>
      </c>
      <c r="X108" s="22">
        <v>1</v>
      </c>
      <c r="Y108" s="23">
        <f t="shared" si="99"/>
        <v>0</v>
      </c>
      <c r="Z108" s="21">
        <f t="shared" si="91"/>
        <v>0</v>
      </c>
      <c r="AA108" s="21">
        <f t="shared" si="74"/>
        <v>0</v>
      </c>
      <c r="AC108" s="9"/>
      <c r="AD108" s="9" t="str">
        <f t="shared" si="92"/>
        <v>6.8</v>
      </c>
      <c r="AE108" s="27">
        <f t="shared" si="93"/>
        <v>0</v>
      </c>
      <c r="AF108" s="21">
        <f t="shared" si="94"/>
        <v>0</v>
      </c>
      <c r="AG108" s="21">
        <v>0</v>
      </c>
      <c r="AH108" s="21">
        <f t="shared" si="95"/>
        <v>0</v>
      </c>
      <c r="AI108" s="21">
        <f t="shared" si="96"/>
        <v>0</v>
      </c>
      <c r="AJ108" s="21">
        <f t="shared" si="97"/>
        <v>0</v>
      </c>
      <c r="AK108" s="9" t="s">
        <v>57</v>
      </c>
      <c r="AL108" s="9" t="s">
        <v>57</v>
      </c>
      <c r="AM108" s="22">
        <v>0</v>
      </c>
      <c r="AN108" s="23">
        <f t="shared" si="98"/>
        <v>0</v>
      </c>
      <c r="AO108" s="9"/>
      <c r="AP108" s="26">
        <v>0</v>
      </c>
      <c r="AQ108" s="9"/>
    </row>
    <row r="109" spans="2:43" ht="94.5" x14ac:dyDescent="0.25">
      <c r="B109" s="170" t="s">
        <v>222</v>
      </c>
      <c r="C109" s="209" t="s">
        <v>645</v>
      </c>
      <c r="D109" s="93" t="s">
        <v>87</v>
      </c>
      <c r="E109" s="92">
        <v>1</v>
      </c>
      <c r="F109" s="92">
        <v>1</v>
      </c>
      <c r="G109" s="91">
        <v>0</v>
      </c>
      <c r="H109" s="90">
        <f t="shared" si="100"/>
        <v>0</v>
      </c>
      <c r="I109" s="171"/>
      <c r="J109" s="84"/>
      <c r="K109" s="95">
        <v>0</v>
      </c>
      <c r="L109" s="88">
        <f t="shared" si="101"/>
        <v>0</v>
      </c>
      <c r="M109" s="8"/>
      <c r="N109" s="29"/>
      <c r="O109" s="8"/>
      <c r="P109" s="220"/>
      <c r="Q109" s="220"/>
      <c r="R109" s="220"/>
      <c r="S109" s="8"/>
      <c r="T109" s="20"/>
      <c r="U109" s="21">
        <v>0</v>
      </c>
      <c r="V109" s="21">
        <v>0</v>
      </c>
      <c r="W109" s="21">
        <f t="shared" si="77"/>
        <v>0</v>
      </c>
      <c r="X109" s="22">
        <v>1</v>
      </c>
      <c r="Y109" s="23">
        <f t="shared" si="99"/>
        <v>0</v>
      </c>
      <c r="Z109" s="21">
        <f t="shared" si="91"/>
        <v>0</v>
      </c>
      <c r="AA109" s="21">
        <f t="shared" si="74"/>
        <v>0</v>
      </c>
      <c r="AC109" s="9"/>
      <c r="AD109" s="9" t="str">
        <f t="shared" si="92"/>
        <v>6.9</v>
      </c>
      <c r="AE109" s="27">
        <f t="shared" si="93"/>
        <v>0</v>
      </c>
      <c r="AF109" s="21">
        <f t="shared" si="94"/>
        <v>0</v>
      </c>
      <c r="AG109" s="21">
        <v>0</v>
      </c>
      <c r="AH109" s="21">
        <f t="shared" si="95"/>
        <v>0</v>
      </c>
      <c r="AI109" s="21">
        <f t="shared" si="96"/>
        <v>0</v>
      </c>
      <c r="AJ109" s="21">
        <f t="shared" si="97"/>
        <v>0</v>
      </c>
      <c r="AK109" s="9" t="s">
        <v>57</v>
      </c>
      <c r="AL109" s="9" t="s">
        <v>57</v>
      </c>
      <c r="AM109" s="22">
        <v>0</v>
      </c>
      <c r="AN109" s="23">
        <f t="shared" si="98"/>
        <v>0</v>
      </c>
      <c r="AO109" s="9"/>
      <c r="AP109" s="26">
        <v>0</v>
      </c>
      <c r="AQ109" s="9"/>
    </row>
    <row r="110" spans="2:43" ht="63" x14ac:dyDescent="0.25">
      <c r="B110" s="170" t="s">
        <v>221</v>
      </c>
      <c r="C110" s="209" t="s">
        <v>646</v>
      </c>
      <c r="D110" s="93" t="s">
        <v>87</v>
      </c>
      <c r="E110" s="92">
        <v>1</v>
      </c>
      <c r="F110" s="92">
        <v>1</v>
      </c>
      <c r="G110" s="91">
        <v>0</v>
      </c>
      <c r="H110" s="90">
        <f t="shared" si="100"/>
        <v>0</v>
      </c>
      <c r="I110" s="171"/>
      <c r="J110" s="84"/>
      <c r="K110" s="95">
        <v>0</v>
      </c>
      <c r="L110" s="88">
        <f t="shared" si="101"/>
        <v>0</v>
      </c>
      <c r="M110" s="8"/>
      <c r="N110" s="29"/>
      <c r="O110" s="8"/>
      <c r="P110" s="220"/>
      <c r="Q110" s="220"/>
      <c r="R110" s="220"/>
      <c r="S110" s="8"/>
      <c r="T110" s="20"/>
      <c r="U110" s="21">
        <v>0</v>
      </c>
      <c r="V110" s="21">
        <v>0</v>
      </c>
      <c r="W110" s="21">
        <f t="shared" si="77"/>
        <v>0</v>
      </c>
      <c r="X110" s="22">
        <v>1</v>
      </c>
      <c r="Y110" s="23">
        <f t="shared" si="99"/>
        <v>0</v>
      </c>
      <c r="Z110" s="21">
        <f t="shared" si="91"/>
        <v>0</v>
      </c>
      <c r="AA110" s="21">
        <f t="shared" si="74"/>
        <v>0</v>
      </c>
      <c r="AC110" s="9"/>
      <c r="AD110" s="9" t="str">
        <f t="shared" si="92"/>
        <v>6.10</v>
      </c>
      <c r="AE110" s="27">
        <f t="shared" si="93"/>
        <v>0</v>
      </c>
      <c r="AF110" s="21">
        <f t="shared" si="94"/>
        <v>0</v>
      </c>
      <c r="AG110" s="21">
        <v>0</v>
      </c>
      <c r="AH110" s="21">
        <f t="shared" si="95"/>
        <v>0</v>
      </c>
      <c r="AI110" s="21">
        <f t="shared" si="96"/>
        <v>0</v>
      </c>
      <c r="AJ110" s="21">
        <f t="shared" si="97"/>
        <v>0</v>
      </c>
      <c r="AK110" s="9" t="s">
        <v>57</v>
      </c>
      <c r="AL110" s="9" t="s">
        <v>57</v>
      </c>
      <c r="AM110" s="22">
        <v>0</v>
      </c>
      <c r="AN110" s="23">
        <f t="shared" si="98"/>
        <v>0</v>
      </c>
      <c r="AO110" s="9"/>
      <c r="AP110" s="26">
        <v>0</v>
      </c>
      <c r="AQ110" s="9"/>
    </row>
    <row r="111" spans="2:43" ht="63" x14ac:dyDescent="0.25">
      <c r="B111" s="170" t="s">
        <v>220</v>
      </c>
      <c r="C111" s="209" t="s">
        <v>647</v>
      </c>
      <c r="D111" s="93" t="s">
        <v>87</v>
      </c>
      <c r="E111" s="92">
        <v>1</v>
      </c>
      <c r="F111" s="92">
        <v>1</v>
      </c>
      <c r="G111" s="91">
        <v>0</v>
      </c>
      <c r="H111" s="90">
        <f t="shared" si="100"/>
        <v>0</v>
      </c>
      <c r="I111" s="171"/>
      <c r="J111" s="84"/>
      <c r="K111" s="95">
        <v>0</v>
      </c>
      <c r="L111" s="88">
        <f t="shared" si="101"/>
        <v>0</v>
      </c>
      <c r="M111" s="8"/>
      <c r="N111" s="29"/>
      <c r="O111" s="8"/>
      <c r="P111" s="220"/>
      <c r="Q111" s="220"/>
      <c r="R111" s="220"/>
      <c r="S111" s="8"/>
      <c r="T111" s="20"/>
      <c r="U111" s="21">
        <v>0</v>
      </c>
      <c r="V111" s="21">
        <v>0</v>
      </c>
      <c r="W111" s="21">
        <f t="shared" si="77"/>
        <v>0</v>
      </c>
      <c r="X111" s="22">
        <v>1</v>
      </c>
      <c r="Y111" s="23">
        <f t="shared" si="99"/>
        <v>0</v>
      </c>
      <c r="Z111" s="21">
        <f t="shared" si="91"/>
        <v>0</v>
      </c>
      <c r="AA111" s="21">
        <f t="shared" si="74"/>
        <v>0</v>
      </c>
      <c r="AC111" s="9"/>
      <c r="AD111" s="9" t="str">
        <f t="shared" si="92"/>
        <v>6.11</v>
      </c>
      <c r="AE111" s="27">
        <f t="shared" si="93"/>
        <v>0</v>
      </c>
      <c r="AF111" s="21">
        <f t="shared" si="94"/>
        <v>0</v>
      </c>
      <c r="AG111" s="21">
        <v>0</v>
      </c>
      <c r="AH111" s="21">
        <f t="shared" si="95"/>
        <v>0</v>
      </c>
      <c r="AI111" s="21">
        <f t="shared" si="96"/>
        <v>0</v>
      </c>
      <c r="AJ111" s="21">
        <f t="shared" si="97"/>
        <v>0</v>
      </c>
      <c r="AK111" s="9" t="s">
        <v>57</v>
      </c>
      <c r="AL111" s="9" t="s">
        <v>57</v>
      </c>
      <c r="AM111" s="22">
        <v>0</v>
      </c>
      <c r="AN111" s="23">
        <f t="shared" si="98"/>
        <v>0</v>
      </c>
      <c r="AO111" s="9"/>
      <c r="AP111" s="26">
        <v>0</v>
      </c>
      <c r="AQ111" s="9"/>
    </row>
    <row r="112" spans="2:43" ht="63" x14ac:dyDescent="0.25">
      <c r="B112" s="170" t="s">
        <v>219</v>
      </c>
      <c r="C112" s="209" t="s">
        <v>648</v>
      </c>
      <c r="D112" s="93" t="s">
        <v>87</v>
      </c>
      <c r="E112" s="92">
        <v>1</v>
      </c>
      <c r="F112" s="92">
        <v>1</v>
      </c>
      <c r="G112" s="91">
        <v>0</v>
      </c>
      <c r="H112" s="90">
        <f t="shared" si="100"/>
        <v>0</v>
      </c>
      <c r="I112" s="171"/>
      <c r="J112" s="84"/>
      <c r="K112" s="95">
        <v>0</v>
      </c>
      <c r="L112" s="88">
        <f t="shared" si="101"/>
        <v>0</v>
      </c>
      <c r="M112" s="8"/>
      <c r="N112" s="29"/>
      <c r="O112" s="8"/>
      <c r="P112" s="220"/>
      <c r="Q112" s="220"/>
      <c r="R112" s="220"/>
      <c r="S112" s="8"/>
      <c r="T112" s="20"/>
      <c r="U112" s="21">
        <v>0</v>
      </c>
      <c r="V112" s="21">
        <v>0</v>
      </c>
      <c r="W112" s="21">
        <f t="shared" si="77"/>
        <v>0</v>
      </c>
      <c r="X112" s="22">
        <v>1</v>
      </c>
      <c r="Y112" s="23">
        <f t="shared" si="99"/>
        <v>0</v>
      </c>
      <c r="Z112" s="21">
        <f t="shared" si="91"/>
        <v>0</v>
      </c>
      <c r="AA112" s="21">
        <f t="shared" si="74"/>
        <v>0</v>
      </c>
      <c r="AC112" s="9"/>
      <c r="AD112" s="9" t="str">
        <f t="shared" si="92"/>
        <v>6.12</v>
      </c>
      <c r="AE112" s="27">
        <f t="shared" si="93"/>
        <v>0</v>
      </c>
      <c r="AF112" s="21">
        <f t="shared" si="94"/>
        <v>0</v>
      </c>
      <c r="AG112" s="21">
        <v>0</v>
      </c>
      <c r="AH112" s="21">
        <f t="shared" si="95"/>
        <v>0</v>
      </c>
      <c r="AI112" s="21">
        <f t="shared" si="96"/>
        <v>0</v>
      </c>
      <c r="AJ112" s="21">
        <f t="shared" si="97"/>
        <v>0</v>
      </c>
      <c r="AK112" s="9" t="s">
        <v>57</v>
      </c>
      <c r="AL112" s="9" t="s">
        <v>57</v>
      </c>
      <c r="AM112" s="22">
        <v>0</v>
      </c>
      <c r="AN112" s="23">
        <f t="shared" si="98"/>
        <v>0</v>
      </c>
      <c r="AO112" s="9"/>
      <c r="AP112" s="26">
        <v>0</v>
      </c>
      <c r="AQ112" s="9"/>
    </row>
    <row r="113" spans="2:43" ht="63" x14ac:dyDescent="0.25">
      <c r="B113" s="170" t="s">
        <v>318</v>
      </c>
      <c r="C113" s="209" t="s">
        <v>649</v>
      </c>
      <c r="D113" s="93" t="s">
        <v>87</v>
      </c>
      <c r="E113" s="92">
        <v>1</v>
      </c>
      <c r="F113" s="92">
        <v>1</v>
      </c>
      <c r="G113" s="91">
        <v>0</v>
      </c>
      <c r="H113" s="90">
        <f t="shared" si="100"/>
        <v>0</v>
      </c>
      <c r="I113" s="171"/>
      <c r="J113" s="84"/>
      <c r="K113" s="95">
        <v>0</v>
      </c>
      <c r="L113" s="88">
        <f t="shared" si="101"/>
        <v>0</v>
      </c>
      <c r="M113" s="8"/>
      <c r="N113" s="29"/>
      <c r="O113" s="8"/>
      <c r="P113" s="220"/>
      <c r="Q113" s="220"/>
      <c r="R113" s="220"/>
      <c r="S113" s="8"/>
      <c r="T113" s="20"/>
      <c r="U113" s="21">
        <v>0</v>
      </c>
      <c r="V113" s="21">
        <v>0</v>
      </c>
      <c r="W113" s="21">
        <f t="shared" si="77"/>
        <v>0</v>
      </c>
      <c r="X113" s="22">
        <v>1</v>
      </c>
      <c r="Y113" s="23">
        <f t="shared" si="99"/>
        <v>0</v>
      </c>
      <c r="Z113" s="21">
        <f t="shared" si="91"/>
        <v>0</v>
      </c>
      <c r="AA113" s="21">
        <f t="shared" si="74"/>
        <v>0</v>
      </c>
      <c r="AC113" s="9"/>
      <c r="AD113" s="9" t="str">
        <f t="shared" si="92"/>
        <v>6.13</v>
      </c>
      <c r="AE113" s="27">
        <f t="shared" si="93"/>
        <v>0</v>
      </c>
      <c r="AF113" s="21">
        <f t="shared" si="94"/>
        <v>0</v>
      </c>
      <c r="AG113" s="21">
        <v>0</v>
      </c>
      <c r="AH113" s="21">
        <f t="shared" si="95"/>
        <v>0</v>
      </c>
      <c r="AI113" s="21">
        <f t="shared" si="96"/>
        <v>0</v>
      </c>
      <c r="AJ113" s="21">
        <f t="shared" si="97"/>
        <v>0</v>
      </c>
      <c r="AK113" s="9" t="s">
        <v>57</v>
      </c>
      <c r="AL113" s="9" t="s">
        <v>57</v>
      </c>
      <c r="AM113" s="22">
        <v>0</v>
      </c>
      <c r="AN113" s="23">
        <f t="shared" si="98"/>
        <v>0</v>
      </c>
      <c r="AO113" s="9"/>
      <c r="AP113" s="26">
        <v>0</v>
      </c>
      <c r="AQ113" s="9"/>
    </row>
    <row r="114" spans="2:43" ht="63" x14ac:dyDescent="0.25">
      <c r="B114" s="170" t="s">
        <v>319</v>
      </c>
      <c r="C114" s="209" t="s">
        <v>650</v>
      </c>
      <c r="D114" s="93" t="s">
        <v>87</v>
      </c>
      <c r="E114" s="92">
        <v>1</v>
      </c>
      <c r="F114" s="92">
        <v>1</v>
      </c>
      <c r="G114" s="91">
        <v>0</v>
      </c>
      <c r="H114" s="90">
        <f t="shared" si="100"/>
        <v>0</v>
      </c>
      <c r="I114" s="171"/>
      <c r="J114" s="84"/>
      <c r="K114" s="95">
        <v>0</v>
      </c>
      <c r="L114" s="88">
        <f t="shared" si="101"/>
        <v>0</v>
      </c>
      <c r="M114" s="8"/>
      <c r="N114" s="29"/>
      <c r="O114" s="8"/>
      <c r="P114" s="220"/>
      <c r="Q114" s="220"/>
      <c r="R114" s="220"/>
      <c r="S114" s="8"/>
      <c r="T114" s="20"/>
      <c r="U114" s="21">
        <v>0</v>
      </c>
      <c r="V114" s="21">
        <v>0</v>
      </c>
      <c r="W114" s="21">
        <f t="shared" si="77"/>
        <v>0</v>
      </c>
      <c r="X114" s="22">
        <v>1</v>
      </c>
      <c r="Y114" s="23">
        <f t="shared" si="99"/>
        <v>0</v>
      </c>
      <c r="Z114" s="21">
        <f t="shared" si="91"/>
        <v>0</v>
      </c>
      <c r="AA114" s="21">
        <f t="shared" si="74"/>
        <v>0</v>
      </c>
      <c r="AC114" s="9"/>
      <c r="AD114" s="9" t="str">
        <f t="shared" si="92"/>
        <v>6.14</v>
      </c>
      <c r="AE114" s="27">
        <f t="shared" si="93"/>
        <v>0</v>
      </c>
      <c r="AF114" s="21">
        <f t="shared" si="94"/>
        <v>0</v>
      </c>
      <c r="AG114" s="21">
        <v>0</v>
      </c>
      <c r="AH114" s="21">
        <f t="shared" si="95"/>
        <v>0</v>
      </c>
      <c r="AI114" s="21">
        <f t="shared" si="96"/>
        <v>0</v>
      </c>
      <c r="AJ114" s="21">
        <f t="shared" si="97"/>
        <v>0</v>
      </c>
      <c r="AK114" s="9" t="s">
        <v>57</v>
      </c>
      <c r="AL114" s="9" t="s">
        <v>57</v>
      </c>
      <c r="AM114" s="22">
        <v>0</v>
      </c>
      <c r="AN114" s="23">
        <f t="shared" si="98"/>
        <v>0</v>
      </c>
      <c r="AO114" s="9"/>
      <c r="AP114" s="26">
        <v>0</v>
      </c>
      <c r="AQ114" s="9"/>
    </row>
    <row r="115" spans="2:43" ht="63" x14ac:dyDescent="0.25">
      <c r="B115" s="170" t="s">
        <v>320</v>
      </c>
      <c r="C115" s="209" t="s">
        <v>651</v>
      </c>
      <c r="D115" s="93" t="s">
        <v>87</v>
      </c>
      <c r="E115" s="92">
        <v>1</v>
      </c>
      <c r="F115" s="92">
        <v>1</v>
      </c>
      <c r="G115" s="91">
        <v>0</v>
      </c>
      <c r="H115" s="90">
        <f t="shared" si="100"/>
        <v>0</v>
      </c>
      <c r="I115" s="171"/>
      <c r="J115" s="84"/>
      <c r="K115" s="95">
        <v>0</v>
      </c>
      <c r="L115" s="88">
        <f t="shared" si="101"/>
        <v>0</v>
      </c>
      <c r="M115" s="8"/>
      <c r="N115" s="29"/>
      <c r="O115" s="8"/>
      <c r="P115" s="220"/>
      <c r="Q115" s="220"/>
      <c r="R115" s="220"/>
      <c r="S115" s="8"/>
      <c r="T115" s="20"/>
      <c r="U115" s="21">
        <v>0</v>
      </c>
      <c r="V115" s="21">
        <v>0</v>
      </c>
      <c r="W115" s="21">
        <f t="shared" si="77"/>
        <v>0</v>
      </c>
      <c r="X115" s="22">
        <v>1</v>
      </c>
      <c r="Y115" s="23">
        <f t="shared" si="99"/>
        <v>0</v>
      </c>
      <c r="Z115" s="21">
        <f t="shared" si="91"/>
        <v>0</v>
      </c>
      <c r="AA115" s="21">
        <f t="shared" si="74"/>
        <v>0</v>
      </c>
      <c r="AC115" s="9"/>
      <c r="AD115" s="9" t="str">
        <f t="shared" si="92"/>
        <v>6.15</v>
      </c>
      <c r="AE115" s="27">
        <f t="shared" si="93"/>
        <v>0</v>
      </c>
      <c r="AF115" s="21">
        <f t="shared" si="94"/>
        <v>0</v>
      </c>
      <c r="AG115" s="21">
        <v>0</v>
      </c>
      <c r="AH115" s="21">
        <f t="shared" si="95"/>
        <v>0</v>
      </c>
      <c r="AI115" s="21">
        <f t="shared" si="96"/>
        <v>0</v>
      </c>
      <c r="AJ115" s="21">
        <f t="shared" si="97"/>
        <v>0</v>
      </c>
      <c r="AK115" s="9" t="s">
        <v>57</v>
      </c>
      <c r="AL115" s="9" t="s">
        <v>57</v>
      </c>
      <c r="AM115" s="22">
        <v>0</v>
      </c>
      <c r="AN115" s="23">
        <f t="shared" si="98"/>
        <v>0</v>
      </c>
      <c r="AO115" s="9"/>
      <c r="AP115" s="26">
        <v>0</v>
      </c>
      <c r="AQ115" s="9"/>
    </row>
    <row r="116" spans="2:43" ht="63" x14ac:dyDescent="0.25">
      <c r="B116" s="170" t="s">
        <v>321</v>
      </c>
      <c r="C116" s="209" t="s">
        <v>652</v>
      </c>
      <c r="D116" s="93" t="s">
        <v>87</v>
      </c>
      <c r="E116" s="92">
        <v>1</v>
      </c>
      <c r="F116" s="92">
        <v>1</v>
      </c>
      <c r="G116" s="91">
        <v>0</v>
      </c>
      <c r="H116" s="90">
        <f t="shared" si="100"/>
        <v>0</v>
      </c>
      <c r="I116" s="171"/>
      <c r="J116" s="84"/>
      <c r="K116" s="95">
        <v>0</v>
      </c>
      <c r="L116" s="88">
        <f t="shared" si="101"/>
        <v>0</v>
      </c>
      <c r="M116" s="8"/>
      <c r="N116" s="29"/>
      <c r="O116" s="8"/>
      <c r="P116" s="220"/>
      <c r="Q116" s="220"/>
      <c r="R116" s="220"/>
      <c r="S116" s="8"/>
      <c r="T116" s="20"/>
      <c r="U116" s="21">
        <v>0</v>
      </c>
      <c r="V116" s="21">
        <v>0</v>
      </c>
      <c r="W116" s="21">
        <f t="shared" si="77"/>
        <v>0</v>
      </c>
      <c r="X116" s="22">
        <v>1</v>
      </c>
      <c r="Y116" s="23">
        <f t="shared" si="99"/>
        <v>0</v>
      </c>
      <c r="Z116" s="21">
        <f t="shared" si="91"/>
        <v>0</v>
      </c>
      <c r="AA116" s="21">
        <f t="shared" si="74"/>
        <v>0</v>
      </c>
      <c r="AC116" s="9"/>
      <c r="AD116" s="9" t="str">
        <f t="shared" si="92"/>
        <v>6.16</v>
      </c>
      <c r="AE116" s="27">
        <f t="shared" si="93"/>
        <v>0</v>
      </c>
      <c r="AF116" s="21">
        <f t="shared" si="94"/>
        <v>0</v>
      </c>
      <c r="AG116" s="21">
        <v>0</v>
      </c>
      <c r="AH116" s="21">
        <f t="shared" si="95"/>
        <v>0</v>
      </c>
      <c r="AI116" s="21">
        <f t="shared" si="96"/>
        <v>0</v>
      </c>
      <c r="AJ116" s="21">
        <f t="shared" si="97"/>
        <v>0</v>
      </c>
      <c r="AK116" s="9" t="s">
        <v>57</v>
      </c>
      <c r="AL116" s="9" t="s">
        <v>57</v>
      </c>
      <c r="AM116" s="22">
        <v>0</v>
      </c>
      <c r="AN116" s="23">
        <f t="shared" si="98"/>
        <v>0</v>
      </c>
      <c r="AO116" s="9"/>
      <c r="AP116" s="26">
        <v>0</v>
      </c>
      <c r="AQ116" s="9"/>
    </row>
    <row r="117" spans="2:43" ht="63" x14ac:dyDescent="0.25">
      <c r="B117" s="170" t="s">
        <v>322</v>
      </c>
      <c r="C117" s="209" t="s">
        <v>653</v>
      </c>
      <c r="D117" s="93" t="s">
        <v>87</v>
      </c>
      <c r="E117" s="92">
        <v>1</v>
      </c>
      <c r="F117" s="92">
        <v>1</v>
      </c>
      <c r="G117" s="91">
        <v>0</v>
      </c>
      <c r="H117" s="90">
        <f t="shared" si="100"/>
        <v>0</v>
      </c>
      <c r="I117" s="171"/>
      <c r="J117" s="84"/>
      <c r="K117" s="95">
        <v>0</v>
      </c>
      <c r="L117" s="88">
        <f t="shared" si="101"/>
        <v>0</v>
      </c>
      <c r="M117" s="8"/>
      <c r="N117" s="29"/>
      <c r="O117" s="8"/>
      <c r="P117" s="220"/>
      <c r="Q117" s="220"/>
      <c r="R117" s="220"/>
      <c r="S117" s="8"/>
      <c r="T117" s="20"/>
      <c r="U117" s="21">
        <v>0</v>
      </c>
      <c r="V117" s="21">
        <v>0</v>
      </c>
      <c r="W117" s="21">
        <f t="shared" si="77"/>
        <v>0</v>
      </c>
      <c r="X117" s="22">
        <v>1</v>
      </c>
      <c r="Y117" s="23">
        <f t="shared" si="99"/>
        <v>0</v>
      </c>
      <c r="Z117" s="21">
        <f t="shared" si="91"/>
        <v>0</v>
      </c>
      <c r="AA117" s="21">
        <f t="shared" si="74"/>
        <v>0</v>
      </c>
      <c r="AC117" s="9"/>
      <c r="AD117" s="9" t="str">
        <f t="shared" si="92"/>
        <v>6.17</v>
      </c>
      <c r="AE117" s="27">
        <f t="shared" si="93"/>
        <v>0</v>
      </c>
      <c r="AF117" s="21">
        <f t="shared" si="94"/>
        <v>0</v>
      </c>
      <c r="AG117" s="21">
        <v>0</v>
      </c>
      <c r="AH117" s="21">
        <f t="shared" si="95"/>
        <v>0</v>
      </c>
      <c r="AI117" s="21">
        <f t="shared" si="96"/>
        <v>0</v>
      </c>
      <c r="AJ117" s="21">
        <f t="shared" si="97"/>
        <v>0</v>
      </c>
      <c r="AK117" s="9" t="s">
        <v>57</v>
      </c>
      <c r="AL117" s="9" t="s">
        <v>57</v>
      </c>
      <c r="AM117" s="22">
        <v>0</v>
      </c>
      <c r="AN117" s="23">
        <f t="shared" si="98"/>
        <v>0</v>
      </c>
      <c r="AO117" s="9"/>
      <c r="AP117" s="26">
        <v>0</v>
      </c>
      <c r="AQ117" s="9"/>
    </row>
    <row r="118" spans="2:43" ht="63" x14ac:dyDescent="0.25">
      <c r="B118" s="170" t="s">
        <v>323</v>
      </c>
      <c r="C118" s="209" t="s">
        <v>654</v>
      </c>
      <c r="D118" s="93" t="s">
        <v>87</v>
      </c>
      <c r="E118" s="92">
        <v>1</v>
      </c>
      <c r="F118" s="92">
        <v>1</v>
      </c>
      <c r="G118" s="91">
        <v>0</v>
      </c>
      <c r="H118" s="90">
        <f t="shared" si="100"/>
        <v>0</v>
      </c>
      <c r="I118" s="171"/>
      <c r="J118" s="84"/>
      <c r="K118" s="95">
        <v>0</v>
      </c>
      <c r="L118" s="88">
        <f t="shared" si="101"/>
        <v>0</v>
      </c>
      <c r="M118" s="8"/>
      <c r="N118" s="29"/>
      <c r="O118" s="8"/>
      <c r="P118" s="220"/>
      <c r="Q118" s="220"/>
      <c r="R118" s="220"/>
      <c r="S118" s="8"/>
      <c r="T118" s="20"/>
      <c r="U118" s="21">
        <v>0</v>
      </c>
      <c r="V118" s="21">
        <v>0</v>
      </c>
      <c r="W118" s="21">
        <f t="shared" si="77"/>
        <v>0</v>
      </c>
      <c r="X118" s="22">
        <v>1</v>
      </c>
      <c r="Y118" s="23">
        <f t="shared" si="99"/>
        <v>0</v>
      </c>
      <c r="Z118" s="21">
        <f t="shared" si="91"/>
        <v>0</v>
      </c>
      <c r="AA118" s="21">
        <f t="shared" si="74"/>
        <v>0</v>
      </c>
      <c r="AC118" s="9"/>
      <c r="AD118" s="9" t="str">
        <f t="shared" si="92"/>
        <v>6.18</v>
      </c>
      <c r="AE118" s="27">
        <f t="shared" si="93"/>
        <v>0</v>
      </c>
      <c r="AF118" s="21">
        <f t="shared" si="94"/>
        <v>0</v>
      </c>
      <c r="AG118" s="21">
        <v>0</v>
      </c>
      <c r="AH118" s="21">
        <f t="shared" si="95"/>
        <v>0</v>
      </c>
      <c r="AI118" s="21">
        <f t="shared" si="96"/>
        <v>0</v>
      </c>
      <c r="AJ118" s="21">
        <f t="shared" si="97"/>
        <v>0</v>
      </c>
      <c r="AK118" s="9" t="s">
        <v>57</v>
      </c>
      <c r="AL118" s="9" t="s">
        <v>57</v>
      </c>
      <c r="AM118" s="22">
        <v>0</v>
      </c>
      <c r="AN118" s="23">
        <f t="shared" si="98"/>
        <v>0</v>
      </c>
      <c r="AO118" s="9"/>
      <c r="AP118" s="26">
        <v>0</v>
      </c>
      <c r="AQ118" s="9"/>
    </row>
    <row r="119" spans="2:43" ht="63" x14ac:dyDescent="0.25">
      <c r="B119" s="170" t="s">
        <v>324</v>
      </c>
      <c r="C119" s="209" t="s">
        <v>655</v>
      </c>
      <c r="D119" s="93" t="s">
        <v>87</v>
      </c>
      <c r="E119" s="92">
        <v>1</v>
      </c>
      <c r="F119" s="92">
        <v>1</v>
      </c>
      <c r="G119" s="91">
        <v>0</v>
      </c>
      <c r="H119" s="90">
        <f t="shared" si="100"/>
        <v>0</v>
      </c>
      <c r="I119" s="171"/>
      <c r="J119" s="84"/>
      <c r="K119" s="95">
        <v>0</v>
      </c>
      <c r="L119" s="88">
        <f t="shared" si="101"/>
        <v>0</v>
      </c>
      <c r="M119" s="8"/>
      <c r="N119" s="29"/>
      <c r="O119" s="8"/>
      <c r="P119" s="220"/>
      <c r="Q119" s="220"/>
      <c r="R119" s="220"/>
      <c r="S119" s="8"/>
      <c r="T119" s="20"/>
      <c r="U119" s="21">
        <v>0</v>
      </c>
      <c r="V119" s="21">
        <v>0</v>
      </c>
      <c r="W119" s="21">
        <f t="shared" si="77"/>
        <v>0</v>
      </c>
      <c r="X119" s="22">
        <v>1</v>
      </c>
      <c r="Y119" s="23">
        <f t="shared" si="99"/>
        <v>0</v>
      </c>
      <c r="Z119" s="21">
        <f t="shared" si="91"/>
        <v>0</v>
      </c>
      <c r="AA119" s="21">
        <f t="shared" si="74"/>
        <v>0</v>
      </c>
      <c r="AC119" s="9"/>
      <c r="AD119" s="9" t="str">
        <f t="shared" si="92"/>
        <v>6.19</v>
      </c>
      <c r="AE119" s="27">
        <f t="shared" si="93"/>
        <v>0</v>
      </c>
      <c r="AF119" s="21">
        <f t="shared" si="94"/>
        <v>0</v>
      </c>
      <c r="AG119" s="21">
        <v>0</v>
      </c>
      <c r="AH119" s="21">
        <f t="shared" si="95"/>
        <v>0</v>
      </c>
      <c r="AI119" s="21">
        <f t="shared" si="96"/>
        <v>0</v>
      </c>
      <c r="AJ119" s="21">
        <f t="shared" si="97"/>
        <v>0</v>
      </c>
      <c r="AK119" s="9" t="s">
        <v>57</v>
      </c>
      <c r="AL119" s="9" t="s">
        <v>57</v>
      </c>
      <c r="AM119" s="22">
        <v>0</v>
      </c>
      <c r="AN119" s="23">
        <f t="shared" si="98"/>
        <v>0</v>
      </c>
      <c r="AO119" s="9"/>
      <c r="AP119" s="26">
        <v>0</v>
      </c>
      <c r="AQ119" s="9"/>
    </row>
    <row r="120" spans="2:43" ht="78.75" x14ac:dyDescent="0.25">
      <c r="B120" s="170" t="s">
        <v>325</v>
      </c>
      <c r="C120" s="209" t="s">
        <v>656</v>
      </c>
      <c r="D120" s="93" t="s">
        <v>87</v>
      </c>
      <c r="E120" s="92">
        <v>1</v>
      </c>
      <c r="F120" s="92">
        <v>1</v>
      </c>
      <c r="G120" s="91">
        <v>0</v>
      </c>
      <c r="H120" s="90">
        <f t="shared" si="100"/>
        <v>0</v>
      </c>
      <c r="I120" s="171"/>
      <c r="J120" s="84"/>
      <c r="K120" s="95">
        <v>0</v>
      </c>
      <c r="L120" s="88">
        <f t="shared" si="101"/>
        <v>0</v>
      </c>
      <c r="M120" s="8"/>
      <c r="N120" s="29"/>
      <c r="O120" s="8"/>
      <c r="P120" s="220"/>
      <c r="Q120" s="220"/>
      <c r="R120" s="220"/>
      <c r="S120" s="8"/>
      <c r="T120" s="20"/>
      <c r="U120" s="21">
        <v>0</v>
      </c>
      <c r="V120" s="21">
        <v>0</v>
      </c>
      <c r="W120" s="21">
        <f t="shared" si="77"/>
        <v>0</v>
      </c>
      <c r="X120" s="22">
        <v>1</v>
      </c>
      <c r="Y120" s="23">
        <f t="shared" si="99"/>
        <v>0</v>
      </c>
      <c r="Z120" s="21">
        <f t="shared" si="91"/>
        <v>0</v>
      </c>
      <c r="AA120" s="21">
        <f t="shared" si="74"/>
        <v>0</v>
      </c>
      <c r="AC120" s="9"/>
      <c r="AD120" s="9" t="str">
        <f t="shared" si="92"/>
        <v>6.20</v>
      </c>
      <c r="AE120" s="27">
        <f t="shared" si="93"/>
        <v>0</v>
      </c>
      <c r="AF120" s="21">
        <f t="shared" si="94"/>
        <v>0</v>
      </c>
      <c r="AG120" s="21">
        <v>0</v>
      </c>
      <c r="AH120" s="21">
        <f t="shared" si="95"/>
        <v>0</v>
      </c>
      <c r="AI120" s="21">
        <f t="shared" si="96"/>
        <v>0</v>
      </c>
      <c r="AJ120" s="21">
        <f t="shared" si="97"/>
        <v>0</v>
      </c>
      <c r="AK120" s="9" t="s">
        <v>57</v>
      </c>
      <c r="AL120" s="9" t="s">
        <v>57</v>
      </c>
      <c r="AM120" s="22">
        <v>0</v>
      </c>
      <c r="AN120" s="23">
        <f t="shared" si="98"/>
        <v>0</v>
      </c>
      <c r="AO120" s="9"/>
      <c r="AP120" s="26">
        <v>0</v>
      </c>
      <c r="AQ120" s="9"/>
    </row>
    <row r="121" spans="2:43" ht="63" x14ac:dyDescent="0.25">
      <c r="B121" s="170" t="s">
        <v>326</v>
      </c>
      <c r="C121" s="209" t="s">
        <v>657</v>
      </c>
      <c r="D121" s="93" t="s">
        <v>87</v>
      </c>
      <c r="E121" s="92">
        <v>1</v>
      </c>
      <c r="F121" s="92">
        <v>1</v>
      </c>
      <c r="G121" s="91">
        <v>0</v>
      </c>
      <c r="H121" s="90">
        <f t="shared" si="100"/>
        <v>0</v>
      </c>
      <c r="I121" s="171"/>
      <c r="J121" s="84"/>
      <c r="K121" s="95">
        <v>0</v>
      </c>
      <c r="L121" s="88">
        <f t="shared" si="101"/>
        <v>0</v>
      </c>
      <c r="M121" s="8"/>
      <c r="N121" s="29"/>
      <c r="O121" s="8"/>
      <c r="P121" s="220"/>
      <c r="Q121" s="220"/>
      <c r="R121" s="220"/>
      <c r="S121" s="8"/>
      <c r="T121" s="20"/>
      <c r="U121" s="21">
        <v>0</v>
      </c>
      <c r="V121" s="21">
        <v>0</v>
      </c>
      <c r="W121" s="21">
        <f t="shared" si="77"/>
        <v>0</v>
      </c>
      <c r="X121" s="22">
        <v>1</v>
      </c>
      <c r="Y121" s="23">
        <f t="shared" si="99"/>
        <v>0</v>
      </c>
      <c r="Z121" s="21">
        <f t="shared" si="91"/>
        <v>0</v>
      </c>
      <c r="AA121" s="21">
        <f t="shared" si="74"/>
        <v>0</v>
      </c>
      <c r="AC121" s="9"/>
      <c r="AD121" s="9" t="str">
        <f t="shared" si="92"/>
        <v>6.21</v>
      </c>
      <c r="AE121" s="27">
        <f t="shared" si="93"/>
        <v>0</v>
      </c>
      <c r="AF121" s="21">
        <f t="shared" si="94"/>
        <v>0</v>
      </c>
      <c r="AG121" s="21">
        <v>0</v>
      </c>
      <c r="AH121" s="21">
        <f t="shared" si="95"/>
        <v>0</v>
      </c>
      <c r="AI121" s="21">
        <f t="shared" si="96"/>
        <v>0</v>
      </c>
      <c r="AJ121" s="21">
        <f t="shared" si="97"/>
        <v>0</v>
      </c>
      <c r="AK121" s="9" t="s">
        <v>57</v>
      </c>
      <c r="AL121" s="9" t="s">
        <v>57</v>
      </c>
      <c r="AM121" s="22">
        <v>0</v>
      </c>
      <c r="AN121" s="23">
        <f t="shared" si="98"/>
        <v>0</v>
      </c>
      <c r="AO121" s="9"/>
      <c r="AP121" s="26">
        <v>0</v>
      </c>
      <c r="AQ121" s="9"/>
    </row>
    <row r="122" spans="2:43" ht="63" x14ac:dyDescent="0.25">
      <c r="B122" s="170" t="s">
        <v>327</v>
      </c>
      <c r="C122" s="209" t="s">
        <v>658</v>
      </c>
      <c r="D122" s="93" t="s">
        <v>87</v>
      </c>
      <c r="E122" s="92">
        <v>1</v>
      </c>
      <c r="F122" s="92">
        <v>1</v>
      </c>
      <c r="G122" s="91">
        <v>0</v>
      </c>
      <c r="H122" s="90">
        <f t="shared" si="100"/>
        <v>0</v>
      </c>
      <c r="I122" s="171"/>
      <c r="J122" s="84"/>
      <c r="K122" s="95">
        <v>0</v>
      </c>
      <c r="L122" s="88">
        <f t="shared" si="101"/>
        <v>0</v>
      </c>
      <c r="M122" s="8"/>
      <c r="N122" s="29"/>
      <c r="O122" s="8"/>
      <c r="P122" s="220"/>
      <c r="Q122" s="220"/>
      <c r="R122" s="220"/>
      <c r="S122" s="8"/>
      <c r="T122" s="20"/>
      <c r="U122" s="21">
        <v>0</v>
      </c>
      <c r="V122" s="21">
        <v>0</v>
      </c>
      <c r="W122" s="21">
        <f t="shared" si="77"/>
        <v>0</v>
      </c>
      <c r="X122" s="22">
        <v>1</v>
      </c>
      <c r="Y122" s="23">
        <f t="shared" si="99"/>
        <v>0</v>
      </c>
      <c r="Z122" s="21">
        <f t="shared" si="91"/>
        <v>0</v>
      </c>
      <c r="AA122" s="21">
        <f t="shared" si="74"/>
        <v>0</v>
      </c>
      <c r="AC122" s="9"/>
      <c r="AD122" s="9" t="str">
        <f t="shared" si="92"/>
        <v>6.22</v>
      </c>
      <c r="AE122" s="27">
        <f t="shared" si="93"/>
        <v>0</v>
      </c>
      <c r="AF122" s="21">
        <f t="shared" si="94"/>
        <v>0</v>
      </c>
      <c r="AG122" s="21">
        <v>0</v>
      </c>
      <c r="AH122" s="21">
        <f t="shared" si="95"/>
        <v>0</v>
      </c>
      <c r="AI122" s="21">
        <f t="shared" si="96"/>
        <v>0</v>
      </c>
      <c r="AJ122" s="21">
        <f t="shared" si="97"/>
        <v>0</v>
      </c>
      <c r="AK122" s="9" t="s">
        <v>57</v>
      </c>
      <c r="AL122" s="9" t="s">
        <v>57</v>
      </c>
      <c r="AM122" s="22">
        <v>0</v>
      </c>
      <c r="AN122" s="23">
        <f t="shared" si="98"/>
        <v>0</v>
      </c>
      <c r="AO122" s="9"/>
      <c r="AP122" s="26">
        <v>0</v>
      </c>
      <c r="AQ122" s="9"/>
    </row>
    <row r="123" spans="2:43" ht="63" x14ac:dyDescent="0.25">
      <c r="B123" s="170" t="s">
        <v>328</v>
      </c>
      <c r="C123" s="209" t="s">
        <v>659</v>
      </c>
      <c r="D123" s="93" t="s">
        <v>87</v>
      </c>
      <c r="E123" s="92">
        <v>1</v>
      </c>
      <c r="F123" s="92">
        <v>1</v>
      </c>
      <c r="G123" s="91">
        <v>0</v>
      </c>
      <c r="H123" s="90">
        <f t="shared" si="100"/>
        <v>0</v>
      </c>
      <c r="I123" s="171"/>
      <c r="J123" s="84"/>
      <c r="K123" s="95">
        <v>0</v>
      </c>
      <c r="L123" s="88">
        <f t="shared" si="101"/>
        <v>0</v>
      </c>
      <c r="M123" s="8"/>
      <c r="N123" s="29"/>
      <c r="O123" s="8"/>
      <c r="P123" s="220"/>
      <c r="Q123" s="220"/>
      <c r="R123" s="220"/>
      <c r="S123" s="8"/>
      <c r="T123" s="20"/>
      <c r="U123" s="21">
        <v>0</v>
      </c>
      <c r="V123" s="21">
        <v>0</v>
      </c>
      <c r="W123" s="21">
        <f t="shared" si="77"/>
        <v>0</v>
      </c>
      <c r="X123" s="22">
        <v>1</v>
      </c>
      <c r="Y123" s="23">
        <f t="shared" si="99"/>
        <v>0</v>
      </c>
      <c r="Z123" s="21">
        <f t="shared" si="91"/>
        <v>0</v>
      </c>
      <c r="AA123" s="21">
        <f t="shared" si="74"/>
        <v>0</v>
      </c>
      <c r="AC123" s="9"/>
      <c r="AD123" s="9" t="str">
        <f t="shared" si="92"/>
        <v>6.23</v>
      </c>
      <c r="AE123" s="27">
        <f t="shared" si="93"/>
        <v>0</v>
      </c>
      <c r="AF123" s="21">
        <f t="shared" si="94"/>
        <v>0</v>
      </c>
      <c r="AG123" s="21">
        <v>0</v>
      </c>
      <c r="AH123" s="21">
        <f t="shared" si="95"/>
        <v>0</v>
      </c>
      <c r="AI123" s="21">
        <f t="shared" si="96"/>
        <v>0</v>
      </c>
      <c r="AJ123" s="21">
        <f t="shared" si="97"/>
        <v>0</v>
      </c>
      <c r="AK123" s="9" t="s">
        <v>57</v>
      </c>
      <c r="AL123" s="9" t="s">
        <v>57</v>
      </c>
      <c r="AM123" s="22">
        <v>0</v>
      </c>
      <c r="AN123" s="23">
        <f t="shared" si="98"/>
        <v>0</v>
      </c>
      <c r="AO123" s="9"/>
      <c r="AP123" s="26">
        <v>0</v>
      </c>
      <c r="AQ123" s="9"/>
    </row>
    <row r="124" spans="2:43" ht="63" x14ac:dyDescent="0.25">
      <c r="B124" s="170" t="s">
        <v>329</v>
      </c>
      <c r="C124" s="209" t="s">
        <v>660</v>
      </c>
      <c r="D124" s="93" t="s">
        <v>87</v>
      </c>
      <c r="E124" s="92">
        <v>1</v>
      </c>
      <c r="F124" s="92">
        <v>1</v>
      </c>
      <c r="G124" s="91">
        <v>0</v>
      </c>
      <c r="H124" s="90">
        <f t="shared" si="100"/>
        <v>0</v>
      </c>
      <c r="I124" s="171"/>
      <c r="J124" s="84"/>
      <c r="K124" s="95">
        <v>0</v>
      </c>
      <c r="L124" s="88">
        <f t="shared" si="101"/>
        <v>0</v>
      </c>
      <c r="M124" s="8"/>
      <c r="N124" s="29"/>
      <c r="O124" s="8"/>
      <c r="P124" s="220"/>
      <c r="Q124" s="220"/>
      <c r="R124" s="220"/>
      <c r="S124" s="8"/>
      <c r="T124" s="20"/>
      <c r="U124" s="21">
        <v>0</v>
      </c>
      <c r="V124" s="21">
        <v>0</v>
      </c>
      <c r="W124" s="21">
        <f t="shared" si="77"/>
        <v>0</v>
      </c>
      <c r="X124" s="22">
        <v>1</v>
      </c>
      <c r="Y124" s="23">
        <f t="shared" si="99"/>
        <v>0</v>
      </c>
      <c r="Z124" s="21">
        <f t="shared" si="91"/>
        <v>0</v>
      </c>
      <c r="AA124" s="21">
        <f t="shared" si="74"/>
        <v>0</v>
      </c>
      <c r="AC124" s="9"/>
      <c r="AD124" s="9" t="str">
        <f t="shared" si="92"/>
        <v>6.24</v>
      </c>
      <c r="AE124" s="27">
        <f t="shared" si="93"/>
        <v>0</v>
      </c>
      <c r="AF124" s="21">
        <f t="shared" si="94"/>
        <v>0</v>
      </c>
      <c r="AG124" s="21">
        <v>0</v>
      </c>
      <c r="AH124" s="21">
        <f t="shared" si="95"/>
        <v>0</v>
      </c>
      <c r="AI124" s="21">
        <f t="shared" si="96"/>
        <v>0</v>
      </c>
      <c r="AJ124" s="21">
        <f t="shared" si="97"/>
        <v>0</v>
      </c>
      <c r="AK124" s="9" t="s">
        <v>57</v>
      </c>
      <c r="AL124" s="9" t="s">
        <v>57</v>
      </c>
      <c r="AM124" s="22">
        <v>0</v>
      </c>
      <c r="AN124" s="23">
        <f t="shared" si="98"/>
        <v>0</v>
      </c>
      <c r="AO124" s="9"/>
      <c r="AP124" s="26">
        <v>0</v>
      </c>
      <c r="AQ124" s="9"/>
    </row>
    <row r="125" spans="2:43" ht="63" x14ac:dyDescent="0.25">
      <c r="B125" s="170" t="s">
        <v>330</v>
      </c>
      <c r="C125" s="209" t="s">
        <v>661</v>
      </c>
      <c r="D125" s="93" t="s">
        <v>87</v>
      </c>
      <c r="E125" s="92">
        <v>1</v>
      </c>
      <c r="F125" s="92">
        <v>1</v>
      </c>
      <c r="G125" s="91">
        <v>0</v>
      </c>
      <c r="H125" s="90">
        <f t="shared" si="100"/>
        <v>0</v>
      </c>
      <c r="I125" s="171"/>
      <c r="J125" s="84"/>
      <c r="K125" s="95">
        <v>0</v>
      </c>
      <c r="L125" s="88">
        <f t="shared" si="101"/>
        <v>0</v>
      </c>
      <c r="M125" s="8"/>
      <c r="N125" s="29"/>
      <c r="O125" s="8"/>
      <c r="P125" s="220"/>
      <c r="Q125" s="220"/>
      <c r="R125" s="220"/>
      <c r="S125" s="8"/>
      <c r="T125" s="20"/>
      <c r="U125" s="21">
        <v>0</v>
      </c>
      <c r="V125" s="21">
        <v>0</v>
      </c>
      <c r="W125" s="21">
        <f t="shared" si="77"/>
        <v>0</v>
      </c>
      <c r="X125" s="22">
        <v>1</v>
      </c>
      <c r="Y125" s="23">
        <f t="shared" si="99"/>
        <v>0</v>
      </c>
      <c r="Z125" s="21">
        <f t="shared" si="91"/>
        <v>0</v>
      </c>
      <c r="AA125" s="21">
        <f t="shared" si="74"/>
        <v>0</v>
      </c>
      <c r="AC125" s="9"/>
      <c r="AD125" s="9" t="str">
        <f t="shared" si="92"/>
        <v>6.25</v>
      </c>
      <c r="AE125" s="27">
        <f t="shared" si="93"/>
        <v>0</v>
      </c>
      <c r="AF125" s="21">
        <f t="shared" si="94"/>
        <v>0</v>
      </c>
      <c r="AG125" s="21">
        <v>0</v>
      </c>
      <c r="AH125" s="21">
        <f t="shared" si="95"/>
        <v>0</v>
      </c>
      <c r="AI125" s="21">
        <f t="shared" si="96"/>
        <v>0</v>
      </c>
      <c r="AJ125" s="21">
        <f t="shared" si="97"/>
        <v>0</v>
      </c>
      <c r="AK125" s="9" t="s">
        <v>57</v>
      </c>
      <c r="AL125" s="9" t="s">
        <v>57</v>
      </c>
      <c r="AM125" s="22">
        <v>0</v>
      </c>
      <c r="AN125" s="23">
        <f t="shared" si="98"/>
        <v>0</v>
      </c>
      <c r="AO125" s="9"/>
      <c r="AP125" s="26">
        <v>0</v>
      </c>
      <c r="AQ125" s="9"/>
    </row>
    <row r="126" spans="2:43" ht="63" x14ac:dyDescent="0.25">
      <c r="B126" s="170" t="s">
        <v>331</v>
      </c>
      <c r="C126" s="209" t="s">
        <v>662</v>
      </c>
      <c r="D126" s="93" t="s">
        <v>87</v>
      </c>
      <c r="E126" s="92">
        <v>1</v>
      </c>
      <c r="F126" s="92">
        <v>1</v>
      </c>
      <c r="G126" s="91">
        <v>0</v>
      </c>
      <c r="H126" s="90">
        <f t="shared" si="100"/>
        <v>0</v>
      </c>
      <c r="I126" s="171"/>
      <c r="J126" s="84"/>
      <c r="K126" s="95">
        <v>0</v>
      </c>
      <c r="L126" s="88">
        <f t="shared" si="101"/>
        <v>0</v>
      </c>
      <c r="M126" s="8"/>
      <c r="N126" s="29"/>
      <c r="O126" s="8"/>
      <c r="P126" s="220"/>
      <c r="Q126" s="220"/>
      <c r="R126" s="220"/>
      <c r="S126" s="8"/>
      <c r="T126" s="20"/>
      <c r="U126" s="21">
        <v>0</v>
      </c>
      <c r="V126" s="21">
        <v>0</v>
      </c>
      <c r="W126" s="21">
        <f t="shared" si="77"/>
        <v>0</v>
      </c>
      <c r="X126" s="22">
        <v>1</v>
      </c>
      <c r="Y126" s="23">
        <f t="shared" si="99"/>
        <v>0</v>
      </c>
      <c r="Z126" s="21">
        <f t="shared" si="91"/>
        <v>0</v>
      </c>
      <c r="AA126" s="21">
        <f t="shared" si="74"/>
        <v>0</v>
      </c>
      <c r="AC126" s="9"/>
      <c r="AD126" s="9" t="str">
        <f t="shared" si="92"/>
        <v>6.26</v>
      </c>
      <c r="AE126" s="27">
        <f t="shared" si="93"/>
        <v>0</v>
      </c>
      <c r="AF126" s="21">
        <f t="shared" si="94"/>
        <v>0</v>
      </c>
      <c r="AG126" s="21">
        <v>0</v>
      </c>
      <c r="AH126" s="21">
        <f t="shared" si="95"/>
        <v>0</v>
      </c>
      <c r="AI126" s="21">
        <f t="shared" si="96"/>
        <v>0</v>
      </c>
      <c r="AJ126" s="21">
        <f t="shared" si="97"/>
        <v>0</v>
      </c>
      <c r="AK126" s="9" t="s">
        <v>57</v>
      </c>
      <c r="AL126" s="9" t="s">
        <v>57</v>
      </c>
      <c r="AM126" s="22">
        <v>0</v>
      </c>
      <c r="AN126" s="23">
        <f t="shared" si="98"/>
        <v>0</v>
      </c>
      <c r="AO126" s="9"/>
      <c r="AP126" s="26">
        <v>0</v>
      </c>
      <c r="AQ126" s="9"/>
    </row>
    <row r="127" spans="2:43" ht="63" x14ac:dyDescent="0.25">
      <c r="B127" s="170" t="s">
        <v>332</v>
      </c>
      <c r="C127" s="209" t="s">
        <v>663</v>
      </c>
      <c r="D127" s="93" t="s">
        <v>87</v>
      </c>
      <c r="E127" s="92">
        <v>1</v>
      </c>
      <c r="F127" s="92">
        <v>1</v>
      </c>
      <c r="G127" s="91">
        <v>0</v>
      </c>
      <c r="H127" s="90">
        <f t="shared" si="100"/>
        <v>0</v>
      </c>
      <c r="I127" s="171"/>
      <c r="J127" s="84"/>
      <c r="K127" s="95">
        <v>0</v>
      </c>
      <c r="L127" s="88">
        <f t="shared" si="101"/>
        <v>0</v>
      </c>
      <c r="M127" s="8"/>
      <c r="N127" s="29"/>
      <c r="O127" s="8"/>
      <c r="P127" s="220"/>
      <c r="Q127" s="220"/>
      <c r="R127" s="220"/>
      <c r="S127" s="8"/>
      <c r="T127" s="20"/>
      <c r="U127" s="21">
        <v>0</v>
      </c>
      <c r="V127" s="21">
        <v>0</v>
      </c>
      <c r="W127" s="21">
        <f t="shared" si="77"/>
        <v>0</v>
      </c>
      <c r="X127" s="22">
        <v>1</v>
      </c>
      <c r="Y127" s="23">
        <f t="shared" si="99"/>
        <v>0</v>
      </c>
      <c r="Z127" s="21">
        <f t="shared" si="91"/>
        <v>0</v>
      </c>
      <c r="AA127" s="21">
        <f t="shared" si="74"/>
        <v>0</v>
      </c>
      <c r="AC127" s="9"/>
      <c r="AD127" s="9" t="str">
        <f t="shared" si="92"/>
        <v>6.27</v>
      </c>
      <c r="AE127" s="27">
        <f t="shared" si="93"/>
        <v>0</v>
      </c>
      <c r="AF127" s="21">
        <f t="shared" si="94"/>
        <v>0</v>
      </c>
      <c r="AG127" s="21">
        <v>0</v>
      </c>
      <c r="AH127" s="21">
        <f t="shared" si="95"/>
        <v>0</v>
      </c>
      <c r="AI127" s="21">
        <f t="shared" si="96"/>
        <v>0</v>
      </c>
      <c r="AJ127" s="21">
        <f t="shared" si="97"/>
        <v>0</v>
      </c>
      <c r="AK127" s="9" t="s">
        <v>57</v>
      </c>
      <c r="AL127" s="9" t="s">
        <v>57</v>
      </c>
      <c r="AM127" s="22">
        <v>0</v>
      </c>
      <c r="AN127" s="23">
        <f t="shared" si="98"/>
        <v>0</v>
      </c>
      <c r="AO127" s="9"/>
      <c r="AP127" s="26">
        <v>0</v>
      </c>
      <c r="AQ127" s="9"/>
    </row>
    <row r="128" spans="2:43" ht="63" x14ac:dyDescent="0.25">
      <c r="B128" s="170" t="s">
        <v>333</v>
      </c>
      <c r="C128" s="209" t="s">
        <v>664</v>
      </c>
      <c r="D128" s="93" t="s">
        <v>87</v>
      </c>
      <c r="E128" s="92">
        <v>1</v>
      </c>
      <c r="F128" s="92">
        <v>1</v>
      </c>
      <c r="G128" s="91">
        <v>0</v>
      </c>
      <c r="H128" s="90">
        <f t="shared" si="100"/>
        <v>0</v>
      </c>
      <c r="I128" s="171"/>
      <c r="J128" s="84"/>
      <c r="K128" s="95">
        <v>0</v>
      </c>
      <c r="L128" s="88">
        <f t="shared" si="101"/>
        <v>0</v>
      </c>
      <c r="M128" s="8"/>
      <c r="N128" s="29"/>
      <c r="O128" s="8"/>
      <c r="P128" s="220"/>
      <c r="Q128" s="220"/>
      <c r="R128" s="220"/>
      <c r="S128" s="8"/>
      <c r="T128" s="20"/>
      <c r="U128" s="21">
        <v>0</v>
      </c>
      <c r="V128" s="21">
        <v>0</v>
      </c>
      <c r="W128" s="21">
        <f t="shared" si="77"/>
        <v>0</v>
      </c>
      <c r="X128" s="22">
        <v>1</v>
      </c>
      <c r="Y128" s="23">
        <f t="shared" si="99"/>
        <v>0</v>
      </c>
      <c r="Z128" s="21">
        <f t="shared" si="91"/>
        <v>0</v>
      </c>
      <c r="AA128" s="21">
        <f t="shared" si="74"/>
        <v>0</v>
      </c>
      <c r="AC128" s="9"/>
      <c r="AD128" s="9" t="str">
        <f t="shared" si="92"/>
        <v>6.28</v>
      </c>
      <c r="AE128" s="27">
        <f t="shared" si="93"/>
        <v>0</v>
      </c>
      <c r="AF128" s="21">
        <f t="shared" si="94"/>
        <v>0</v>
      </c>
      <c r="AG128" s="21">
        <v>0</v>
      </c>
      <c r="AH128" s="21">
        <f t="shared" si="95"/>
        <v>0</v>
      </c>
      <c r="AI128" s="21">
        <f t="shared" si="96"/>
        <v>0</v>
      </c>
      <c r="AJ128" s="21">
        <f t="shared" si="97"/>
        <v>0</v>
      </c>
      <c r="AK128" s="9" t="s">
        <v>57</v>
      </c>
      <c r="AL128" s="9" t="s">
        <v>57</v>
      </c>
      <c r="AM128" s="22">
        <v>0</v>
      </c>
      <c r="AN128" s="23">
        <f t="shared" si="98"/>
        <v>0</v>
      </c>
      <c r="AO128" s="9"/>
      <c r="AP128" s="26">
        <v>0</v>
      </c>
      <c r="AQ128" s="9"/>
    </row>
    <row r="129" spans="2:43" ht="94.5" x14ac:dyDescent="0.25">
      <c r="B129" s="170" t="s">
        <v>334</v>
      </c>
      <c r="C129" s="209" t="s">
        <v>666</v>
      </c>
      <c r="D129" s="93" t="s">
        <v>87</v>
      </c>
      <c r="E129" s="92">
        <v>1</v>
      </c>
      <c r="F129" s="92">
        <v>1</v>
      </c>
      <c r="G129" s="91">
        <v>0</v>
      </c>
      <c r="H129" s="90">
        <f t="shared" si="100"/>
        <v>0</v>
      </c>
      <c r="I129" s="171"/>
      <c r="J129" s="84"/>
      <c r="K129" s="95">
        <v>0</v>
      </c>
      <c r="L129" s="88">
        <f t="shared" si="101"/>
        <v>0</v>
      </c>
      <c r="M129" s="8"/>
      <c r="N129" s="29"/>
      <c r="O129" s="8"/>
      <c r="P129" s="220"/>
      <c r="Q129" s="220"/>
      <c r="R129" s="220"/>
      <c r="S129" s="8"/>
      <c r="T129" s="20"/>
      <c r="U129" s="21">
        <v>0</v>
      </c>
      <c r="V129" s="21">
        <v>0</v>
      </c>
      <c r="W129" s="21">
        <f t="shared" si="77"/>
        <v>0</v>
      </c>
      <c r="X129" s="22">
        <v>1</v>
      </c>
      <c r="Y129" s="23">
        <f t="shared" si="99"/>
        <v>0</v>
      </c>
      <c r="Z129" s="21">
        <f t="shared" si="91"/>
        <v>0</v>
      </c>
      <c r="AA129" s="21">
        <f t="shared" si="74"/>
        <v>0</v>
      </c>
      <c r="AC129" s="9"/>
      <c r="AD129" s="9" t="str">
        <f t="shared" si="92"/>
        <v>6.29</v>
      </c>
      <c r="AE129" s="27">
        <f t="shared" si="93"/>
        <v>0</v>
      </c>
      <c r="AF129" s="21">
        <f t="shared" si="94"/>
        <v>0</v>
      </c>
      <c r="AG129" s="21">
        <v>0</v>
      </c>
      <c r="AH129" s="21">
        <f t="shared" si="95"/>
        <v>0</v>
      </c>
      <c r="AI129" s="21">
        <f t="shared" si="96"/>
        <v>0</v>
      </c>
      <c r="AJ129" s="21">
        <f t="shared" si="97"/>
        <v>0</v>
      </c>
      <c r="AK129" s="9" t="s">
        <v>57</v>
      </c>
      <c r="AL129" s="9" t="s">
        <v>57</v>
      </c>
      <c r="AM129" s="22">
        <v>0</v>
      </c>
      <c r="AN129" s="23">
        <f t="shared" si="98"/>
        <v>0</v>
      </c>
      <c r="AO129" s="9"/>
      <c r="AP129" s="26">
        <v>0</v>
      </c>
      <c r="AQ129" s="9"/>
    </row>
    <row r="130" spans="2:43" ht="63" x14ac:dyDescent="0.25">
      <c r="B130" s="170" t="s">
        <v>335</v>
      </c>
      <c r="C130" s="209" t="s">
        <v>665</v>
      </c>
      <c r="D130" s="93" t="s">
        <v>87</v>
      </c>
      <c r="E130" s="92">
        <v>1</v>
      </c>
      <c r="F130" s="92">
        <v>1</v>
      </c>
      <c r="G130" s="91">
        <v>0</v>
      </c>
      <c r="H130" s="90">
        <f t="shared" si="100"/>
        <v>0</v>
      </c>
      <c r="I130" s="171"/>
      <c r="J130" s="84"/>
      <c r="K130" s="95">
        <v>0</v>
      </c>
      <c r="L130" s="88">
        <f t="shared" si="101"/>
        <v>0</v>
      </c>
      <c r="M130" s="8"/>
      <c r="N130" s="29"/>
      <c r="O130" s="8"/>
      <c r="P130" s="220"/>
      <c r="Q130" s="220"/>
      <c r="R130" s="220"/>
      <c r="S130" s="8"/>
      <c r="T130" s="20"/>
      <c r="U130" s="21">
        <v>0</v>
      </c>
      <c r="V130" s="21">
        <v>0</v>
      </c>
      <c r="W130" s="21">
        <f t="shared" si="77"/>
        <v>0</v>
      </c>
      <c r="X130" s="22">
        <v>1</v>
      </c>
      <c r="Y130" s="23">
        <f t="shared" si="99"/>
        <v>0</v>
      </c>
      <c r="Z130" s="21">
        <f t="shared" si="91"/>
        <v>0</v>
      </c>
      <c r="AA130" s="21">
        <f t="shared" si="74"/>
        <v>0</v>
      </c>
      <c r="AC130" s="9"/>
      <c r="AD130" s="9" t="str">
        <f t="shared" si="92"/>
        <v>6.30</v>
      </c>
      <c r="AE130" s="27">
        <f t="shared" si="93"/>
        <v>0</v>
      </c>
      <c r="AF130" s="21">
        <f t="shared" si="94"/>
        <v>0</v>
      </c>
      <c r="AG130" s="21">
        <v>0</v>
      </c>
      <c r="AH130" s="21">
        <f t="shared" si="95"/>
        <v>0</v>
      </c>
      <c r="AI130" s="21">
        <f t="shared" si="96"/>
        <v>0</v>
      </c>
      <c r="AJ130" s="21">
        <f t="shared" si="97"/>
        <v>0</v>
      </c>
      <c r="AK130" s="9" t="s">
        <v>57</v>
      </c>
      <c r="AL130" s="9" t="s">
        <v>57</v>
      </c>
      <c r="AM130" s="22">
        <v>0</v>
      </c>
      <c r="AN130" s="23">
        <f t="shared" si="98"/>
        <v>0</v>
      </c>
      <c r="AO130" s="9"/>
      <c r="AP130" s="26">
        <v>0</v>
      </c>
      <c r="AQ130" s="9"/>
    </row>
    <row r="131" spans="2:43" ht="78.75" x14ac:dyDescent="0.25">
      <c r="B131" s="170" t="s">
        <v>336</v>
      </c>
      <c r="C131" s="209" t="s">
        <v>667</v>
      </c>
      <c r="D131" s="93" t="s">
        <v>87</v>
      </c>
      <c r="E131" s="92">
        <v>1</v>
      </c>
      <c r="F131" s="92">
        <v>1</v>
      </c>
      <c r="G131" s="91">
        <v>0</v>
      </c>
      <c r="H131" s="90">
        <f t="shared" si="100"/>
        <v>0</v>
      </c>
      <c r="I131" s="171"/>
      <c r="J131" s="84"/>
      <c r="K131" s="95">
        <v>0</v>
      </c>
      <c r="L131" s="88">
        <f t="shared" si="101"/>
        <v>0</v>
      </c>
      <c r="M131" s="8"/>
      <c r="N131" s="29"/>
      <c r="O131" s="8"/>
      <c r="P131" s="220"/>
      <c r="Q131" s="220"/>
      <c r="R131" s="220"/>
      <c r="S131" s="8"/>
      <c r="T131" s="20"/>
      <c r="U131" s="21">
        <v>0</v>
      </c>
      <c r="V131" s="21">
        <v>0</v>
      </c>
      <c r="W131" s="21">
        <f t="shared" si="77"/>
        <v>0</v>
      </c>
      <c r="X131" s="22">
        <v>1</v>
      </c>
      <c r="Y131" s="23">
        <f t="shared" si="99"/>
        <v>0</v>
      </c>
      <c r="Z131" s="21">
        <f t="shared" si="91"/>
        <v>0</v>
      </c>
      <c r="AA131" s="21">
        <f t="shared" si="74"/>
        <v>0</v>
      </c>
      <c r="AC131" s="9"/>
      <c r="AD131" s="9" t="str">
        <f t="shared" si="92"/>
        <v>6.31</v>
      </c>
      <c r="AE131" s="27">
        <f t="shared" si="93"/>
        <v>0</v>
      </c>
      <c r="AF131" s="21">
        <f t="shared" si="94"/>
        <v>0</v>
      </c>
      <c r="AG131" s="21">
        <v>0</v>
      </c>
      <c r="AH131" s="21">
        <f t="shared" si="95"/>
        <v>0</v>
      </c>
      <c r="AI131" s="21">
        <f t="shared" si="96"/>
        <v>0</v>
      </c>
      <c r="AJ131" s="21">
        <f t="shared" si="97"/>
        <v>0</v>
      </c>
      <c r="AK131" s="9" t="s">
        <v>57</v>
      </c>
      <c r="AL131" s="9" t="s">
        <v>57</v>
      </c>
      <c r="AM131" s="22">
        <v>0</v>
      </c>
      <c r="AN131" s="23">
        <f t="shared" si="98"/>
        <v>0</v>
      </c>
      <c r="AO131" s="9"/>
      <c r="AP131" s="26">
        <v>0</v>
      </c>
      <c r="AQ131" s="9"/>
    </row>
    <row r="132" spans="2:43" ht="63" x14ac:dyDescent="0.25">
      <c r="B132" s="170" t="s">
        <v>337</v>
      </c>
      <c r="C132" s="209" t="s">
        <v>668</v>
      </c>
      <c r="D132" s="93" t="s">
        <v>87</v>
      </c>
      <c r="E132" s="92">
        <v>1</v>
      </c>
      <c r="F132" s="92">
        <v>1</v>
      </c>
      <c r="G132" s="91">
        <v>0</v>
      </c>
      <c r="H132" s="90">
        <f t="shared" si="100"/>
        <v>0</v>
      </c>
      <c r="I132" s="171"/>
      <c r="J132" s="84"/>
      <c r="K132" s="95">
        <v>0</v>
      </c>
      <c r="L132" s="88">
        <f t="shared" si="101"/>
        <v>0</v>
      </c>
      <c r="M132" s="8"/>
      <c r="N132" s="29"/>
      <c r="O132" s="8"/>
      <c r="P132" s="220"/>
      <c r="Q132" s="220"/>
      <c r="R132" s="220"/>
      <c r="S132" s="8"/>
      <c r="T132" s="20"/>
      <c r="U132" s="21">
        <v>0</v>
      </c>
      <c r="V132" s="21">
        <v>0</v>
      </c>
      <c r="W132" s="21">
        <f t="shared" si="77"/>
        <v>0</v>
      </c>
      <c r="X132" s="22">
        <v>1</v>
      </c>
      <c r="Y132" s="23">
        <f t="shared" si="99"/>
        <v>0</v>
      </c>
      <c r="Z132" s="21">
        <f t="shared" si="91"/>
        <v>0</v>
      </c>
      <c r="AA132" s="21">
        <f t="shared" si="74"/>
        <v>0</v>
      </c>
      <c r="AC132" s="9"/>
      <c r="AD132" s="9" t="str">
        <f t="shared" si="92"/>
        <v>6.32</v>
      </c>
      <c r="AE132" s="27">
        <f t="shared" si="93"/>
        <v>0</v>
      </c>
      <c r="AF132" s="21">
        <f t="shared" si="94"/>
        <v>0</v>
      </c>
      <c r="AG132" s="21">
        <v>0</v>
      </c>
      <c r="AH132" s="21">
        <f t="shared" si="95"/>
        <v>0</v>
      </c>
      <c r="AI132" s="21">
        <f t="shared" si="96"/>
        <v>0</v>
      </c>
      <c r="AJ132" s="21">
        <f t="shared" si="97"/>
        <v>0</v>
      </c>
      <c r="AK132" s="9" t="s">
        <v>57</v>
      </c>
      <c r="AL132" s="9" t="s">
        <v>57</v>
      </c>
      <c r="AM132" s="22">
        <v>0</v>
      </c>
      <c r="AN132" s="23">
        <f t="shared" si="98"/>
        <v>0</v>
      </c>
      <c r="AO132" s="9"/>
      <c r="AP132" s="26">
        <v>0</v>
      </c>
      <c r="AQ132" s="9"/>
    </row>
    <row r="133" spans="2:43" ht="63" x14ac:dyDescent="0.25">
      <c r="B133" s="170" t="s">
        <v>338</v>
      </c>
      <c r="C133" s="209" t="s">
        <v>669</v>
      </c>
      <c r="D133" s="93" t="s">
        <v>87</v>
      </c>
      <c r="E133" s="92">
        <v>1</v>
      </c>
      <c r="F133" s="92">
        <v>1</v>
      </c>
      <c r="G133" s="91">
        <v>0</v>
      </c>
      <c r="H133" s="90">
        <f t="shared" si="100"/>
        <v>0</v>
      </c>
      <c r="I133" s="171"/>
      <c r="J133" s="84"/>
      <c r="K133" s="95">
        <v>0</v>
      </c>
      <c r="L133" s="88">
        <f t="shared" si="101"/>
        <v>0</v>
      </c>
      <c r="M133" s="8"/>
      <c r="N133" s="29"/>
      <c r="O133" s="8"/>
      <c r="P133" s="220"/>
      <c r="Q133" s="220"/>
      <c r="R133" s="220"/>
      <c r="S133" s="8"/>
      <c r="T133" s="20"/>
      <c r="U133" s="21">
        <v>0</v>
      </c>
      <c r="V133" s="21">
        <v>0</v>
      </c>
      <c r="W133" s="21">
        <f t="shared" si="77"/>
        <v>0</v>
      </c>
      <c r="X133" s="22">
        <v>1</v>
      </c>
      <c r="Y133" s="23">
        <f t="shared" si="99"/>
        <v>0</v>
      </c>
      <c r="Z133" s="21">
        <f t="shared" si="91"/>
        <v>0</v>
      </c>
      <c r="AA133" s="21">
        <f t="shared" si="74"/>
        <v>0</v>
      </c>
      <c r="AC133" s="9"/>
      <c r="AD133" s="9" t="str">
        <f t="shared" si="92"/>
        <v>6.33</v>
      </c>
      <c r="AE133" s="27">
        <f t="shared" si="93"/>
        <v>0</v>
      </c>
      <c r="AF133" s="21">
        <f t="shared" si="94"/>
        <v>0</v>
      </c>
      <c r="AG133" s="21">
        <v>0</v>
      </c>
      <c r="AH133" s="21">
        <f t="shared" si="95"/>
        <v>0</v>
      </c>
      <c r="AI133" s="21">
        <f t="shared" si="96"/>
        <v>0</v>
      </c>
      <c r="AJ133" s="21">
        <f t="shared" si="97"/>
        <v>0</v>
      </c>
      <c r="AK133" s="9" t="s">
        <v>57</v>
      </c>
      <c r="AL133" s="9" t="s">
        <v>57</v>
      </c>
      <c r="AM133" s="22">
        <v>0</v>
      </c>
      <c r="AN133" s="23">
        <f t="shared" si="98"/>
        <v>0</v>
      </c>
      <c r="AO133" s="9"/>
      <c r="AP133" s="26">
        <v>0</v>
      </c>
      <c r="AQ133" s="9"/>
    </row>
    <row r="134" spans="2:43" ht="63" x14ac:dyDescent="0.25">
      <c r="B134" s="170" t="s">
        <v>339</v>
      </c>
      <c r="C134" s="209" t="s">
        <v>670</v>
      </c>
      <c r="D134" s="93" t="s">
        <v>87</v>
      </c>
      <c r="E134" s="92">
        <v>1</v>
      </c>
      <c r="F134" s="92">
        <v>1</v>
      </c>
      <c r="G134" s="91">
        <v>0</v>
      </c>
      <c r="H134" s="90">
        <f t="shared" si="100"/>
        <v>0</v>
      </c>
      <c r="I134" s="171"/>
      <c r="J134" s="84"/>
      <c r="K134" s="95">
        <v>0</v>
      </c>
      <c r="L134" s="88">
        <f t="shared" si="101"/>
        <v>0</v>
      </c>
      <c r="M134" s="8"/>
      <c r="N134" s="29"/>
      <c r="O134" s="8"/>
      <c r="P134" s="220"/>
      <c r="Q134" s="220"/>
      <c r="R134" s="220"/>
      <c r="S134" s="8"/>
      <c r="T134" s="20"/>
      <c r="U134" s="21">
        <v>0</v>
      </c>
      <c r="V134" s="21">
        <v>0</v>
      </c>
      <c r="W134" s="21">
        <f t="shared" si="77"/>
        <v>0</v>
      </c>
      <c r="X134" s="22">
        <v>1</v>
      </c>
      <c r="Y134" s="23">
        <f t="shared" si="99"/>
        <v>0</v>
      </c>
      <c r="Z134" s="21">
        <f t="shared" si="91"/>
        <v>0</v>
      </c>
      <c r="AA134" s="21">
        <f t="shared" si="74"/>
        <v>0</v>
      </c>
      <c r="AC134" s="9"/>
      <c r="AD134" s="9" t="str">
        <f t="shared" si="92"/>
        <v>6.34</v>
      </c>
      <c r="AE134" s="27">
        <f t="shared" si="93"/>
        <v>0</v>
      </c>
      <c r="AF134" s="21">
        <f t="shared" si="94"/>
        <v>0</v>
      </c>
      <c r="AG134" s="21">
        <v>0</v>
      </c>
      <c r="AH134" s="21">
        <f t="shared" si="95"/>
        <v>0</v>
      </c>
      <c r="AI134" s="21">
        <f t="shared" si="96"/>
        <v>0</v>
      </c>
      <c r="AJ134" s="21">
        <f t="shared" si="97"/>
        <v>0</v>
      </c>
      <c r="AK134" s="9" t="s">
        <v>57</v>
      </c>
      <c r="AL134" s="9" t="s">
        <v>57</v>
      </c>
      <c r="AM134" s="22">
        <v>0</v>
      </c>
      <c r="AN134" s="23">
        <f t="shared" si="98"/>
        <v>0</v>
      </c>
      <c r="AO134" s="9"/>
      <c r="AP134" s="26">
        <v>0</v>
      </c>
      <c r="AQ134" s="9"/>
    </row>
    <row r="135" spans="2:43" ht="63" x14ac:dyDescent="0.25">
      <c r="B135" s="170" t="s">
        <v>340</v>
      </c>
      <c r="C135" s="209" t="s">
        <v>671</v>
      </c>
      <c r="D135" s="93" t="s">
        <v>87</v>
      </c>
      <c r="E135" s="92">
        <v>1</v>
      </c>
      <c r="F135" s="92">
        <v>1</v>
      </c>
      <c r="G135" s="91">
        <v>0</v>
      </c>
      <c r="H135" s="90">
        <f t="shared" si="100"/>
        <v>0</v>
      </c>
      <c r="I135" s="171"/>
      <c r="J135" s="84"/>
      <c r="K135" s="95">
        <v>0</v>
      </c>
      <c r="L135" s="88">
        <f t="shared" si="101"/>
        <v>0</v>
      </c>
      <c r="M135" s="8"/>
      <c r="N135" s="29"/>
      <c r="O135" s="8"/>
      <c r="P135" s="220"/>
      <c r="Q135" s="220"/>
      <c r="R135" s="220"/>
      <c r="S135" s="8"/>
      <c r="T135" s="20"/>
      <c r="U135" s="21">
        <v>0</v>
      </c>
      <c r="V135" s="21">
        <v>0</v>
      </c>
      <c r="W135" s="21">
        <f t="shared" si="77"/>
        <v>0</v>
      </c>
      <c r="X135" s="22">
        <v>1</v>
      </c>
      <c r="Y135" s="23">
        <f t="shared" si="99"/>
        <v>0</v>
      </c>
      <c r="Z135" s="21">
        <f t="shared" si="91"/>
        <v>0</v>
      </c>
      <c r="AA135" s="21">
        <f t="shared" si="74"/>
        <v>0</v>
      </c>
      <c r="AC135" s="9"/>
      <c r="AD135" s="9" t="str">
        <f t="shared" si="92"/>
        <v>6.35</v>
      </c>
      <c r="AE135" s="27">
        <f t="shared" si="93"/>
        <v>0</v>
      </c>
      <c r="AF135" s="21">
        <f t="shared" si="94"/>
        <v>0</v>
      </c>
      <c r="AG135" s="21">
        <v>0</v>
      </c>
      <c r="AH135" s="21">
        <f t="shared" si="95"/>
        <v>0</v>
      </c>
      <c r="AI135" s="21">
        <f t="shared" si="96"/>
        <v>0</v>
      </c>
      <c r="AJ135" s="21">
        <f t="shared" si="97"/>
        <v>0</v>
      </c>
      <c r="AK135" s="9" t="s">
        <v>57</v>
      </c>
      <c r="AL135" s="9" t="s">
        <v>57</v>
      </c>
      <c r="AM135" s="22">
        <v>0</v>
      </c>
      <c r="AN135" s="23">
        <f t="shared" si="98"/>
        <v>0</v>
      </c>
      <c r="AO135" s="9"/>
      <c r="AP135" s="26">
        <v>0</v>
      </c>
      <c r="AQ135" s="9"/>
    </row>
    <row r="136" spans="2:43" ht="78.75" x14ac:dyDescent="0.25">
      <c r="B136" s="170" t="s">
        <v>341</v>
      </c>
      <c r="C136" s="210" t="s">
        <v>672</v>
      </c>
      <c r="D136" s="93" t="s">
        <v>87</v>
      </c>
      <c r="E136" s="114">
        <v>1</v>
      </c>
      <c r="F136" s="114">
        <v>1</v>
      </c>
      <c r="G136" s="122">
        <v>0</v>
      </c>
      <c r="H136" s="109">
        <f t="shared" ref="H136:H138" si="102">E136*F136*G136</f>
        <v>0</v>
      </c>
      <c r="I136" s="171"/>
      <c r="J136" s="84"/>
      <c r="K136" s="95">
        <v>0</v>
      </c>
      <c r="L136" s="88">
        <f t="shared" ref="L136:L138" si="103">H136</f>
        <v>0</v>
      </c>
      <c r="M136" s="8"/>
      <c r="N136" s="29"/>
      <c r="O136" s="8"/>
      <c r="P136" s="220"/>
      <c r="Q136" s="220"/>
      <c r="R136" s="220"/>
      <c r="S136" s="8"/>
      <c r="T136" s="20"/>
      <c r="U136" s="21">
        <v>0</v>
      </c>
      <c r="V136" s="21">
        <v>0</v>
      </c>
      <c r="W136" s="21">
        <f t="shared" si="77"/>
        <v>0</v>
      </c>
      <c r="X136" s="22">
        <v>1</v>
      </c>
      <c r="Y136" s="23">
        <f t="shared" si="99"/>
        <v>0</v>
      </c>
      <c r="Z136" s="21">
        <f t="shared" si="91"/>
        <v>0</v>
      </c>
      <c r="AA136" s="21">
        <f t="shared" si="74"/>
        <v>0</v>
      </c>
      <c r="AC136" s="9"/>
      <c r="AD136" s="9" t="str">
        <f t="shared" si="92"/>
        <v>6.36</v>
      </c>
      <c r="AE136" s="27">
        <f t="shared" si="93"/>
        <v>0</v>
      </c>
      <c r="AF136" s="21">
        <f t="shared" si="94"/>
        <v>0</v>
      </c>
      <c r="AG136" s="21">
        <v>0</v>
      </c>
      <c r="AH136" s="21">
        <f t="shared" si="95"/>
        <v>0</v>
      </c>
      <c r="AI136" s="21">
        <f t="shared" si="96"/>
        <v>0</v>
      </c>
      <c r="AJ136" s="21">
        <f t="shared" si="97"/>
        <v>0</v>
      </c>
      <c r="AK136" s="9" t="s">
        <v>57</v>
      </c>
      <c r="AL136" s="9" t="s">
        <v>57</v>
      </c>
      <c r="AM136" s="22">
        <v>0</v>
      </c>
      <c r="AN136" s="23">
        <f t="shared" si="98"/>
        <v>0</v>
      </c>
      <c r="AO136" s="9"/>
      <c r="AP136" s="26">
        <v>0</v>
      </c>
      <c r="AQ136" s="9"/>
    </row>
    <row r="137" spans="2:43" ht="78.75" x14ac:dyDescent="0.25">
      <c r="B137" s="170" t="s">
        <v>342</v>
      </c>
      <c r="C137" s="210" t="s">
        <v>673</v>
      </c>
      <c r="D137" s="93" t="s">
        <v>87</v>
      </c>
      <c r="E137" s="114">
        <v>1</v>
      </c>
      <c r="F137" s="114">
        <v>1</v>
      </c>
      <c r="G137" s="122">
        <v>0</v>
      </c>
      <c r="H137" s="109">
        <f t="shared" si="102"/>
        <v>0</v>
      </c>
      <c r="I137" s="171"/>
      <c r="J137" s="84"/>
      <c r="K137" s="95">
        <v>0</v>
      </c>
      <c r="L137" s="88">
        <f t="shared" si="103"/>
        <v>0</v>
      </c>
      <c r="M137" s="8"/>
      <c r="N137" s="29"/>
      <c r="O137" s="8"/>
      <c r="P137" s="220"/>
      <c r="Q137" s="220"/>
      <c r="R137" s="220"/>
      <c r="S137" s="8"/>
      <c r="T137" s="20"/>
      <c r="U137" s="21">
        <v>0</v>
      </c>
      <c r="V137" s="21">
        <v>0</v>
      </c>
      <c r="W137" s="21">
        <f t="shared" si="77"/>
        <v>0</v>
      </c>
      <c r="X137" s="22">
        <v>1</v>
      </c>
      <c r="Y137" s="23">
        <f t="shared" si="99"/>
        <v>0</v>
      </c>
      <c r="Z137" s="21">
        <f t="shared" si="91"/>
        <v>0</v>
      </c>
      <c r="AA137" s="21">
        <f t="shared" si="74"/>
        <v>0</v>
      </c>
      <c r="AC137" s="9"/>
      <c r="AD137" s="9" t="str">
        <f t="shared" si="92"/>
        <v>6.37</v>
      </c>
      <c r="AE137" s="27">
        <f t="shared" si="93"/>
        <v>0</v>
      </c>
      <c r="AF137" s="21">
        <f t="shared" si="94"/>
        <v>0</v>
      </c>
      <c r="AG137" s="21">
        <v>0</v>
      </c>
      <c r="AH137" s="21">
        <f t="shared" si="95"/>
        <v>0</v>
      </c>
      <c r="AI137" s="21">
        <f t="shared" si="96"/>
        <v>0</v>
      </c>
      <c r="AJ137" s="21">
        <f t="shared" si="97"/>
        <v>0</v>
      </c>
      <c r="AK137" s="9" t="s">
        <v>57</v>
      </c>
      <c r="AL137" s="9" t="s">
        <v>57</v>
      </c>
      <c r="AM137" s="22">
        <v>0</v>
      </c>
      <c r="AN137" s="23">
        <f t="shared" si="98"/>
        <v>0</v>
      </c>
      <c r="AO137" s="9"/>
      <c r="AP137" s="26">
        <v>0</v>
      </c>
      <c r="AQ137" s="9"/>
    </row>
    <row r="138" spans="2:43" ht="78.75" x14ac:dyDescent="0.25">
      <c r="B138" s="170" t="s">
        <v>343</v>
      </c>
      <c r="C138" s="210" t="s">
        <v>674</v>
      </c>
      <c r="D138" s="93" t="s">
        <v>87</v>
      </c>
      <c r="E138" s="114">
        <v>1</v>
      </c>
      <c r="F138" s="114">
        <v>1</v>
      </c>
      <c r="G138" s="122">
        <v>0</v>
      </c>
      <c r="H138" s="109">
        <f t="shared" si="102"/>
        <v>0</v>
      </c>
      <c r="I138" s="171"/>
      <c r="J138" s="84"/>
      <c r="K138" s="95">
        <v>0</v>
      </c>
      <c r="L138" s="88">
        <f t="shared" si="103"/>
        <v>0</v>
      </c>
      <c r="M138" s="8"/>
      <c r="N138" s="29"/>
      <c r="O138" s="8"/>
      <c r="P138" s="220"/>
      <c r="Q138" s="220"/>
      <c r="R138" s="220"/>
      <c r="S138" s="8"/>
      <c r="T138" s="20"/>
      <c r="U138" s="21">
        <v>0</v>
      </c>
      <c r="V138" s="21">
        <v>0</v>
      </c>
      <c r="W138" s="21">
        <f t="shared" si="77"/>
        <v>0</v>
      </c>
      <c r="X138" s="22">
        <v>1</v>
      </c>
      <c r="Y138" s="23">
        <f t="shared" si="99"/>
        <v>0</v>
      </c>
      <c r="Z138" s="21">
        <f t="shared" si="91"/>
        <v>0</v>
      </c>
      <c r="AA138" s="21">
        <f t="shared" si="74"/>
        <v>0</v>
      </c>
      <c r="AC138" s="9"/>
      <c r="AD138" s="9" t="str">
        <f t="shared" si="92"/>
        <v>6.38</v>
      </c>
      <c r="AE138" s="27">
        <f t="shared" si="93"/>
        <v>0</v>
      </c>
      <c r="AF138" s="21">
        <f t="shared" si="94"/>
        <v>0</v>
      </c>
      <c r="AG138" s="21">
        <v>0</v>
      </c>
      <c r="AH138" s="21">
        <f t="shared" si="95"/>
        <v>0</v>
      </c>
      <c r="AI138" s="21">
        <f t="shared" si="96"/>
        <v>0</v>
      </c>
      <c r="AJ138" s="21">
        <f t="shared" si="97"/>
        <v>0</v>
      </c>
      <c r="AK138" s="9" t="s">
        <v>57</v>
      </c>
      <c r="AL138" s="9" t="s">
        <v>57</v>
      </c>
      <c r="AM138" s="22">
        <v>0</v>
      </c>
      <c r="AN138" s="23">
        <f t="shared" si="98"/>
        <v>0</v>
      </c>
      <c r="AO138" s="9"/>
      <c r="AP138" s="26">
        <v>0</v>
      </c>
      <c r="AQ138" s="9"/>
    </row>
    <row r="139" spans="2:43" ht="78.75" x14ac:dyDescent="0.25">
      <c r="B139" s="170" t="s">
        <v>344</v>
      </c>
      <c r="C139" s="210" t="s">
        <v>675</v>
      </c>
      <c r="D139" s="93" t="s">
        <v>87</v>
      </c>
      <c r="E139" s="114">
        <v>1</v>
      </c>
      <c r="F139" s="114">
        <v>1</v>
      </c>
      <c r="G139" s="122">
        <v>0</v>
      </c>
      <c r="H139" s="109">
        <f t="shared" si="100"/>
        <v>0</v>
      </c>
      <c r="I139" s="171"/>
      <c r="J139" s="84"/>
      <c r="K139" s="95">
        <v>0</v>
      </c>
      <c r="L139" s="88">
        <f t="shared" si="101"/>
        <v>0</v>
      </c>
      <c r="M139" s="8"/>
      <c r="N139" s="29"/>
      <c r="O139" s="8"/>
      <c r="P139" s="220"/>
      <c r="Q139" s="220"/>
      <c r="R139" s="220"/>
      <c r="S139" s="8"/>
      <c r="T139" s="20"/>
      <c r="U139" s="21">
        <v>0</v>
      </c>
      <c r="V139" s="21">
        <v>0</v>
      </c>
      <c r="W139" s="21">
        <f t="shared" si="77"/>
        <v>0</v>
      </c>
      <c r="X139" s="22">
        <v>1</v>
      </c>
      <c r="Y139" s="23">
        <f t="shared" si="99"/>
        <v>0</v>
      </c>
      <c r="Z139" s="21">
        <f t="shared" si="91"/>
        <v>0</v>
      </c>
      <c r="AA139" s="21">
        <f t="shared" si="74"/>
        <v>0</v>
      </c>
      <c r="AC139" s="9"/>
      <c r="AD139" s="9" t="str">
        <f t="shared" si="92"/>
        <v>6.39</v>
      </c>
      <c r="AE139" s="27">
        <f t="shared" si="93"/>
        <v>0</v>
      </c>
      <c r="AF139" s="21">
        <f t="shared" si="94"/>
        <v>0</v>
      </c>
      <c r="AG139" s="21">
        <v>0</v>
      </c>
      <c r="AH139" s="21">
        <f t="shared" si="95"/>
        <v>0</v>
      </c>
      <c r="AI139" s="21">
        <f t="shared" si="96"/>
        <v>0</v>
      </c>
      <c r="AJ139" s="21">
        <f t="shared" si="97"/>
        <v>0</v>
      </c>
      <c r="AK139" s="9" t="s">
        <v>57</v>
      </c>
      <c r="AL139" s="9" t="s">
        <v>57</v>
      </c>
      <c r="AM139" s="22">
        <v>0</v>
      </c>
      <c r="AN139" s="23">
        <f t="shared" si="98"/>
        <v>0</v>
      </c>
      <c r="AO139" s="9"/>
      <c r="AP139" s="26">
        <v>0</v>
      </c>
      <c r="AQ139" s="9"/>
    </row>
    <row r="140" spans="2:43" ht="63" x14ac:dyDescent="0.25">
      <c r="B140" s="170" t="s">
        <v>345</v>
      </c>
      <c r="C140" s="108" t="s">
        <v>676</v>
      </c>
      <c r="D140" s="93" t="s">
        <v>87</v>
      </c>
      <c r="E140" s="92">
        <v>1</v>
      </c>
      <c r="F140" s="92">
        <v>1</v>
      </c>
      <c r="G140" s="122">
        <v>0</v>
      </c>
      <c r="H140" s="109">
        <f t="shared" si="100"/>
        <v>0</v>
      </c>
      <c r="I140" s="168"/>
      <c r="J140" s="84"/>
      <c r="K140" s="95">
        <v>0</v>
      </c>
      <c r="L140" s="88">
        <f t="shared" si="101"/>
        <v>0</v>
      </c>
      <c r="M140" s="8"/>
      <c r="N140" s="29"/>
      <c r="O140" s="8"/>
      <c r="P140" s="220"/>
      <c r="Q140" s="220"/>
      <c r="R140" s="220"/>
      <c r="S140" s="8"/>
      <c r="T140" s="20"/>
      <c r="U140" s="21">
        <v>0</v>
      </c>
      <c r="V140" s="21">
        <v>0</v>
      </c>
      <c r="W140" s="21">
        <f t="shared" si="77"/>
        <v>0</v>
      </c>
      <c r="X140" s="22">
        <v>1</v>
      </c>
      <c r="Y140" s="23">
        <f t="shared" si="99"/>
        <v>0</v>
      </c>
      <c r="Z140" s="21">
        <f t="shared" si="91"/>
        <v>0</v>
      </c>
      <c r="AA140" s="21">
        <f t="shared" si="74"/>
        <v>0</v>
      </c>
      <c r="AC140" s="9"/>
      <c r="AD140" s="9" t="str">
        <f t="shared" si="92"/>
        <v>6.40</v>
      </c>
      <c r="AE140" s="27">
        <f t="shared" si="93"/>
        <v>0</v>
      </c>
      <c r="AF140" s="21">
        <f t="shared" si="94"/>
        <v>0</v>
      </c>
      <c r="AG140" s="21">
        <v>0</v>
      </c>
      <c r="AH140" s="21">
        <f t="shared" si="95"/>
        <v>0</v>
      </c>
      <c r="AI140" s="21">
        <f t="shared" si="96"/>
        <v>0</v>
      </c>
      <c r="AJ140" s="21">
        <f t="shared" si="97"/>
        <v>0</v>
      </c>
      <c r="AK140" s="9" t="s">
        <v>57</v>
      </c>
      <c r="AL140" s="9" t="s">
        <v>57</v>
      </c>
      <c r="AM140" s="22">
        <v>0</v>
      </c>
      <c r="AN140" s="23">
        <f t="shared" si="98"/>
        <v>0</v>
      </c>
      <c r="AO140" s="9"/>
      <c r="AP140" s="26">
        <v>0</v>
      </c>
      <c r="AQ140" s="9"/>
    </row>
    <row r="141" spans="2:43" ht="63" x14ac:dyDescent="0.25">
      <c r="B141" s="170" t="s">
        <v>346</v>
      </c>
      <c r="C141" s="108" t="s">
        <v>677</v>
      </c>
      <c r="D141" s="93" t="s">
        <v>87</v>
      </c>
      <c r="E141" s="92">
        <v>1</v>
      </c>
      <c r="F141" s="92">
        <v>1</v>
      </c>
      <c r="G141" s="122">
        <v>0</v>
      </c>
      <c r="H141" s="109">
        <f t="shared" si="100"/>
        <v>0</v>
      </c>
      <c r="I141" s="168"/>
      <c r="J141" s="84"/>
      <c r="K141" s="95">
        <v>0</v>
      </c>
      <c r="L141" s="88">
        <f t="shared" si="101"/>
        <v>0</v>
      </c>
      <c r="M141" s="8"/>
      <c r="N141" s="29"/>
      <c r="O141" s="8"/>
      <c r="P141" s="220"/>
      <c r="Q141" s="220"/>
      <c r="R141" s="220"/>
      <c r="S141" s="8"/>
      <c r="T141" s="20"/>
      <c r="U141" s="21">
        <v>0</v>
      </c>
      <c r="V141" s="21">
        <v>0</v>
      </c>
      <c r="W141" s="21">
        <f t="shared" si="77"/>
        <v>0</v>
      </c>
      <c r="X141" s="22">
        <v>1</v>
      </c>
      <c r="Y141" s="23">
        <f t="shared" si="99"/>
        <v>0</v>
      </c>
      <c r="Z141" s="21">
        <f t="shared" si="91"/>
        <v>0</v>
      </c>
      <c r="AA141" s="21">
        <f t="shared" si="74"/>
        <v>0</v>
      </c>
      <c r="AC141" s="9"/>
      <c r="AD141" s="9" t="str">
        <f t="shared" si="92"/>
        <v>6.41</v>
      </c>
      <c r="AE141" s="27">
        <f t="shared" si="93"/>
        <v>0</v>
      </c>
      <c r="AF141" s="21">
        <f t="shared" si="94"/>
        <v>0</v>
      </c>
      <c r="AG141" s="21">
        <v>0</v>
      </c>
      <c r="AH141" s="21">
        <f t="shared" si="95"/>
        <v>0</v>
      </c>
      <c r="AI141" s="21">
        <f t="shared" si="96"/>
        <v>0</v>
      </c>
      <c r="AJ141" s="21">
        <f t="shared" si="97"/>
        <v>0</v>
      </c>
      <c r="AK141" s="9" t="s">
        <v>57</v>
      </c>
      <c r="AL141" s="9" t="s">
        <v>57</v>
      </c>
      <c r="AM141" s="22">
        <v>0</v>
      </c>
      <c r="AN141" s="23">
        <f t="shared" si="98"/>
        <v>0</v>
      </c>
      <c r="AO141" s="9"/>
      <c r="AP141" s="26">
        <v>0</v>
      </c>
      <c r="AQ141" s="9"/>
    </row>
    <row r="142" spans="2:43" ht="63" x14ac:dyDescent="0.25">
      <c r="B142" s="170" t="s">
        <v>347</v>
      </c>
      <c r="C142" s="108" t="s">
        <v>678</v>
      </c>
      <c r="D142" s="93" t="s">
        <v>87</v>
      </c>
      <c r="E142" s="92">
        <v>1</v>
      </c>
      <c r="F142" s="92">
        <v>1</v>
      </c>
      <c r="G142" s="122">
        <v>0</v>
      </c>
      <c r="H142" s="109">
        <f t="shared" si="100"/>
        <v>0</v>
      </c>
      <c r="I142" s="168"/>
      <c r="J142" s="84"/>
      <c r="K142" s="95">
        <v>0</v>
      </c>
      <c r="L142" s="88">
        <f t="shared" si="101"/>
        <v>0</v>
      </c>
      <c r="M142" s="8"/>
      <c r="N142" s="29"/>
      <c r="O142" s="8"/>
      <c r="P142" s="220"/>
      <c r="Q142" s="220"/>
      <c r="R142" s="220"/>
      <c r="S142" s="8"/>
      <c r="T142" s="20"/>
      <c r="U142" s="21">
        <v>0</v>
      </c>
      <c r="V142" s="21">
        <v>0</v>
      </c>
      <c r="W142" s="21">
        <f t="shared" si="77"/>
        <v>0</v>
      </c>
      <c r="X142" s="22">
        <v>1</v>
      </c>
      <c r="Y142" s="23">
        <f t="shared" si="99"/>
        <v>0</v>
      </c>
      <c r="Z142" s="21">
        <f t="shared" si="91"/>
        <v>0</v>
      </c>
      <c r="AA142" s="21">
        <f t="shared" si="74"/>
        <v>0</v>
      </c>
      <c r="AC142" s="9"/>
      <c r="AD142" s="9" t="str">
        <f t="shared" si="92"/>
        <v>6.42</v>
      </c>
      <c r="AE142" s="27">
        <f t="shared" si="93"/>
        <v>0</v>
      </c>
      <c r="AF142" s="21">
        <f t="shared" si="94"/>
        <v>0</v>
      </c>
      <c r="AG142" s="21">
        <v>0</v>
      </c>
      <c r="AH142" s="21">
        <f t="shared" si="95"/>
        <v>0</v>
      </c>
      <c r="AI142" s="21">
        <f t="shared" si="96"/>
        <v>0</v>
      </c>
      <c r="AJ142" s="21">
        <f t="shared" si="97"/>
        <v>0</v>
      </c>
      <c r="AK142" s="9" t="s">
        <v>57</v>
      </c>
      <c r="AL142" s="9" t="s">
        <v>57</v>
      </c>
      <c r="AM142" s="22">
        <v>0</v>
      </c>
      <c r="AN142" s="23">
        <f t="shared" si="98"/>
        <v>0</v>
      </c>
      <c r="AO142" s="9"/>
      <c r="AP142" s="26">
        <v>0</v>
      </c>
      <c r="AQ142" s="9"/>
    </row>
    <row r="143" spans="2:43" ht="63" x14ac:dyDescent="0.25">
      <c r="B143" s="170" t="s">
        <v>408</v>
      </c>
      <c r="C143" s="108" t="s">
        <v>679</v>
      </c>
      <c r="D143" s="93" t="s">
        <v>87</v>
      </c>
      <c r="E143" s="106">
        <v>1</v>
      </c>
      <c r="F143" s="106">
        <v>1</v>
      </c>
      <c r="G143" s="105">
        <v>0</v>
      </c>
      <c r="H143" s="90">
        <f t="shared" si="100"/>
        <v>0</v>
      </c>
      <c r="I143" s="168"/>
      <c r="J143" s="84"/>
      <c r="K143" s="95">
        <v>0</v>
      </c>
      <c r="L143" s="88">
        <v>0</v>
      </c>
      <c r="M143" s="8"/>
      <c r="N143" s="29"/>
      <c r="O143" s="8"/>
      <c r="P143" s="220"/>
      <c r="Q143" s="220"/>
      <c r="R143" s="220"/>
      <c r="S143" s="8"/>
      <c r="T143" s="20"/>
      <c r="U143" s="21">
        <v>0</v>
      </c>
      <c r="V143" s="21">
        <v>0</v>
      </c>
      <c r="W143" s="21">
        <f t="shared" si="77"/>
        <v>0</v>
      </c>
      <c r="X143" s="22">
        <v>1</v>
      </c>
      <c r="Y143" s="23">
        <f t="shared" si="99"/>
        <v>0</v>
      </c>
      <c r="Z143" s="21">
        <f t="shared" si="91"/>
        <v>0</v>
      </c>
      <c r="AA143" s="21">
        <f t="shared" si="74"/>
        <v>0</v>
      </c>
      <c r="AC143" s="9"/>
      <c r="AD143" s="9" t="str">
        <f t="shared" si="92"/>
        <v>6.43</v>
      </c>
      <c r="AE143" s="27">
        <f t="shared" si="93"/>
        <v>0</v>
      </c>
      <c r="AF143" s="21">
        <f t="shared" si="94"/>
        <v>0</v>
      </c>
      <c r="AG143" s="21">
        <v>0</v>
      </c>
      <c r="AH143" s="21">
        <f t="shared" si="95"/>
        <v>0</v>
      </c>
      <c r="AI143" s="21">
        <f t="shared" si="96"/>
        <v>0</v>
      </c>
      <c r="AJ143" s="21">
        <f t="shared" si="97"/>
        <v>0</v>
      </c>
      <c r="AK143" s="9" t="s">
        <v>57</v>
      </c>
      <c r="AL143" s="9" t="s">
        <v>57</v>
      </c>
      <c r="AM143" s="22">
        <v>0</v>
      </c>
      <c r="AN143" s="23">
        <f t="shared" si="98"/>
        <v>0</v>
      </c>
      <c r="AO143" s="9"/>
      <c r="AP143" s="26">
        <v>0</v>
      </c>
      <c r="AQ143" s="9"/>
    </row>
    <row r="144" spans="2:43" ht="63" x14ac:dyDescent="0.25">
      <c r="B144" s="170" t="s">
        <v>409</v>
      </c>
      <c r="C144" s="108" t="s">
        <v>680</v>
      </c>
      <c r="D144" s="93" t="s">
        <v>87</v>
      </c>
      <c r="E144" s="106">
        <v>1</v>
      </c>
      <c r="F144" s="106">
        <v>1</v>
      </c>
      <c r="G144" s="105">
        <v>0</v>
      </c>
      <c r="H144" s="90">
        <f t="shared" si="100"/>
        <v>0</v>
      </c>
      <c r="I144" s="168"/>
      <c r="J144" s="84"/>
      <c r="K144" s="95">
        <v>0</v>
      </c>
      <c r="L144" s="88">
        <v>0</v>
      </c>
      <c r="M144" s="8"/>
      <c r="N144" s="29"/>
      <c r="O144" s="8"/>
      <c r="P144" s="220"/>
      <c r="Q144" s="220"/>
      <c r="R144" s="220"/>
      <c r="S144" s="8"/>
      <c r="T144" s="20"/>
      <c r="U144" s="21">
        <v>0</v>
      </c>
      <c r="V144" s="21">
        <v>0</v>
      </c>
      <c r="W144" s="21">
        <f t="shared" ref="W144:W148" si="104">(H144-U144)-V144</f>
        <v>0</v>
      </c>
      <c r="X144" s="22">
        <v>1</v>
      </c>
      <c r="Y144" s="23">
        <f t="shared" si="99"/>
        <v>0</v>
      </c>
      <c r="Z144" s="21">
        <f t="shared" si="91"/>
        <v>0</v>
      </c>
      <c r="AA144" s="21">
        <f t="shared" ref="AA144:AA160" si="105">(W144+Z144)-Y144</f>
        <v>0</v>
      </c>
      <c r="AC144" s="9"/>
      <c r="AD144" s="9" t="str">
        <f t="shared" si="92"/>
        <v>6.44</v>
      </c>
      <c r="AE144" s="27">
        <f t="shared" si="93"/>
        <v>0</v>
      </c>
      <c r="AF144" s="21">
        <f t="shared" si="94"/>
        <v>0</v>
      </c>
      <c r="AG144" s="21">
        <v>0</v>
      </c>
      <c r="AH144" s="21">
        <f t="shared" si="95"/>
        <v>0</v>
      </c>
      <c r="AI144" s="21">
        <f t="shared" si="96"/>
        <v>0</v>
      </c>
      <c r="AJ144" s="21">
        <f t="shared" si="97"/>
        <v>0</v>
      </c>
      <c r="AK144" s="9" t="s">
        <v>57</v>
      </c>
      <c r="AL144" s="9" t="s">
        <v>57</v>
      </c>
      <c r="AM144" s="22">
        <v>0</v>
      </c>
      <c r="AN144" s="23">
        <f t="shared" si="98"/>
        <v>0</v>
      </c>
      <c r="AO144" s="9"/>
      <c r="AP144" s="26">
        <v>0</v>
      </c>
      <c r="AQ144" s="9"/>
    </row>
    <row r="145" spans="2:43" ht="63" x14ac:dyDescent="0.25">
      <c r="B145" s="170" t="s">
        <v>410</v>
      </c>
      <c r="C145" s="108" t="s">
        <v>681</v>
      </c>
      <c r="D145" s="93" t="s">
        <v>87</v>
      </c>
      <c r="E145" s="106">
        <v>1</v>
      </c>
      <c r="F145" s="106">
        <v>1</v>
      </c>
      <c r="G145" s="105">
        <v>0</v>
      </c>
      <c r="H145" s="90">
        <f t="shared" si="100"/>
        <v>0</v>
      </c>
      <c r="I145" s="168"/>
      <c r="J145" s="84"/>
      <c r="K145" s="95">
        <v>0</v>
      </c>
      <c r="L145" s="88">
        <v>0</v>
      </c>
      <c r="M145" s="8"/>
      <c r="N145" s="29"/>
      <c r="O145" s="8"/>
      <c r="P145" s="220"/>
      <c r="Q145" s="220"/>
      <c r="R145" s="220"/>
      <c r="S145" s="8"/>
      <c r="T145" s="20"/>
      <c r="U145" s="21">
        <v>0</v>
      </c>
      <c r="V145" s="21">
        <v>0</v>
      </c>
      <c r="W145" s="21">
        <f t="shared" si="104"/>
        <v>0</v>
      </c>
      <c r="X145" s="22">
        <v>1</v>
      </c>
      <c r="Y145" s="23">
        <f t="shared" si="99"/>
        <v>0</v>
      </c>
      <c r="Z145" s="21">
        <f t="shared" si="91"/>
        <v>0</v>
      </c>
      <c r="AA145" s="21">
        <f t="shared" si="105"/>
        <v>0</v>
      </c>
      <c r="AC145" s="9"/>
      <c r="AD145" s="9" t="str">
        <f t="shared" si="92"/>
        <v>6.45</v>
      </c>
      <c r="AE145" s="27">
        <f t="shared" si="93"/>
        <v>0</v>
      </c>
      <c r="AF145" s="21">
        <f t="shared" si="94"/>
        <v>0</v>
      </c>
      <c r="AG145" s="21">
        <v>0</v>
      </c>
      <c r="AH145" s="21">
        <f t="shared" si="95"/>
        <v>0</v>
      </c>
      <c r="AI145" s="21">
        <f t="shared" si="96"/>
        <v>0</v>
      </c>
      <c r="AJ145" s="21">
        <f t="shared" si="97"/>
        <v>0</v>
      </c>
      <c r="AK145" s="9" t="s">
        <v>57</v>
      </c>
      <c r="AL145" s="9" t="s">
        <v>57</v>
      </c>
      <c r="AM145" s="22">
        <v>0</v>
      </c>
      <c r="AN145" s="23">
        <f t="shared" si="98"/>
        <v>0</v>
      </c>
      <c r="AO145" s="9"/>
      <c r="AP145" s="26">
        <v>0</v>
      </c>
      <c r="AQ145" s="9"/>
    </row>
    <row r="146" spans="2:43" ht="63" x14ac:dyDescent="0.25">
      <c r="B146" s="170" t="s">
        <v>411</v>
      </c>
      <c r="C146" s="108" t="s">
        <v>682</v>
      </c>
      <c r="D146" s="93" t="s">
        <v>87</v>
      </c>
      <c r="E146" s="106">
        <v>1</v>
      </c>
      <c r="F146" s="106">
        <v>1</v>
      </c>
      <c r="G146" s="105">
        <v>0</v>
      </c>
      <c r="H146" s="90">
        <f t="shared" si="100"/>
        <v>0</v>
      </c>
      <c r="I146" s="168"/>
      <c r="J146" s="84"/>
      <c r="K146" s="95">
        <v>0</v>
      </c>
      <c r="L146" s="88">
        <v>0</v>
      </c>
      <c r="M146" s="8"/>
      <c r="N146" s="29"/>
      <c r="O146" s="8"/>
      <c r="P146" s="220"/>
      <c r="Q146" s="220"/>
      <c r="R146" s="220"/>
      <c r="S146" s="8"/>
      <c r="T146" s="20"/>
      <c r="U146" s="21">
        <v>0</v>
      </c>
      <c r="V146" s="21">
        <v>0</v>
      </c>
      <c r="W146" s="21">
        <f t="shared" si="104"/>
        <v>0</v>
      </c>
      <c r="X146" s="22">
        <v>1</v>
      </c>
      <c r="Y146" s="23">
        <f t="shared" si="99"/>
        <v>0</v>
      </c>
      <c r="Z146" s="21">
        <f t="shared" si="91"/>
        <v>0</v>
      </c>
      <c r="AA146" s="21">
        <f t="shared" si="105"/>
        <v>0</v>
      </c>
      <c r="AC146" s="9"/>
      <c r="AD146" s="9" t="str">
        <f t="shared" si="92"/>
        <v>6.46</v>
      </c>
      <c r="AE146" s="27">
        <f t="shared" si="93"/>
        <v>0</v>
      </c>
      <c r="AF146" s="21">
        <f t="shared" si="94"/>
        <v>0</v>
      </c>
      <c r="AG146" s="21">
        <v>0</v>
      </c>
      <c r="AH146" s="21">
        <f t="shared" si="95"/>
        <v>0</v>
      </c>
      <c r="AI146" s="21">
        <f t="shared" si="96"/>
        <v>0</v>
      </c>
      <c r="AJ146" s="21">
        <f t="shared" si="97"/>
        <v>0</v>
      </c>
      <c r="AK146" s="9" t="s">
        <v>57</v>
      </c>
      <c r="AL146" s="9" t="s">
        <v>57</v>
      </c>
      <c r="AM146" s="22">
        <v>0</v>
      </c>
      <c r="AN146" s="23">
        <f t="shared" si="98"/>
        <v>0</v>
      </c>
      <c r="AO146" s="9"/>
      <c r="AP146" s="26">
        <v>0</v>
      </c>
      <c r="AQ146" s="9"/>
    </row>
    <row r="147" spans="2:43" ht="63" x14ac:dyDescent="0.25">
      <c r="B147" s="170" t="s">
        <v>412</v>
      </c>
      <c r="C147" s="108" t="s">
        <v>683</v>
      </c>
      <c r="D147" s="93" t="s">
        <v>87</v>
      </c>
      <c r="E147" s="106">
        <v>1</v>
      </c>
      <c r="F147" s="106">
        <v>1</v>
      </c>
      <c r="G147" s="105">
        <v>0</v>
      </c>
      <c r="H147" s="90">
        <f t="shared" si="100"/>
        <v>0</v>
      </c>
      <c r="I147" s="168"/>
      <c r="J147" s="84"/>
      <c r="K147" s="95">
        <v>0</v>
      </c>
      <c r="L147" s="88">
        <v>0</v>
      </c>
      <c r="M147" s="8"/>
      <c r="N147" s="29"/>
      <c r="O147" s="8"/>
      <c r="P147" s="220"/>
      <c r="Q147" s="220"/>
      <c r="R147" s="220"/>
      <c r="S147" s="8"/>
      <c r="T147" s="20"/>
      <c r="U147" s="21">
        <v>0</v>
      </c>
      <c r="V147" s="21">
        <v>0</v>
      </c>
      <c r="W147" s="21">
        <f t="shared" si="104"/>
        <v>0</v>
      </c>
      <c r="X147" s="22">
        <v>1</v>
      </c>
      <c r="Y147" s="23">
        <f t="shared" si="99"/>
        <v>0</v>
      </c>
      <c r="Z147" s="21">
        <f t="shared" si="91"/>
        <v>0</v>
      </c>
      <c r="AA147" s="21">
        <f t="shared" si="105"/>
        <v>0</v>
      </c>
      <c r="AC147" s="9"/>
      <c r="AD147" s="9" t="str">
        <f t="shared" si="92"/>
        <v>6.47</v>
      </c>
      <c r="AE147" s="27">
        <f t="shared" si="93"/>
        <v>0</v>
      </c>
      <c r="AF147" s="21">
        <f t="shared" si="94"/>
        <v>0</v>
      </c>
      <c r="AG147" s="21">
        <v>0</v>
      </c>
      <c r="AH147" s="21">
        <f t="shared" si="95"/>
        <v>0</v>
      </c>
      <c r="AI147" s="21">
        <f t="shared" si="96"/>
        <v>0</v>
      </c>
      <c r="AJ147" s="21">
        <f t="shared" si="97"/>
        <v>0</v>
      </c>
      <c r="AK147" s="9" t="s">
        <v>57</v>
      </c>
      <c r="AL147" s="9" t="s">
        <v>57</v>
      </c>
      <c r="AM147" s="22">
        <v>0</v>
      </c>
      <c r="AN147" s="23">
        <f t="shared" si="98"/>
        <v>0</v>
      </c>
      <c r="AO147" s="9"/>
      <c r="AP147" s="26">
        <v>0</v>
      </c>
      <c r="AQ147" s="9"/>
    </row>
    <row r="148" spans="2:43" ht="63" x14ac:dyDescent="0.25">
      <c r="B148" s="170" t="s">
        <v>413</v>
      </c>
      <c r="C148" s="96" t="s">
        <v>684</v>
      </c>
      <c r="D148" s="93" t="s">
        <v>87</v>
      </c>
      <c r="E148" s="106">
        <v>1</v>
      </c>
      <c r="F148" s="106">
        <v>1</v>
      </c>
      <c r="G148" s="105">
        <v>0</v>
      </c>
      <c r="H148" s="90">
        <f t="shared" si="100"/>
        <v>0</v>
      </c>
      <c r="I148" s="168"/>
      <c r="J148" s="84"/>
      <c r="K148" s="95">
        <v>0</v>
      </c>
      <c r="L148" s="88">
        <v>0</v>
      </c>
      <c r="M148" s="8"/>
      <c r="N148" s="29"/>
      <c r="O148" s="8"/>
      <c r="P148" s="220"/>
      <c r="Q148" s="220"/>
      <c r="R148" s="220"/>
      <c r="S148" s="8"/>
      <c r="T148" s="20"/>
      <c r="U148" s="21">
        <v>0</v>
      </c>
      <c r="V148" s="21">
        <v>0</v>
      </c>
      <c r="W148" s="21">
        <f t="shared" si="104"/>
        <v>0</v>
      </c>
      <c r="X148" s="22">
        <v>1</v>
      </c>
      <c r="Y148" s="23">
        <f>W148-(W148*X148)</f>
        <v>0</v>
      </c>
      <c r="Z148" s="21">
        <f t="shared" si="91"/>
        <v>0</v>
      </c>
      <c r="AA148" s="21">
        <f t="shared" si="105"/>
        <v>0</v>
      </c>
      <c r="AC148" s="9"/>
      <c r="AD148" s="9" t="str">
        <f t="shared" si="92"/>
        <v>6.48</v>
      </c>
      <c r="AE148" s="27">
        <f t="shared" si="93"/>
        <v>0</v>
      </c>
      <c r="AF148" s="21">
        <f t="shared" si="94"/>
        <v>0</v>
      </c>
      <c r="AG148" s="21">
        <v>0</v>
      </c>
      <c r="AH148" s="21">
        <f t="shared" si="95"/>
        <v>0</v>
      </c>
      <c r="AI148" s="21">
        <f t="shared" si="96"/>
        <v>0</v>
      </c>
      <c r="AJ148" s="21">
        <f t="shared" si="97"/>
        <v>0</v>
      </c>
      <c r="AK148" s="9" t="s">
        <v>57</v>
      </c>
      <c r="AL148" s="9" t="s">
        <v>57</v>
      </c>
      <c r="AM148" s="22">
        <v>0</v>
      </c>
      <c r="AN148" s="23">
        <f t="shared" si="98"/>
        <v>0</v>
      </c>
      <c r="AO148" s="9"/>
      <c r="AP148" s="26">
        <v>0</v>
      </c>
      <c r="AQ148" s="9"/>
    </row>
    <row r="149" spans="2:43" ht="38.25" x14ac:dyDescent="0.25">
      <c r="B149" s="165">
        <v>7</v>
      </c>
      <c r="C149" s="87" t="s">
        <v>172</v>
      </c>
      <c r="D149" s="87"/>
      <c r="E149" s="87"/>
      <c r="F149" s="87"/>
      <c r="G149" s="87"/>
      <c r="H149" s="87"/>
      <c r="I149" s="166">
        <f>SUM(H150:H160)</f>
        <v>0</v>
      </c>
      <c r="J149" s="84"/>
      <c r="K149" s="99" t="s">
        <v>75</v>
      </c>
      <c r="L149" s="98" t="str">
        <f>L$15</f>
        <v>30 DIAS</v>
      </c>
      <c r="M149" s="8"/>
      <c r="N149" s="29"/>
      <c r="O149" s="8"/>
      <c r="P149" s="218" t="s">
        <v>506</v>
      </c>
      <c r="Q149" s="218" t="s">
        <v>507</v>
      </c>
      <c r="R149" s="218" t="s">
        <v>508</v>
      </c>
      <c r="S149" s="8"/>
      <c r="T149" s="144" t="s">
        <v>22</v>
      </c>
      <c r="U149" s="145" t="s">
        <v>23</v>
      </c>
      <c r="V149" s="146" t="s">
        <v>523</v>
      </c>
      <c r="W149" s="146" t="s">
        <v>24</v>
      </c>
      <c r="X149" s="333" t="s">
        <v>68</v>
      </c>
      <c r="Y149" s="334"/>
      <c r="Z149" s="147" t="s">
        <v>25</v>
      </c>
      <c r="AA149" s="147" t="s">
        <v>26</v>
      </c>
      <c r="AB149" s="148"/>
      <c r="AC149" s="149" t="s">
        <v>16</v>
      </c>
      <c r="AD149" s="149" t="s">
        <v>17</v>
      </c>
      <c r="AE149" s="150" t="s">
        <v>22</v>
      </c>
      <c r="AF149" s="151" t="s">
        <v>23</v>
      </c>
      <c r="AG149" s="146" t="s">
        <v>523</v>
      </c>
      <c r="AH149" s="152" t="s">
        <v>24</v>
      </c>
      <c r="AI149" s="153" t="s">
        <v>25</v>
      </c>
      <c r="AJ149" s="153" t="s">
        <v>26</v>
      </c>
      <c r="AK149" s="149" t="s">
        <v>18</v>
      </c>
      <c r="AL149" s="149" t="s">
        <v>67</v>
      </c>
      <c r="AM149" s="333" t="s">
        <v>68</v>
      </c>
      <c r="AN149" s="334"/>
      <c r="AO149" s="149" t="s">
        <v>19</v>
      </c>
      <c r="AP149" s="149" t="s">
        <v>20</v>
      </c>
      <c r="AQ149" s="154" t="s">
        <v>21</v>
      </c>
    </row>
    <row r="150" spans="2:43" ht="32.1" customHeight="1" x14ac:dyDescent="0.25">
      <c r="B150" s="167" t="s">
        <v>51</v>
      </c>
      <c r="C150" s="96" t="s">
        <v>260</v>
      </c>
      <c r="D150" s="93" t="s">
        <v>86</v>
      </c>
      <c r="E150" s="92">
        <v>1</v>
      </c>
      <c r="F150" s="92">
        <v>1</v>
      </c>
      <c r="G150" s="132">
        <v>0</v>
      </c>
      <c r="H150" s="131" t="s">
        <v>257</v>
      </c>
      <c r="I150" s="171"/>
      <c r="J150" s="84"/>
      <c r="K150" s="95">
        <v>0</v>
      </c>
      <c r="L150" s="130" t="str">
        <f>H150</f>
        <v>RESPONSABILIDADE CLIENTE</v>
      </c>
      <c r="N150" s="33"/>
      <c r="P150" s="221"/>
      <c r="Q150" s="221"/>
      <c r="R150" s="221"/>
      <c r="T150" s="20" t="str">
        <f>L150</f>
        <v>RESPONSABILIDADE CLIENTE</v>
      </c>
      <c r="U150" s="21">
        <v>0</v>
      </c>
      <c r="V150" s="21">
        <v>0</v>
      </c>
      <c r="W150" s="21">
        <v>0</v>
      </c>
      <c r="X150" s="22">
        <v>1</v>
      </c>
      <c r="Y150" s="23">
        <f>W150-(W150*X150)</f>
        <v>0</v>
      </c>
      <c r="Z150" s="21">
        <f t="shared" ref="Z150:Z160" si="106">U150*10%</f>
        <v>0</v>
      </c>
      <c r="AA150" s="21">
        <f t="shared" si="105"/>
        <v>0</v>
      </c>
      <c r="AC150" s="9"/>
      <c r="AD150" s="9" t="str">
        <f t="shared" ref="AD150:AD160" si="107">B150</f>
        <v>7.1</v>
      </c>
      <c r="AE150" s="27" t="str">
        <f t="shared" ref="AE150:AE160" si="108">T150</f>
        <v>RESPONSABILIDADE CLIENTE</v>
      </c>
      <c r="AF150" s="21">
        <f t="shared" ref="AF150:AF160" si="109">U150</f>
        <v>0</v>
      </c>
      <c r="AG150" s="21">
        <v>0</v>
      </c>
      <c r="AH150" s="21">
        <v>0</v>
      </c>
      <c r="AI150" s="21">
        <f t="shared" ref="AI150:AI160" si="110">AF150*10%</f>
        <v>0</v>
      </c>
      <c r="AJ150" s="21">
        <f t="shared" ref="AJ150:AJ160" si="111">AN150+AI150</f>
        <v>0</v>
      </c>
      <c r="AK150" s="9" t="s">
        <v>57</v>
      </c>
      <c r="AL150" s="9" t="s">
        <v>57</v>
      </c>
      <c r="AM150" s="22">
        <v>0</v>
      </c>
      <c r="AN150" s="23">
        <f t="shared" ref="AN150:AN160" si="112">(AH150-(AH150*AM150))</f>
        <v>0</v>
      </c>
      <c r="AO150" s="9"/>
      <c r="AP150" s="26">
        <v>0</v>
      </c>
      <c r="AQ150" s="9"/>
    </row>
    <row r="151" spans="2:43" ht="78.75" x14ac:dyDescent="0.25">
      <c r="B151" s="167" t="s">
        <v>52</v>
      </c>
      <c r="C151" s="96" t="s">
        <v>685</v>
      </c>
      <c r="D151" s="93" t="s">
        <v>87</v>
      </c>
      <c r="E151" s="92">
        <v>1</v>
      </c>
      <c r="F151" s="114">
        <v>1</v>
      </c>
      <c r="G151" s="91">
        <v>0</v>
      </c>
      <c r="H151" s="90">
        <f t="shared" ref="H151:H160" si="113">E151*F151*G151</f>
        <v>0</v>
      </c>
      <c r="I151" s="171"/>
      <c r="J151" s="84"/>
      <c r="K151" s="95">
        <v>0</v>
      </c>
      <c r="L151" s="88">
        <f t="shared" ref="L151:L160" si="114">H151</f>
        <v>0</v>
      </c>
      <c r="M151" s="8"/>
      <c r="N151" s="29"/>
      <c r="O151" s="8"/>
      <c r="P151" s="220"/>
      <c r="Q151" s="220"/>
      <c r="R151" s="220"/>
      <c r="S151" s="8"/>
      <c r="T151" s="20"/>
      <c r="U151" s="21">
        <v>0</v>
      </c>
      <c r="V151" s="21">
        <v>0</v>
      </c>
      <c r="W151" s="21">
        <f>(H151-U151)-V151</f>
        <v>0</v>
      </c>
      <c r="X151" s="22">
        <v>1</v>
      </c>
      <c r="Y151" s="23">
        <f t="shared" ref="Y151:Y160" si="115">W151-(W151*X151)</f>
        <v>0</v>
      </c>
      <c r="Z151" s="21">
        <f t="shared" si="106"/>
        <v>0</v>
      </c>
      <c r="AA151" s="21">
        <f t="shared" si="105"/>
        <v>0</v>
      </c>
      <c r="AC151" s="9"/>
      <c r="AD151" s="9" t="str">
        <f t="shared" si="107"/>
        <v>7.2</v>
      </c>
      <c r="AE151" s="27">
        <f t="shared" si="108"/>
        <v>0</v>
      </c>
      <c r="AF151" s="21">
        <f t="shared" si="109"/>
        <v>0</v>
      </c>
      <c r="AG151" s="21">
        <v>0</v>
      </c>
      <c r="AH151" s="21">
        <f t="shared" ref="AH151:AH160" si="116">H151-AF151</f>
        <v>0</v>
      </c>
      <c r="AI151" s="21">
        <f t="shared" si="110"/>
        <v>0</v>
      </c>
      <c r="AJ151" s="21">
        <f t="shared" si="111"/>
        <v>0</v>
      </c>
      <c r="AK151" s="9" t="s">
        <v>57</v>
      </c>
      <c r="AL151" s="9" t="s">
        <v>57</v>
      </c>
      <c r="AM151" s="22">
        <v>0</v>
      </c>
      <c r="AN151" s="23">
        <f t="shared" si="112"/>
        <v>0</v>
      </c>
      <c r="AO151" s="9"/>
      <c r="AP151" s="26">
        <v>0</v>
      </c>
      <c r="AQ151" s="9"/>
    </row>
    <row r="152" spans="2:43" ht="78.75" x14ac:dyDescent="0.25">
      <c r="B152" s="167" t="s">
        <v>218</v>
      </c>
      <c r="C152" s="96" t="s">
        <v>686</v>
      </c>
      <c r="D152" s="93" t="s">
        <v>87</v>
      </c>
      <c r="E152" s="92">
        <v>1</v>
      </c>
      <c r="F152" s="114">
        <v>1</v>
      </c>
      <c r="G152" s="91">
        <v>0</v>
      </c>
      <c r="H152" s="90">
        <f t="shared" si="113"/>
        <v>0</v>
      </c>
      <c r="I152" s="171"/>
      <c r="J152" s="84"/>
      <c r="K152" s="95">
        <v>0</v>
      </c>
      <c r="L152" s="88">
        <f t="shared" si="114"/>
        <v>0</v>
      </c>
      <c r="M152" s="8"/>
      <c r="N152" s="29"/>
      <c r="O152" s="8"/>
      <c r="P152" s="220"/>
      <c r="Q152" s="220"/>
      <c r="R152" s="220"/>
      <c r="S152" s="8"/>
      <c r="T152" s="20"/>
      <c r="U152" s="21">
        <v>0</v>
      </c>
      <c r="V152" s="21">
        <v>0</v>
      </c>
      <c r="W152" s="21">
        <f t="shared" ref="W152:W160" si="117">(H152-U152)-V152</f>
        <v>0</v>
      </c>
      <c r="X152" s="22">
        <v>1</v>
      </c>
      <c r="Y152" s="23">
        <f t="shared" si="115"/>
        <v>0</v>
      </c>
      <c r="Z152" s="21">
        <f t="shared" si="106"/>
        <v>0</v>
      </c>
      <c r="AA152" s="21">
        <f t="shared" si="105"/>
        <v>0</v>
      </c>
      <c r="AC152" s="9"/>
      <c r="AD152" s="9" t="str">
        <f t="shared" si="107"/>
        <v>7.3</v>
      </c>
      <c r="AE152" s="27">
        <f t="shared" si="108"/>
        <v>0</v>
      </c>
      <c r="AF152" s="21">
        <f t="shared" si="109"/>
        <v>0</v>
      </c>
      <c r="AG152" s="21">
        <v>0</v>
      </c>
      <c r="AH152" s="21">
        <f t="shared" si="116"/>
        <v>0</v>
      </c>
      <c r="AI152" s="21">
        <f t="shared" si="110"/>
        <v>0</v>
      </c>
      <c r="AJ152" s="21">
        <f t="shared" si="111"/>
        <v>0</v>
      </c>
      <c r="AK152" s="9" t="s">
        <v>57</v>
      </c>
      <c r="AL152" s="9" t="s">
        <v>57</v>
      </c>
      <c r="AM152" s="22">
        <v>0</v>
      </c>
      <c r="AN152" s="23">
        <f t="shared" si="112"/>
        <v>0</v>
      </c>
      <c r="AO152" s="9"/>
      <c r="AP152" s="26">
        <v>0</v>
      </c>
      <c r="AQ152" s="9"/>
    </row>
    <row r="153" spans="2:43" ht="63" x14ac:dyDescent="0.25">
      <c r="B153" s="167" t="s">
        <v>348</v>
      </c>
      <c r="C153" s="96" t="s">
        <v>687</v>
      </c>
      <c r="D153" s="93" t="s">
        <v>87</v>
      </c>
      <c r="E153" s="92">
        <v>1</v>
      </c>
      <c r="F153" s="114">
        <v>1</v>
      </c>
      <c r="G153" s="91">
        <v>0</v>
      </c>
      <c r="H153" s="90">
        <f t="shared" si="113"/>
        <v>0</v>
      </c>
      <c r="I153" s="171"/>
      <c r="J153" s="84"/>
      <c r="K153" s="95">
        <v>0</v>
      </c>
      <c r="L153" s="88">
        <f t="shared" si="114"/>
        <v>0</v>
      </c>
      <c r="M153" s="8"/>
      <c r="N153" s="29"/>
      <c r="O153" s="8"/>
      <c r="P153" s="220"/>
      <c r="Q153" s="220"/>
      <c r="R153" s="220"/>
      <c r="S153" s="8"/>
      <c r="T153" s="20"/>
      <c r="U153" s="21">
        <v>0</v>
      </c>
      <c r="V153" s="21">
        <v>0</v>
      </c>
      <c r="W153" s="21">
        <f t="shared" si="117"/>
        <v>0</v>
      </c>
      <c r="X153" s="22">
        <v>1</v>
      </c>
      <c r="Y153" s="23">
        <f t="shared" si="115"/>
        <v>0</v>
      </c>
      <c r="Z153" s="21">
        <f t="shared" si="106"/>
        <v>0</v>
      </c>
      <c r="AA153" s="21">
        <f t="shared" si="105"/>
        <v>0</v>
      </c>
      <c r="AC153" s="9"/>
      <c r="AD153" s="9" t="str">
        <f t="shared" si="107"/>
        <v>7.4</v>
      </c>
      <c r="AE153" s="27">
        <f t="shared" si="108"/>
        <v>0</v>
      </c>
      <c r="AF153" s="21">
        <f t="shared" si="109"/>
        <v>0</v>
      </c>
      <c r="AG153" s="21">
        <v>0</v>
      </c>
      <c r="AH153" s="21">
        <f t="shared" si="116"/>
        <v>0</v>
      </c>
      <c r="AI153" s="21">
        <f t="shared" si="110"/>
        <v>0</v>
      </c>
      <c r="AJ153" s="21">
        <f t="shared" si="111"/>
        <v>0</v>
      </c>
      <c r="AK153" s="9" t="s">
        <v>57</v>
      </c>
      <c r="AL153" s="9" t="s">
        <v>57</v>
      </c>
      <c r="AM153" s="22">
        <v>0</v>
      </c>
      <c r="AN153" s="23">
        <f t="shared" si="112"/>
        <v>0</v>
      </c>
      <c r="AO153" s="9"/>
      <c r="AP153" s="26">
        <v>0</v>
      </c>
      <c r="AQ153" s="9"/>
    </row>
    <row r="154" spans="2:43" ht="63" x14ac:dyDescent="0.25">
      <c r="B154" s="167" t="s">
        <v>349</v>
      </c>
      <c r="C154" s="96" t="s">
        <v>688</v>
      </c>
      <c r="D154" s="93" t="s">
        <v>87</v>
      </c>
      <c r="E154" s="92">
        <v>1</v>
      </c>
      <c r="F154" s="114">
        <v>1</v>
      </c>
      <c r="G154" s="91">
        <v>0</v>
      </c>
      <c r="H154" s="90">
        <f t="shared" si="113"/>
        <v>0</v>
      </c>
      <c r="I154" s="171"/>
      <c r="J154" s="84"/>
      <c r="K154" s="95">
        <v>0</v>
      </c>
      <c r="L154" s="88">
        <f t="shared" si="114"/>
        <v>0</v>
      </c>
      <c r="M154" s="8"/>
      <c r="N154" s="29"/>
      <c r="O154" s="8"/>
      <c r="P154" s="220"/>
      <c r="Q154" s="220"/>
      <c r="R154" s="220"/>
      <c r="S154" s="8"/>
      <c r="T154" s="20"/>
      <c r="U154" s="21">
        <v>0</v>
      </c>
      <c r="V154" s="21">
        <v>0</v>
      </c>
      <c r="W154" s="21">
        <f t="shared" si="117"/>
        <v>0</v>
      </c>
      <c r="X154" s="22">
        <v>1</v>
      </c>
      <c r="Y154" s="23">
        <f t="shared" si="115"/>
        <v>0</v>
      </c>
      <c r="Z154" s="21">
        <f t="shared" si="106"/>
        <v>0</v>
      </c>
      <c r="AA154" s="21">
        <f t="shared" si="105"/>
        <v>0</v>
      </c>
      <c r="AC154" s="9"/>
      <c r="AD154" s="9" t="str">
        <f t="shared" si="107"/>
        <v>7.5</v>
      </c>
      <c r="AE154" s="27">
        <f t="shared" si="108"/>
        <v>0</v>
      </c>
      <c r="AF154" s="21">
        <f t="shared" si="109"/>
        <v>0</v>
      </c>
      <c r="AG154" s="21">
        <v>0</v>
      </c>
      <c r="AH154" s="21">
        <f t="shared" si="116"/>
        <v>0</v>
      </c>
      <c r="AI154" s="21">
        <f t="shared" si="110"/>
        <v>0</v>
      </c>
      <c r="AJ154" s="21">
        <f t="shared" si="111"/>
        <v>0</v>
      </c>
      <c r="AK154" s="9" t="s">
        <v>57</v>
      </c>
      <c r="AL154" s="9" t="s">
        <v>57</v>
      </c>
      <c r="AM154" s="22">
        <v>0</v>
      </c>
      <c r="AN154" s="23">
        <f t="shared" si="112"/>
        <v>0</v>
      </c>
      <c r="AO154" s="9"/>
      <c r="AP154" s="26">
        <v>0</v>
      </c>
      <c r="AQ154" s="9"/>
    </row>
    <row r="155" spans="2:43" ht="63" x14ac:dyDescent="0.25">
      <c r="B155" s="167" t="s">
        <v>350</v>
      </c>
      <c r="C155" s="96" t="s">
        <v>689</v>
      </c>
      <c r="D155" s="93" t="s">
        <v>87</v>
      </c>
      <c r="E155" s="92">
        <v>1</v>
      </c>
      <c r="F155" s="114">
        <v>1</v>
      </c>
      <c r="G155" s="91">
        <v>0</v>
      </c>
      <c r="H155" s="90">
        <f t="shared" si="113"/>
        <v>0</v>
      </c>
      <c r="I155" s="171"/>
      <c r="J155" s="84"/>
      <c r="K155" s="95">
        <v>0</v>
      </c>
      <c r="L155" s="88">
        <f t="shared" si="114"/>
        <v>0</v>
      </c>
      <c r="M155" s="8"/>
      <c r="N155" s="29"/>
      <c r="O155" s="8"/>
      <c r="P155" s="220"/>
      <c r="Q155" s="220"/>
      <c r="R155" s="220"/>
      <c r="S155" s="8"/>
      <c r="T155" s="20"/>
      <c r="U155" s="21">
        <v>0</v>
      </c>
      <c r="V155" s="21">
        <v>0</v>
      </c>
      <c r="W155" s="21">
        <f t="shared" si="117"/>
        <v>0</v>
      </c>
      <c r="X155" s="22">
        <v>1</v>
      </c>
      <c r="Y155" s="23">
        <f t="shared" si="115"/>
        <v>0</v>
      </c>
      <c r="Z155" s="21">
        <f t="shared" si="106"/>
        <v>0</v>
      </c>
      <c r="AA155" s="21">
        <f t="shared" si="105"/>
        <v>0</v>
      </c>
      <c r="AC155" s="9"/>
      <c r="AD155" s="9" t="str">
        <f t="shared" si="107"/>
        <v>7.6</v>
      </c>
      <c r="AE155" s="27">
        <f t="shared" si="108"/>
        <v>0</v>
      </c>
      <c r="AF155" s="21">
        <f t="shared" si="109"/>
        <v>0</v>
      </c>
      <c r="AG155" s="21">
        <v>0</v>
      </c>
      <c r="AH155" s="21">
        <f t="shared" si="116"/>
        <v>0</v>
      </c>
      <c r="AI155" s="21">
        <f t="shared" si="110"/>
        <v>0</v>
      </c>
      <c r="AJ155" s="21">
        <f t="shared" si="111"/>
        <v>0</v>
      </c>
      <c r="AK155" s="9" t="s">
        <v>57</v>
      </c>
      <c r="AL155" s="9" t="s">
        <v>57</v>
      </c>
      <c r="AM155" s="22">
        <v>0</v>
      </c>
      <c r="AN155" s="23">
        <f t="shared" si="112"/>
        <v>0</v>
      </c>
      <c r="AO155" s="9"/>
      <c r="AP155" s="26">
        <v>0</v>
      </c>
      <c r="AQ155" s="9"/>
    </row>
    <row r="156" spans="2:43" ht="63" x14ac:dyDescent="0.25">
      <c r="B156" s="167" t="s">
        <v>351</v>
      </c>
      <c r="C156" s="96" t="s">
        <v>690</v>
      </c>
      <c r="D156" s="93" t="s">
        <v>87</v>
      </c>
      <c r="E156" s="92">
        <v>1</v>
      </c>
      <c r="F156" s="114">
        <v>1</v>
      </c>
      <c r="G156" s="91">
        <v>0</v>
      </c>
      <c r="H156" s="90">
        <f t="shared" si="113"/>
        <v>0</v>
      </c>
      <c r="I156" s="171"/>
      <c r="J156" s="84"/>
      <c r="K156" s="95">
        <v>0</v>
      </c>
      <c r="L156" s="88">
        <f t="shared" si="114"/>
        <v>0</v>
      </c>
      <c r="M156" s="8"/>
      <c r="N156" s="29"/>
      <c r="O156" s="8"/>
      <c r="P156" s="220"/>
      <c r="Q156" s="220"/>
      <c r="R156" s="220"/>
      <c r="S156" s="8"/>
      <c r="T156" s="20"/>
      <c r="U156" s="21">
        <v>0</v>
      </c>
      <c r="V156" s="21">
        <v>0</v>
      </c>
      <c r="W156" s="21">
        <f t="shared" si="117"/>
        <v>0</v>
      </c>
      <c r="X156" s="22">
        <v>1</v>
      </c>
      <c r="Y156" s="23">
        <f t="shared" si="115"/>
        <v>0</v>
      </c>
      <c r="Z156" s="21">
        <f t="shared" si="106"/>
        <v>0</v>
      </c>
      <c r="AA156" s="21">
        <f t="shared" si="105"/>
        <v>0</v>
      </c>
      <c r="AC156" s="9"/>
      <c r="AD156" s="9" t="str">
        <f t="shared" si="107"/>
        <v>7.7</v>
      </c>
      <c r="AE156" s="27">
        <f t="shared" si="108"/>
        <v>0</v>
      </c>
      <c r="AF156" s="21">
        <f t="shared" si="109"/>
        <v>0</v>
      </c>
      <c r="AG156" s="21">
        <v>0</v>
      </c>
      <c r="AH156" s="21">
        <f t="shared" si="116"/>
        <v>0</v>
      </c>
      <c r="AI156" s="21">
        <f t="shared" si="110"/>
        <v>0</v>
      </c>
      <c r="AJ156" s="21">
        <f t="shared" si="111"/>
        <v>0</v>
      </c>
      <c r="AK156" s="9" t="s">
        <v>57</v>
      </c>
      <c r="AL156" s="9" t="s">
        <v>57</v>
      </c>
      <c r="AM156" s="22">
        <v>0</v>
      </c>
      <c r="AN156" s="23">
        <f t="shared" si="112"/>
        <v>0</v>
      </c>
      <c r="AO156" s="9"/>
      <c r="AP156" s="26">
        <v>0</v>
      </c>
      <c r="AQ156" s="9"/>
    </row>
    <row r="157" spans="2:43" ht="63" x14ac:dyDescent="0.25">
      <c r="B157" s="167" t="s">
        <v>352</v>
      </c>
      <c r="C157" s="96" t="s">
        <v>691</v>
      </c>
      <c r="D157" s="93" t="s">
        <v>87</v>
      </c>
      <c r="E157" s="92">
        <v>1</v>
      </c>
      <c r="F157" s="114">
        <v>1</v>
      </c>
      <c r="G157" s="91">
        <v>0</v>
      </c>
      <c r="H157" s="90">
        <f t="shared" si="113"/>
        <v>0</v>
      </c>
      <c r="I157" s="171"/>
      <c r="J157" s="84"/>
      <c r="K157" s="95">
        <v>0</v>
      </c>
      <c r="L157" s="88">
        <f t="shared" si="114"/>
        <v>0</v>
      </c>
      <c r="M157" s="8"/>
      <c r="N157" s="29"/>
      <c r="O157" s="8"/>
      <c r="P157" s="220"/>
      <c r="Q157" s="220"/>
      <c r="R157" s="220"/>
      <c r="S157" s="8"/>
      <c r="T157" s="20"/>
      <c r="U157" s="21">
        <v>0</v>
      </c>
      <c r="V157" s="21">
        <v>0</v>
      </c>
      <c r="W157" s="21">
        <f t="shared" si="117"/>
        <v>0</v>
      </c>
      <c r="X157" s="22">
        <v>1</v>
      </c>
      <c r="Y157" s="23">
        <f t="shared" si="115"/>
        <v>0</v>
      </c>
      <c r="Z157" s="21">
        <f t="shared" si="106"/>
        <v>0</v>
      </c>
      <c r="AA157" s="21">
        <f t="shared" si="105"/>
        <v>0</v>
      </c>
      <c r="AC157" s="9"/>
      <c r="AD157" s="9" t="str">
        <f t="shared" si="107"/>
        <v>7.8</v>
      </c>
      <c r="AE157" s="27">
        <f t="shared" si="108"/>
        <v>0</v>
      </c>
      <c r="AF157" s="21">
        <f t="shared" si="109"/>
        <v>0</v>
      </c>
      <c r="AG157" s="21">
        <v>0</v>
      </c>
      <c r="AH157" s="21">
        <f t="shared" si="116"/>
        <v>0</v>
      </c>
      <c r="AI157" s="21">
        <f t="shared" si="110"/>
        <v>0</v>
      </c>
      <c r="AJ157" s="21">
        <f t="shared" si="111"/>
        <v>0</v>
      </c>
      <c r="AK157" s="9" t="s">
        <v>57</v>
      </c>
      <c r="AL157" s="9" t="s">
        <v>57</v>
      </c>
      <c r="AM157" s="22">
        <v>0</v>
      </c>
      <c r="AN157" s="23">
        <f t="shared" si="112"/>
        <v>0</v>
      </c>
      <c r="AO157" s="9"/>
      <c r="AP157" s="26">
        <v>0</v>
      </c>
      <c r="AQ157" s="9"/>
    </row>
    <row r="158" spans="2:43" ht="63" x14ac:dyDescent="0.25">
      <c r="B158" s="167" t="s">
        <v>353</v>
      </c>
      <c r="C158" s="96" t="s">
        <v>692</v>
      </c>
      <c r="D158" s="93" t="s">
        <v>87</v>
      </c>
      <c r="E158" s="92">
        <v>1</v>
      </c>
      <c r="F158" s="114">
        <v>1</v>
      </c>
      <c r="G158" s="91">
        <v>0</v>
      </c>
      <c r="H158" s="90">
        <f t="shared" si="113"/>
        <v>0</v>
      </c>
      <c r="I158" s="171"/>
      <c r="J158" s="84"/>
      <c r="K158" s="95">
        <v>0</v>
      </c>
      <c r="L158" s="88">
        <f t="shared" si="114"/>
        <v>0</v>
      </c>
      <c r="M158" s="8"/>
      <c r="N158" s="29"/>
      <c r="O158" s="8"/>
      <c r="P158" s="220"/>
      <c r="Q158" s="220"/>
      <c r="R158" s="220"/>
      <c r="S158" s="8"/>
      <c r="T158" s="20"/>
      <c r="U158" s="21">
        <v>0</v>
      </c>
      <c r="V158" s="21">
        <v>0</v>
      </c>
      <c r="W158" s="21">
        <f t="shared" si="117"/>
        <v>0</v>
      </c>
      <c r="X158" s="22">
        <v>1</v>
      </c>
      <c r="Y158" s="23">
        <f t="shared" si="115"/>
        <v>0</v>
      </c>
      <c r="Z158" s="21">
        <f t="shared" si="106"/>
        <v>0</v>
      </c>
      <c r="AA158" s="21">
        <f t="shared" si="105"/>
        <v>0</v>
      </c>
      <c r="AC158" s="9"/>
      <c r="AD158" s="9" t="str">
        <f t="shared" si="107"/>
        <v>7.9</v>
      </c>
      <c r="AE158" s="27">
        <f t="shared" si="108"/>
        <v>0</v>
      </c>
      <c r="AF158" s="21">
        <f t="shared" si="109"/>
        <v>0</v>
      </c>
      <c r="AG158" s="21">
        <v>0</v>
      </c>
      <c r="AH158" s="21">
        <f t="shared" si="116"/>
        <v>0</v>
      </c>
      <c r="AI158" s="21">
        <f t="shared" si="110"/>
        <v>0</v>
      </c>
      <c r="AJ158" s="21">
        <f t="shared" si="111"/>
        <v>0</v>
      </c>
      <c r="AK158" s="9" t="s">
        <v>57</v>
      </c>
      <c r="AL158" s="9" t="s">
        <v>57</v>
      </c>
      <c r="AM158" s="22">
        <v>0</v>
      </c>
      <c r="AN158" s="23">
        <f t="shared" si="112"/>
        <v>0</v>
      </c>
      <c r="AO158" s="9"/>
      <c r="AP158" s="26">
        <v>0</v>
      </c>
      <c r="AQ158" s="9"/>
    </row>
    <row r="159" spans="2:43" ht="63" x14ac:dyDescent="0.25">
      <c r="B159" s="167" t="s">
        <v>354</v>
      </c>
      <c r="C159" s="96" t="s">
        <v>693</v>
      </c>
      <c r="D159" s="93" t="s">
        <v>87</v>
      </c>
      <c r="E159" s="92">
        <v>1</v>
      </c>
      <c r="F159" s="114">
        <v>1</v>
      </c>
      <c r="G159" s="91">
        <v>0</v>
      </c>
      <c r="H159" s="90">
        <f t="shared" si="113"/>
        <v>0</v>
      </c>
      <c r="I159" s="171"/>
      <c r="J159" s="84"/>
      <c r="K159" s="95">
        <v>0</v>
      </c>
      <c r="L159" s="88">
        <f t="shared" si="114"/>
        <v>0</v>
      </c>
      <c r="M159" s="8"/>
      <c r="N159" s="29"/>
      <c r="O159" s="8"/>
      <c r="P159" s="220"/>
      <c r="Q159" s="220"/>
      <c r="R159" s="220"/>
      <c r="S159" s="8"/>
      <c r="T159" s="20"/>
      <c r="U159" s="21">
        <v>0</v>
      </c>
      <c r="V159" s="21">
        <v>0</v>
      </c>
      <c r="W159" s="21">
        <f t="shared" si="117"/>
        <v>0</v>
      </c>
      <c r="X159" s="22">
        <v>1</v>
      </c>
      <c r="Y159" s="23">
        <f t="shared" si="115"/>
        <v>0</v>
      </c>
      <c r="Z159" s="21">
        <f t="shared" si="106"/>
        <v>0</v>
      </c>
      <c r="AA159" s="21">
        <f t="shared" si="105"/>
        <v>0</v>
      </c>
      <c r="AC159" s="9"/>
      <c r="AD159" s="9" t="str">
        <f t="shared" si="107"/>
        <v>7.10</v>
      </c>
      <c r="AE159" s="27">
        <f t="shared" si="108"/>
        <v>0</v>
      </c>
      <c r="AF159" s="21">
        <f t="shared" si="109"/>
        <v>0</v>
      </c>
      <c r="AG159" s="21">
        <v>0</v>
      </c>
      <c r="AH159" s="21">
        <f t="shared" si="116"/>
        <v>0</v>
      </c>
      <c r="AI159" s="21">
        <f t="shared" si="110"/>
        <v>0</v>
      </c>
      <c r="AJ159" s="21">
        <f t="shared" si="111"/>
        <v>0</v>
      </c>
      <c r="AK159" s="9" t="s">
        <v>57</v>
      </c>
      <c r="AL159" s="9" t="s">
        <v>57</v>
      </c>
      <c r="AM159" s="22">
        <v>0</v>
      </c>
      <c r="AN159" s="23">
        <f t="shared" si="112"/>
        <v>0</v>
      </c>
      <c r="AO159" s="9"/>
      <c r="AP159" s="26">
        <v>0</v>
      </c>
      <c r="AQ159" s="9"/>
    </row>
    <row r="160" spans="2:43" ht="63" x14ac:dyDescent="0.25">
      <c r="B160" s="167" t="s">
        <v>355</v>
      </c>
      <c r="C160" s="96" t="s">
        <v>694</v>
      </c>
      <c r="D160" s="93" t="s">
        <v>87</v>
      </c>
      <c r="E160" s="92">
        <v>1</v>
      </c>
      <c r="F160" s="114">
        <v>1</v>
      </c>
      <c r="G160" s="91">
        <v>0</v>
      </c>
      <c r="H160" s="90">
        <f t="shared" si="113"/>
        <v>0</v>
      </c>
      <c r="I160" s="171"/>
      <c r="J160" s="84"/>
      <c r="K160" s="95">
        <v>0</v>
      </c>
      <c r="L160" s="88">
        <f t="shared" si="114"/>
        <v>0</v>
      </c>
      <c r="M160" s="8"/>
      <c r="N160" s="29"/>
      <c r="O160" s="8"/>
      <c r="P160" s="220"/>
      <c r="Q160" s="220"/>
      <c r="R160" s="220"/>
      <c r="S160" s="8"/>
      <c r="T160" s="20"/>
      <c r="U160" s="21">
        <v>0</v>
      </c>
      <c r="V160" s="21">
        <v>0</v>
      </c>
      <c r="W160" s="21">
        <f t="shared" si="117"/>
        <v>0</v>
      </c>
      <c r="X160" s="22">
        <v>1</v>
      </c>
      <c r="Y160" s="23">
        <f t="shared" si="115"/>
        <v>0</v>
      </c>
      <c r="Z160" s="21">
        <f t="shared" si="106"/>
        <v>0</v>
      </c>
      <c r="AA160" s="21">
        <f t="shared" si="105"/>
        <v>0</v>
      </c>
      <c r="AC160" s="9"/>
      <c r="AD160" s="9" t="str">
        <f t="shared" si="107"/>
        <v>7.11</v>
      </c>
      <c r="AE160" s="27">
        <f t="shared" si="108"/>
        <v>0</v>
      </c>
      <c r="AF160" s="21">
        <f t="shared" si="109"/>
        <v>0</v>
      </c>
      <c r="AG160" s="21">
        <v>0</v>
      </c>
      <c r="AH160" s="21">
        <f t="shared" si="116"/>
        <v>0</v>
      </c>
      <c r="AI160" s="21">
        <f t="shared" si="110"/>
        <v>0</v>
      </c>
      <c r="AJ160" s="21">
        <f t="shared" si="111"/>
        <v>0</v>
      </c>
      <c r="AK160" s="9" t="s">
        <v>57</v>
      </c>
      <c r="AL160" s="9" t="s">
        <v>57</v>
      </c>
      <c r="AM160" s="22">
        <v>0</v>
      </c>
      <c r="AN160" s="23">
        <f t="shared" si="112"/>
        <v>0</v>
      </c>
      <c r="AO160" s="9"/>
      <c r="AP160" s="26">
        <v>0</v>
      </c>
      <c r="AQ160" s="9"/>
    </row>
    <row r="161" spans="2:43" ht="38.25" x14ac:dyDescent="0.25">
      <c r="B161" s="165">
        <v>8</v>
      </c>
      <c r="C161" s="87" t="s">
        <v>287</v>
      </c>
      <c r="D161" s="87"/>
      <c r="E161" s="87"/>
      <c r="F161" s="87"/>
      <c r="G161" s="87"/>
      <c r="H161" s="87"/>
      <c r="I161" s="166">
        <f>SUM(H162:H190)</f>
        <v>0</v>
      </c>
      <c r="J161" s="84"/>
      <c r="K161" s="99" t="s">
        <v>75</v>
      </c>
      <c r="L161" s="98" t="str">
        <f>L$15</f>
        <v>30 DIAS</v>
      </c>
      <c r="M161" s="8"/>
      <c r="N161" s="29"/>
      <c r="O161" s="8"/>
      <c r="P161" s="218" t="s">
        <v>506</v>
      </c>
      <c r="Q161" s="218" t="s">
        <v>507</v>
      </c>
      <c r="R161" s="218" t="s">
        <v>508</v>
      </c>
      <c r="S161" s="8"/>
      <c r="T161" s="144" t="s">
        <v>22</v>
      </c>
      <c r="U161" s="145" t="s">
        <v>23</v>
      </c>
      <c r="V161" s="146" t="s">
        <v>523</v>
      </c>
      <c r="W161" s="146" t="s">
        <v>24</v>
      </c>
      <c r="X161" s="333" t="s">
        <v>68</v>
      </c>
      <c r="Y161" s="334"/>
      <c r="Z161" s="147" t="s">
        <v>25</v>
      </c>
      <c r="AA161" s="147" t="s">
        <v>26</v>
      </c>
      <c r="AB161" s="148"/>
      <c r="AC161" s="149" t="s">
        <v>16</v>
      </c>
      <c r="AD161" s="149" t="s">
        <v>17</v>
      </c>
      <c r="AE161" s="150" t="s">
        <v>22</v>
      </c>
      <c r="AF161" s="151" t="s">
        <v>23</v>
      </c>
      <c r="AG161" s="146" t="s">
        <v>523</v>
      </c>
      <c r="AH161" s="152" t="s">
        <v>24</v>
      </c>
      <c r="AI161" s="153" t="s">
        <v>25</v>
      </c>
      <c r="AJ161" s="153" t="s">
        <v>26</v>
      </c>
      <c r="AK161" s="149" t="s">
        <v>18</v>
      </c>
      <c r="AL161" s="149" t="s">
        <v>67</v>
      </c>
      <c r="AM161" s="333" t="s">
        <v>68</v>
      </c>
      <c r="AN161" s="334"/>
      <c r="AO161" s="149" t="s">
        <v>19</v>
      </c>
      <c r="AP161" s="149" t="s">
        <v>20</v>
      </c>
      <c r="AQ161" s="154" t="s">
        <v>21</v>
      </c>
    </row>
    <row r="162" spans="2:43" x14ac:dyDescent="0.25">
      <c r="B162" s="173"/>
      <c r="C162" s="121" t="s">
        <v>171</v>
      </c>
      <c r="D162" s="120"/>
      <c r="E162" s="119"/>
      <c r="F162" s="119"/>
      <c r="G162" s="118"/>
      <c r="H162" s="115"/>
      <c r="I162" s="174"/>
      <c r="J162" s="84"/>
      <c r="K162" s="117"/>
      <c r="L162" s="116"/>
      <c r="M162" s="8"/>
      <c r="N162" s="29"/>
      <c r="O162" s="8"/>
      <c r="P162" s="190"/>
      <c r="Q162" s="190"/>
      <c r="R162" s="190"/>
      <c r="S162" s="8"/>
      <c r="T162" s="190"/>
      <c r="U162" s="190"/>
      <c r="V162" s="190"/>
      <c r="W162" s="190"/>
      <c r="X162" s="190"/>
      <c r="Y162" s="190"/>
      <c r="Z162" s="190"/>
      <c r="AA162" s="190"/>
      <c r="AC162" s="190"/>
      <c r="AD162" s="190"/>
      <c r="AE162" s="190"/>
      <c r="AF162" s="190"/>
      <c r="AG162" s="190"/>
      <c r="AH162" s="190"/>
      <c r="AI162" s="190"/>
      <c r="AJ162" s="190"/>
      <c r="AK162" s="190"/>
      <c r="AL162" s="190"/>
      <c r="AM162" s="190"/>
      <c r="AN162" s="190"/>
      <c r="AO162" s="190"/>
      <c r="AP162" s="190"/>
      <c r="AQ162" s="190"/>
    </row>
    <row r="163" spans="2:43" ht="47.25" x14ac:dyDescent="0.25">
      <c r="B163" s="170" t="s">
        <v>53</v>
      </c>
      <c r="C163" s="96" t="s">
        <v>894</v>
      </c>
      <c r="D163" s="93" t="s">
        <v>87</v>
      </c>
      <c r="E163" s="92">
        <v>1</v>
      </c>
      <c r="F163" s="114">
        <v>1</v>
      </c>
      <c r="G163" s="91">
        <v>0</v>
      </c>
      <c r="H163" s="90">
        <f>E163*F163*G163</f>
        <v>0</v>
      </c>
      <c r="I163" s="171"/>
      <c r="J163" s="84"/>
      <c r="K163" s="100">
        <v>0</v>
      </c>
      <c r="L163" s="88">
        <f>H163</f>
        <v>0</v>
      </c>
      <c r="M163" s="8"/>
      <c r="N163" s="29"/>
      <c r="O163" s="8"/>
      <c r="P163" s="220"/>
      <c r="Q163" s="220"/>
      <c r="R163" s="220"/>
      <c r="S163" s="8"/>
      <c r="T163" s="20"/>
      <c r="U163" s="21">
        <v>0</v>
      </c>
      <c r="V163" s="21">
        <v>0</v>
      </c>
      <c r="W163" s="21">
        <f t="shared" ref="W163:W225" si="118">(H163-U163)-V163</f>
        <v>0</v>
      </c>
      <c r="X163" s="22">
        <v>1</v>
      </c>
      <c r="Y163" s="23">
        <f t="shared" ref="Y163:Y189" si="119">W163-(W163*X163)</f>
        <v>0</v>
      </c>
      <c r="Z163" s="21">
        <f>U163*10%</f>
        <v>0</v>
      </c>
      <c r="AA163" s="21">
        <f t="shared" ref="AA163:AA223" si="120">(W163+Z163)-Y163</f>
        <v>0</v>
      </c>
      <c r="AC163" s="9"/>
      <c r="AD163" s="9" t="str">
        <f t="shared" ref="AD163:AD167" si="121">B163</f>
        <v>8.1</v>
      </c>
      <c r="AE163" s="27">
        <f t="shared" ref="AE163:AE167" si="122">T163</f>
        <v>0</v>
      </c>
      <c r="AF163" s="21">
        <f t="shared" ref="AF163:AF167" si="123">U163</f>
        <v>0</v>
      </c>
      <c r="AG163" s="21">
        <v>0</v>
      </c>
      <c r="AH163" s="21">
        <f t="shared" ref="AH163:AH167" si="124">H163-AF163</f>
        <v>0</v>
      </c>
      <c r="AI163" s="21">
        <f t="shared" ref="AI163:AI167" si="125">AF163*10%</f>
        <v>0</v>
      </c>
      <c r="AJ163" s="21">
        <f t="shared" ref="AJ163:AJ167" si="126">AN163+AI163</f>
        <v>0</v>
      </c>
      <c r="AK163" s="9" t="s">
        <v>57</v>
      </c>
      <c r="AL163" s="9" t="s">
        <v>57</v>
      </c>
      <c r="AM163" s="22">
        <v>0</v>
      </c>
      <c r="AN163" s="23">
        <f t="shared" ref="AN163:AN167" si="127">(AH163-(AH163*AM163))</f>
        <v>0</v>
      </c>
      <c r="AO163" s="9"/>
      <c r="AP163" s="26">
        <v>0</v>
      </c>
      <c r="AQ163" s="9"/>
    </row>
    <row r="164" spans="2:43" ht="63" x14ac:dyDescent="0.25">
      <c r="B164" s="170" t="s">
        <v>216</v>
      </c>
      <c r="C164" s="108" t="s">
        <v>895</v>
      </c>
      <c r="D164" s="93" t="s">
        <v>87</v>
      </c>
      <c r="E164" s="92">
        <v>1</v>
      </c>
      <c r="F164" s="114">
        <v>1</v>
      </c>
      <c r="G164" s="91">
        <v>0</v>
      </c>
      <c r="H164" s="90">
        <f>E164*F164*G164</f>
        <v>0</v>
      </c>
      <c r="I164" s="171"/>
      <c r="J164" s="84"/>
      <c r="K164" s="100">
        <v>0</v>
      </c>
      <c r="L164" s="88">
        <f>H164</f>
        <v>0</v>
      </c>
      <c r="M164" s="8"/>
      <c r="N164" s="29"/>
      <c r="O164" s="8"/>
      <c r="P164" s="220"/>
      <c r="Q164" s="220"/>
      <c r="R164" s="220"/>
      <c r="S164" s="8"/>
      <c r="T164" s="20"/>
      <c r="U164" s="21">
        <v>0</v>
      </c>
      <c r="V164" s="21">
        <v>0</v>
      </c>
      <c r="W164" s="21">
        <f t="shared" si="118"/>
        <v>0</v>
      </c>
      <c r="X164" s="22">
        <v>1</v>
      </c>
      <c r="Y164" s="23">
        <f t="shared" si="119"/>
        <v>0</v>
      </c>
      <c r="Z164" s="21">
        <f>U164*10%</f>
        <v>0</v>
      </c>
      <c r="AA164" s="21">
        <f t="shared" si="120"/>
        <v>0</v>
      </c>
      <c r="AC164" s="9"/>
      <c r="AD164" s="9" t="str">
        <f t="shared" si="121"/>
        <v>8.2</v>
      </c>
      <c r="AE164" s="27">
        <f t="shared" si="122"/>
        <v>0</v>
      </c>
      <c r="AF164" s="21">
        <f t="shared" si="123"/>
        <v>0</v>
      </c>
      <c r="AG164" s="21">
        <v>0</v>
      </c>
      <c r="AH164" s="21">
        <f t="shared" si="124"/>
        <v>0</v>
      </c>
      <c r="AI164" s="21">
        <f t="shared" si="125"/>
        <v>0</v>
      </c>
      <c r="AJ164" s="21">
        <f t="shared" si="126"/>
        <v>0</v>
      </c>
      <c r="AK164" s="9" t="s">
        <v>57</v>
      </c>
      <c r="AL164" s="9" t="s">
        <v>57</v>
      </c>
      <c r="AM164" s="22">
        <v>0</v>
      </c>
      <c r="AN164" s="23">
        <f t="shared" si="127"/>
        <v>0</v>
      </c>
      <c r="AO164" s="9"/>
      <c r="AP164" s="26">
        <v>0</v>
      </c>
      <c r="AQ164" s="9"/>
    </row>
    <row r="165" spans="2:43" ht="78.75" x14ac:dyDescent="0.25">
      <c r="B165" s="170" t="s">
        <v>215</v>
      </c>
      <c r="C165" s="108" t="s">
        <v>896</v>
      </c>
      <c r="D165" s="93" t="s">
        <v>87</v>
      </c>
      <c r="E165" s="92">
        <v>1</v>
      </c>
      <c r="F165" s="114">
        <v>1</v>
      </c>
      <c r="G165" s="91">
        <v>0</v>
      </c>
      <c r="H165" s="90">
        <f>E165*F165*G165</f>
        <v>0</v>
      </c>
      <c r="I165" s="171"/>
      <c r="J165" s="84"/>
      <c r="K165" s="100">
        <v>0</v>
      </c>
      <c r="L165" s="88">
        <f>H165</f>
        <v>0</v>
      </c>
      <c r="M165" s="8"/>
      <c r="N165" s="29"/>
      <c r="O165" s="8"/>
      <c r="P165" s="220"/>
      <c r="Q165" s="220"/>
      <c r="R165" s="220"/>
      <c r="S165" s="8"/>
      <c r="T165" s="20"/>
      <c r="U165" s="21">
        <v>0</v>
      </c>
      <c r="V165" s="21">
        <v>0</v>
      </c>
      <c r="W165" s="21">
        <f t="shared" si="118"/>
        <v>0</v>
      </c>
      <c r="X165" s="22">
        <v>1</v>
      </c>
      <c r="Y165" s="23">
        <f t="shared" si="119"/>
        <v>0</v>
      </c>
      <c r="Z165" s="21">
        <f>U165*10%</f>
        <v>0</v>
      </c>
      <c r="AA165" s="21">
        <f t="shared" si="120"/>
        <v>0</v>
      </c>
      <c r="AC165" s="9"/>
      <c r="AD165" s="9" t="str">
        <f t="shared" si="121"/>
        <v>8.3</v>
      </c>
      <c r="AE165" s="27">
        <f t="shared" si="122"/>
        <v>0</v>
      </c>
      <c r="AF165" s="21">
        <f t="shared" si="123"/>
        <v>0</v>
      </c>
      <c r="AG165" s="21">
        <v>0</v>
      </c>
      <c r="AH165" s="21">
        <f t="shared" si="124"/>
        <v>0</v>
      </c>
      <c r="AI165" s="21">
        <f t="shared" si="125"/>
        <v>0</v>
      </c>
      <c r="AJ165" s="21">
        <f t="shared" si="126"/>
        <v>0</v>
      </c>
      <c r="AK165" s="9" t="s">
        <v>57</v>
      </c>
      <c r="AL165" s="9" t="s">
        <v>57</v>
      </c>
      <c r="AM165" s="22">
        <v>0</v>
      </c>
      <c r="AN165" s="23">
        <f t="shared" si="127"/>
        <v>0</v>
      </c>
      <c r="AO165" s="9"/>
      <c r="AP165" s="26">
        <v>0</v>
      </c>
      <c r="AQ165" s="9"/>
    </row>
    <row r="166" spans="2:43" ht="63" x14ac:dyDescent="0.25">
      <c r="B166" s="170" t="s">
        <v>214</v>
      </c>
      <c r="C166" s="108" t="s">
        <v>897</v>
      </c>
      <c r="D166" s="93" t="s">
        <v>87</v>
      </c>
      <c r="E166" s="92">
        <v>1</v>
      </c>
      <c r="F166" s="114">
        <v>1</v>
      </c>
      <c r="G166" s="91">
        <v>0</v>
      </c>
      <c r="H166" s="90">
        <f>E166*F166*G166</f>
        <v>0</v>
      </c>
      <c r="I166" s="171"/>
      <c r="J166" s="84"/>
      <c r="K166" s="100">
        <v>0</v>
      </c>
      <c r="L166" s="88">
        <f>H166</f>
        <v>0</v>
      </c>
      <c r="M166" s="8"/>
      <c r="N166" s="29"/>
      <c r="O166" s="8"/>
      <c r="P166" s="220"/>
      <c r="Q166" s="220"/>
      <c r="R166" s="220"/>
      <c r="S166" s="8"/>
      <c r="T166" s="20"/>
      <c r="U166" s="21">
        <v>0</v>
      </c>
      <c r="V166" s="21">
        <v>0</v>
      </c>
      <c r="W166" s="21">
        <f t="shared" si="118"/>
        <v>0</v>
      </c>
      <c r="X166" s="22">
        <v>1</v>
      </c>
      <c r="Y166" s="23">
        <f t="shared" si="119"/>
        <v>0</v>
      </c>
      <c r="Z166" s="234">
        <f t="shared" ref="Z166:Z167" si="128">U166*0%</f>
        <v>0</v>
      </c>
      <c r="AA166" s="21">
        <f t="shared" si="120"/>
        <v>0</v>
      </c>
      <c r="AC166" s="9"/>
      <c r="AD166" s="9" t="str">
        <f t="shared" si="121"/>
        <v>8.4</v>
      </c>
      <c r="AE166" s="27">
        <f t="shared" si="122"/>
        <v>0</v>
      </c>
      <c r="AF166" s="21">
        <f t="shared" si="123"/>
        <v>0</v>
      </c>
      <c r="AG166" s="21">
        <v>0</v>
      </c>
      <c r="AH166" s="21">
        <f t="shared" si="124"/>
        <v>0</v>
      </c>
      <c r="AI166" s="21">
        <f t="shared" si="125"/>
        <v>0</v>
      </c>
      <c r="AJ166" s="21">
        <f t="shared" si="126"/>
        <v>0</v>
      </c>
      <c r="AK166" s="9" t="s">
        <v>57</v>
      </c>
      <c r="AL166" s="9" t="s">
        <v>57</v>
      </c>
      <c r="AM166" s="22">
        <v>0</v>
      </c>
      <c r="AN166" s="23">
        <f t="shared" si="127"/>
        <v>0</v>
      </c>
      <c r="AO166" s="9"/>
      <c r="AP166" s="26">
        <v>0</v>
      </c>
      <c r="AQ166" s="9"/>
    </row>
    <row r="167" spans="2:43" ht="63" x14ac:dyDescent="0.25">
      <c r="B167" s="170" t="s">
        <v>213</v>
      </c>
      <c r="C167" s="96" t="s">
        <v>898</v>
      </c>
      <c r="D167" s="93" t="s">
        <v>87</v>
      </c>
      <c r="E167" s="92">
        <v>1</v>
      </c>
      <c r="F167" s="114">
        <v>1</v>
      </c>
      <c r="G167" s="91">
        <v>0</v>
      </c>
      <c r="H167" s="90">
        <f>E167*F167*G167</f>
        <v>0</v>
      </c>
      <c r="I167" s="171"/>
      <c r="J167" s="84"/>
      <c r="K167" s="100">
        <v>0</v>
      </c>
      <c r="L167" s="88">
        <f>H167</f>
        <v>0</v>
      </c>
      <c r="M167" s="8"/>
      <c r="N167" s="29"/>
      <c r="O167" s="8"/>
      <c r="P167" s="220"/>
      <c r="Q167" s="220"/>
      <c r="R167" s="220"/>
      <c r="S167" s="8"/>
      <c r="T167" s="20"/>
      <c r="U167" s="21">
        <v>0</v>
      </c>
      <c r="V167" s="21">
        <v>0</v>
      </c>
      <c r="W167" s="21">
        <f t="shared" si="118"/>
        <v>0</v>
      </c>
      <c r="X167" s="22">
        <v>1</v>
      </c>
      <c r="Y167" s="23">
        <f t="shared" si="119"/>
        <v>0</v>
      </c>
      <c r="Z167" s="234">
        <f t="shared" si="128"/>
        <v>0</v>
      </c>
      <c r="AA167" s="21">
        <f t="shared" si="120"/>
        <v>0</v>
      </c>
      <c r="AC167" s="9"/>
      <c r="AD167" s="9" t="str">
        <f t="shared" si="121"/>
        <v>8.5</v>
      </c>
      <c r="AE167" s="27">
        <f t="shared" si="122"/>
        <v>0</v>
      </c>
      <c r="AF167" s="21">
        <f t="shared" si="123"/>
        <v>0</v>
      </c>
      <c r="AG167" s="21">
        <v>0</v>
      </c>
      <c r="AH167" s="21">
        <f t="shared" si="124"/>
        <v>0</v>
      </c>
      <c r="AI167" s="21">
        <f t="shared" si="125"/>
        <v>0</v>
      </c>
      <c r="AJ167" s="21">
        <f t="shared" si="126"/>
        <v>0</v>
      </c>
      <c r="AK167" s="9" t="s">
        <v>57</v>
      </c>
      <c r="AL167" s="9" t="s">
        <v>57</v>
      </c>
      <c r="AM167" s="22">
        <v>0</v>
      </c>
      <c r="AN167" s="23">
        <f t="shared" si="127"/>
        <v>0</v>
      </c>
      <c r="AO167" s="9"/>
      <c r="AP167" s="26">
        <v>0</v>
      </c>
      <c r="AQ167" s="9"/>
    </row>
    <row r="168" spans="2:43" x14ac:dyDescent="0.25">
      <c r="B168" s="173"/>
      <c r="C168" s="121" t="s">
        <v>170</v>
      </c>
      <c r="D168" s="120"/>
      <c r="E168" s="119"/>
      <c r="F168" s="119"/>
      <c r="G168" s="118"/>
      <c r="H168" s="115"/>
      <c r="I168" s="171"/>
      <c r="J168" s="84"/>
      <c r="K168" s="117"/>
      <c r="L168" s="116"/>
      <c r="M168" s="8"/>
      <c r="N168" s="29"/>
      <c r="O168" s="8"/>
      <c r="P168" s="190"/>
      <c r="Q168" s="190"/>
      <c r="R168" s="190"/>
      <c r="S168" s="8"/>
      <c r="T168" s="190"/>
      <c r="U168" s="190"/>
      <c r="V168" s="190"/>
      <c r="W168" s="190"/>
      <c r="X168" s="190"/>
      <c r="Y168" s="190"/>
      <c r="Z168" s="190"/>
      <c r="AA168" s="190"/>
      <c r="AC168" s="190"/>
      <c r="AD168" s="190"/>
      <c r="AE168" s="190"/>
      <c r="AF168" s="190"/>
      <c r="AG168" s="190"/>
      <c r="AH168" s="190"/>
      <c r="AI168" s="190"/>
      <c r="AJ168" s="190"/>
      <c r="AK168" s="190"/>
      <c r="AL168" s="190"/>
      <c r="AM168" s="190"/>
      <c r="AN168" s="190"/>
      <c r="AO168" s="190"/>
      <c r="AP168" s="190"/>
      <c r="AQ168" s="190"/>
    </row>
    <row r="169" spans="2:43" ht="94.5" x14ac:dyDescent="0.25">
      <c r="B169" s="170" t="s">
        <v>212</v>
      </c>
      <c r="C169" s="96" t="s">
        <v>899</v>
      </c>
      <c r="D169" s="93" t="s">
        <v>87</v>
      </c>
      <c r="E169" s="92">
        <v>1</v>
      </c>
      <c r="F169" s="114">
        <v>1</v>
      </c>
      <c r="G169" s="91">
        <v>0</v>
      </c>
      <c r="H169" s="90">
        <f>E169*F169*G169</f>
        <v>0</v>
      </c>
      <c r="I169" s="171"/>
      <c r="J169" s="84"/>
      <c r="K169" s="100">
        <f>H169</f>
        <v>0</v>
      </c>
      <c r="L169" s="88">
        <v>0</v>
      </c>
      <c r="M169" s="8"/>
      <c r="N169" s="29"/>
      <c r="O169" s="8"/>
      <c r="P169" s="220"/>
      <c r="Q169" s="220"/>
      <c r="R169" s="220"/>
      <c r="S169" s="8"/>
      <c r="T169" s="20"/>
      <c r="U169" s="21">
        <v>0</v>
      </c>
      <c r="V169" s="21">
        <v>0</v>
      </c>
      <c r="W169" s="21">
        <f t="shared" si="118"/>
        <v>0</v>
      </c>
      <c r="X169" s="22">
        <v>1</v>
      </c>
      <c r="Y169" s="23">
        <f t="shared" si="119"/>
        <v>0</v>
      </c>
      <c r="Z169" s="234">
        <f>U169*0%</f>
        <v>0</v>
      </c>
      <c r="AA169" s="21">
        <f t="shared" si="120"/>
        <v>0</v>
      </c>
      <c r="AC169" s="9"/>
      <c r="AD169" s="9" t="str">
        <f t="shared" ref="AD169:AD170" si="129">B169</f>
        <v>8.6</v>
      </c>
      <c r="AE169" s="27">
        <f t="shared" ref="AE169:AE170" si="130">T169</f>
        <v>0</v>
      </c>
      <c r="AF169" s="21">
        <f t="shared" ref="AF169:AF170" si="131">U169</f>
        <v>0</v>
      </c>
      <c r="AG169" s="21">
        <v>0</v>
      </c>
      <c r="AH169" s="21">
        <f t="shared" ref="AH169:AH170" si="132">H169-AF169</f>
        <v>0</v>
      </c>
      <c r="AI169" s="21">
        <f t="shared" ref="AI169:AI170" si="133">AF169*10%</f>
        <v>0</v>
      </c>
      <c r="AJ169" s="21">
        <f t="shared" ref="AJ169:AJ170" si="134">AN169+AI169</f>
        <v>0</v>
      </c>
      <c r="AK169" s="9" t="s">
        <v>57</v>
      </c>
      <c r="AL169" s="9" t="s">
        <v>57</v>
      </c>
      <c r="AM169" s="22">
        <v>0</v>
      </c>
      <c r="AN169" s="23">
        <f t="shared" ref="AN169:AN170" si="135">(AH169-(AH169*AM169))</f>
        <v>0</v>
      </c>
      <c r="AO169" s="9"/>
      <c r="AP169" s="26">
        <v>0</v>
      </c>
      <c r="AQ169" s="9"/>
    </row>
    <row r="170" spans="2:43" ht="78.75" x14ac:dyDescent="0.25">
      <c r="B170" s="170" t="s">
        <v>211</v>
      </c>
      <c r="C170" s="96" t="s">
        <v>900</v>
      </c>
      <c r="D170" s="93" t="s">
        <v>87</v>
      </c>
      <c r="E170" s="92">
        <v>1</v>
      </c>
      <c r="F170" s="114">
        <v>1</v>
      </c>
      <c r="G170" s="91">
        <v>0</v>
      </c>
      <c r="H170" s="90">
        <f>E170*F170*G170</f>
        <v>0</v>
      </c>
      <c r="I170" s="171"/>
      <c r="J170" s="84"/>
      <c r="K170" s="100">
        <f>H170</f>
        <v>0</v>
      </c>
      <c r="L170" s="88">
        <v>0</v>
      </c>
      <c r="M170" s="8"/>
      <c r="N170" s="29"/>
      <c r="O170" s="8"/>
      <c r="P170" s="220"/>
      <c r="Q170" s="220"/>
      <c r="R170" s="220"/>
      <c r="S170" s="8"/>
      <c r="T170" s="20"/>
      <c r="U170" s="21">
        <v>0</v>
      </c>
      <c r="V170" s="21">
        <v>0</v>
      </c>
      <c r="W170" s="21">
        <f t="shared" si="118"/>
        <v>0</v>
      </c>
      <c r="X170" s="22">
        <v>1</v>
      </c>
      <c r="Y170" s="23">
        <f t="shared" si="119"/>
        <v>0</v>
      </c>
      <c r="Z170" s="21">
        <f>U170*10%</f>
        <v>0</v>
      </c>
      <c r="AA170" s="21">
        <f t="shared" si="120"/>
        <v>0</v>
      </c>
      <c r="AC170" s="9"/>
      <c r="AD170" s="9" t="str">
        <f t="shared" si="129"/>
        <v>8.7</v>
      </c>
      <c r="AE170" s="27">
        <f t="shared" si="130"/>
        <v>0</v>
      </c>
      <c r="AF170" s="21">
        <f t="shared" si="131"/>
        <v>0</v>
      </c>
      <c r="AG170" s="21">
        <v>0</v>
      </c>
      <c r="AH170" s="21">
        <f t="shared" si="132"/>
        <v>0</v>
      </c>
      <c r="AI170" s="21">
        <f t="shared" si="133"/>
        <v>0</v>
      </c>
      <c r="AJ170" s="21">
        <f t="shared" si="134"/>
        <v>0</v>
      </c>
      <c r="AK170" s="9" t="s">
        <v>57</v>
      </c>
      <c r="AL170" s="9" t="s">
        <v>57</v>
      </c>
      <c r="AM170" s="22">
        <v>0</v>
      </c>
      <c r="AN170" s="23">
        <f t="shared" si="135"/>
        <v>0</v>
      </c>
      <c r="AO170" s="9"/>
      <c r="AP170" s="26">
        <v>0</v>
      </c>
      <c r="AQ170" s="9"/>
    </row>
    <row r="171" spans="2:43" x14ac:dyDescent="0.25">
      <c r="B171" s="173"/>
      <c r="C171" s="121" t="s">
        <v>169</v>
      </c>
      <c r="D171" s="120"/>
      <c r="E171" s="119"/>
      <c r="F171" s="119"/>
      <c r="G171" s="118"/>
      <c r="H171" s="115"/>
      <c r="I171" s="174"/>
      <c r="J171" s="84"/>
      <c r="K171" s="117"/>
      <c r="L171" s="116"/>
      <c r="M171" s="8"/>
      <c r="N171" s="29"/>
      <c r="O171" s="8"/>
      <c r="P171" s="190"/>
      <c r="Q171" s="190"/>
      <c r="R171" s="190"/>
      <c r="S171" s="8"/>
      <c r="T171" s="190"/>
      <c r="U171" s="190"/>
      <c r="V171" s="190"/>
      <c r="W171" s="190"/>
      <c r="X171" s="190"/>
      <c r="Y171" s="190"/>
      <c r="Z171" s="190"/>
      <c r="AA171" s="190"/>
      <c r="AC171" s="190"/>
      <c r="AD171" s="190"/>
      <c r="AE171" s="190"/>
      <c r="AF171" s="190"/>
      <c r="AG171" s="190"/>
      <c r="AH171" s="190"/>
      <c r="AI171" s="190"/>
      <c r="AJ171" s="190"/>
      <c r="AK171" s="190"/>
      <c r="AL171" s="190"/>
      <c r="AM171" s="190"/>
      <c r="AN171" s="190"/>
      <c r="AO171" s="190"/>
      <c r="AP171" s="190"/>
      <c r="AQ171" s="190"/>
    </row>
    <row r="172" spans="2:43" ht="94.5" x14ac:dyDescent="0.25">
      <c r="B172" s="170" t="s">
        <v>210</v>
      </c>
      <c r="C172" s="96" t="s">
        <v>901</v>
      </c>
      <c r="D172" s="93" t="s">
        <v>87</v>
      </c>
      <c r="E172" s="92">
        <v>1</v>
      </c>
      <c r="F172" s="114">
        <v>1</v>
      </c>
      <c r="G172" s="91">
        <v>0</v>
      </c>
      <c r="H172" s="90">
        <f>E172*F172*G172</f>
        <v>0</v>
      </c>
      <c r="I172" s="171"/>
      <c r="J172" s="84"/>
      <c r="K172" s="100">
        <f>H172</f>
        <v>0</v>
      </c>
      <c r="L172" s="88">
        <v>0</v>
      </c>
      <c r="M172" s="8"/>
      <c r="N172" s="29"/>
      <c r="O172" s="8"/>
      <c r="P172" s="220"/>
      <c r="Q172" s="220"/>
      <c r="R172" s="220"/>
      <c r="S172" s="8"/>
      <c r="T172" s="20"/>
      <c r="U172" s="21">
        <v>0</v>
      </c>
      <c r="V172" s="21">
        <v>0</v>
      </c>
      <c r="W172" s="21">
        <f t="shared" si="118"/>
        <v>0</v>
      </c>
      <c r="X172" s="22">
        <v>1</v>
      </c>
      <c r="Y172" s="23">
        <f t="shared" si="119"/>
        <v>0</v>
      </c>
      <c r="Z172" s="234">
        <f>U172*0%</f>
        <v>0</v>
      </c>
      <c r="AA172" s="21">
        <f t="shared" si="120"/>
        <v>0</v>
      </c>
      <c r="AC172" s="9"/>
      <c r="AD172" s="9" t="str">
        <f t="shared" ref="AD172:AD173" si="136">B172</f>
        <v>8.8</v>
      </c>
      <c r="AE172" s="27">
        <f t="shared" ref="AE172:AE173" si="137">T172</f>
        <v>0</v>
      </c>
      <c r="AF172" s="21">
        <f t="shared" ref="AF172:AF173" si="138">U172</f>
        <v>0</v>
      </c>
      <c r="AG172" s="21">
        <v>0</v>
      </c>
      <c r="AH172" s="21">
        <f t="shared" ref="AH172:AH173" si="139">H172-AF172</f>
        <v>0</v>
      </c>
      <c r="AI172" s="21">
        <f t="shared" ref="AI172:AI173" si="140">AF172*10%</f>
        <v>0</v>
      </c>
      <c r="AJ172" s="21">
        <f t="shared" ref="AJ172:AJ173" si="141">AN172+AI172</f>
        <v>0</v>
      </c>
      <c r="AK172" s="9" t="s">
        <v>57</v>
      </c>
      <c r="AL172" s="9" t="s">
        <v>57</v>
      </c>
      <c r="AM172" s="22">
        <v>0</v>
      </c>
      <c r="AN172" s="23">
        <f t="shared" ref="AN172:AN173" si="142">(AH172-(AH172*AM172))</f>
        <v>0</v>
      </c>
      <c r="AO172" s="9"/>
      <c r="AP172" s="26">
        <v>0</v>
      </c>
      <c r="AQ172" s="9"/>
    </row>
    <row r="173" spans="2:43" ht="78.75" x14ac:dyDescent="0.25">
      <c r="B173" s="170" t="s">
        <v>209</v>
      </c>
      <c r="C173" s="96" t="s">
        <v>900</v>
      </c>
      <c r="D173" s="93" t="s">
        <v>87</v>
      </c>
      <c r="E173" s="92">
        <v>1</v>
      </c>
      <c r="F173" s="114">
        <v>1</v>
      </c>
      <c r="G173" s="91">
        <v>0</v>
      </c>
      <c r="H173" s="90">
        <f>E173*F173*G173</f>
        <v>0</v>
      </c>
      <c r="I173" s="171"/>
      <c r="J173" s="84"/>
      <c r="K173" s="100">
        <v>0</v>
      </c>
      <c r="L173" s="88">
        <v>0</v>
      </c>
      <c r="M173" s="8"/>
      <c r="N173" s="29"/>
      <c r="O173" s="8"/>
      <c r="P173" s="220"/>
      <c r="Q173" s="220"/>
      <c r="R173" s="220"/>
      <c r="S173" s="8"/>
      <c r="T173" s="20"/>
      <c r="U173" s="21">
        <v>0</v>
      </c>
      <c r="V173" s="21">
        <v>0</v>
      </c>
      <c r="W173" s="21">
        <f t="shared" si="118"/>
        <v>0</v>
      </c>
      <c r="X173" s="22">
        <v>1</v>
      </c>
      <c r="Y173" s="23">
        <f t="shared" si="119"/>
        <v>0</v>
      </c>
      <c r="Z173" s="21">
        <f>U173*10%</f>
        <v>0</v>
      </c>
      <c r="AA173" s="21">
        <f t="shared" si="120"/>
        <v>0</v>
      </c>
      <c r="AC173" s="9"/>
      <c r="AD173" s="9" t="str">
        <f t="shared" si="136"/>
        <v>8.9</v>
      </c>
      <c r="AE173" s="27">
        <f t="shared" si="137"/>
        <v>0</v>
      </c>
      <c r="AF173" s="21">
        <f t="shared" si="138"/>
        <v>0</v>
      </c>
      <c r="AG173" s="21">
        <v>0</v>
      </c>
      <c r="AH173" s="21">
        <f t="shared" si="139"/>
        <v>0</v>
      </c>
      <c r="AI173" s="21">
        <f t="shared" si="140"/>
        <v>0</v>
      </c>
      <c r="AJ173" s="21">
        <f t="shared" si="141"/>
        <v>0</v>
      </c>
      <c r="AK173" s="9" t="s">
        <v>57</v>
      </c>
      <c r="AL173" s="9" t="s">
        <v>57</v>
      </c>
      <c r="AM173" s="22">
        <v>0</v>
      </c>
      <c r="AN173" s="23">
        <f t="shared" si="142"/>
        <v>0</v>
      </c>
      <c r="AO173" s="9"/>
      <c r="AP173" s="26">
        <v>0</v>
      </c>
      <c r="AQ173" s="9"/>
    </row>
    <row r="174" spans="2:43" x14ac:dyDescent="0.25">
      <c r="B174" s="173"/>
      <c r="C174" s="121" t="s">
        <v>168</v>
      </c>
      <c r="D174" s="120"/>
      <c r="E174" s="119"/>
      <c r="F174" s="119"/>
      <c r="G174" s="118"/>
      <c r="H174" s="115"/>
      <c r="I174" s="174"/>
      <c r="J174" s="84"/>
      <c r="K174" s="117"/>
      <c r="L174" s="116"/>
      <c r="M174" s="8"/>
      <c r="N174" s="29"/>
      <c r="O174" s="8"/>
      <c r="P174" s="190"/>
      <c r="Q174" s="190"/>
      <c r="R174" s="190"/>
      <c r="S174" s="8"/>
      <c r="T174" s="190"/>
      <c r="U174" s="190"/>
      <c r="V174" s="190"/>
      <c r="W174" s="190"/>
      <c r="X174" s="190"/>
      <c r="Y174" s="190"/>
      <c r="Z174" s="190"/>
      <c r="AA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</row>
    <row r="175" spans="2:43" ht="94.5" x14ac:dyDescent="0.25">
      <c r="B175" s="170" t="s">
        <v>208</v>
      </c>
      <c r="C175" s="108" t="s">
        <v>902</v>
      </c>
      <c r="D175" s="93" t="s">
        <v>87</v>
      </c>
      <c r="E175" s="92">
        <v>1</v>
      </c>
      <c r="F175" s="114">
        <v>1</v>
      </c>
      <c r="G175" s="91">
        <v>0</v>
      </c>
      <c r="H175" s="90">
        <f>E175*F175*G175</f>
        <v>0</v>
      </c>
      <c r="I175" s="171"/>
      <c r="J175" s="84"/>
      <c r="K175" s="100">
        <v>0</v>
      </c>
      <c r="L175" s="88">
        <v>0</v>
      </c>
      <c r="M175" s="8"/>
      <c r="N175" s="29"/>
      <c r="O175" s="8"/>
      <c r="P175" s="220"/>
      <c r="Q175" s="220"/>
      <c r="R175" s="220"/>
      <c r="S175" s="8"/>
      <c r="T175" s="20"/>
      <c r="U175" s="21">
        <v>0</v>
      </c>
      <c r="V175" s="21">
        <v>0</v>
      </c>
      <c r="W175" s="21">
        <f t="shared" si="118"/>
        <v>0</v>
      </c>
      <c r="X175" s="22">
        <v>1</v>
      </c>
      <c r="Y175" s="23">
        <f t="shared" si="119"/>
        <v>0</v>
      </c>
      <c r="Z175" s="234">
        <f>U175*0%</f>
        <v>0</v>
      </c>
      <c r="AA175" s="21">
        <f t="shared" si="120"/>
        <v>0</v>
      </c>
      <c r="AC175" s="9"/>
      <c r="AD175" s="9" t="str">
        <f t="shared" ref="AD175:AD179" si="143">B175</f>
        <v>8.10</v>
      </c>
      <c r="AE175" s="27">
        <f t="shared" ref="AE175:AE179" si="144">T175</f>
        <v>0</v>
      </c>
      <c r="AF175" s="21">
        <f t="shared" ref="AF175:AF179" si="145">U175</f>
        <v>0</v>
      </c>
      <c r="AG175" s="21">
        <v>0</v>
      </c>
      <c r="AH175" s="21">
        <f t="shared" ref="AH175:AH179" si="146">H175-AF175</f>
        <v>0</v>
      </c>
      <c r="AI175" s="21">
        <f t="shared" ref="AI175:AI179" si="147">AF175*10%</f>
        <v>0</v>
      </c>
      <c r="AJ175" s="21">
        <f t="shared" ref="AJ175:AJ179" si="148">AN175+AI175</f>
        <v>0</v>
      </c>
      <c r="AK175" s="9" t="s">
        <v>57</v>
      </c>
      <c r="AL175" s="9" t="s">
        <v>57</v>
      </c>
      <c r="AM175" s="22">
        <v>0</v>
      </c>
      <c r="AN175" s="23">
        <f t="shared" ref="AN175:AN179" si="149">(AH175-(AH175*AM175))</f>
        <v>0</v>
      </c>
      <c r="AO175" s="9"/>
      <c r="AP175" s="26">
        <v>0</v>
      </c>
      <c r="AQ175" s="9"/>
    </row>
    <row r="176" spans="2:43" ht="78.75" x14ac:dyDescent="0.25">
      <c r="B176" s="170" t="s">
        <v>207</v>
      </c>
      <c r="C176" s="96" t="s">
        <v>900</v>
      </c>
      <c r="D176" s="93" t="s">
        <v>87</v>
      </c>
      <c r="E176" s="92">
        <v>1</v>
      </c>
      <c r="F176" s="114">
        <v>1</v>
      </c>
      <c r="G176" s="91">
        <v>0</v>
      </c>
      <c r="H176" s="90">
        <f>E176*F176*G176</f>
        <v>0</v>
      </c>
      <c r="I176" s="171"/>
      <c r="J176" s="84"/>
      <c r="K176" s="100">
        <v>0</v>
      </c>
      <c r="L176" s="88">
        <v>0</v>
      </c>
      <c r="M176" s="8"/>
      <c r="N176" s="29"/>
      <c r="O176" s="8"/>
      <c r="P176" s="220"/>
      <c r="Q176" s="220"/>
      <c r="R176" s="220"/>
      <c r="S176" s="8"/>
      <c r="T176" s="20"/>
      <c r="U176" s="21">
        <v>0</v>
      </c>
      <c r="V176" s="21">
        <v>0</v>
      </c>
      <c r="W176" s="21">
        <f t="shared" si="118"/>
        <v>0</v>
      </c>
      <c r="X176" s="22">
        <v>1</v>
      </c>
      <c r="Y176" s="23">
        <f t="shared" si="119"/>
        <v>0</v>
      </c>
      <c r="Z176" s="21">
        <f>U176*10%</f>
        <v>0</v>
      </c>
      <c r="AA176" s="21">
        <f t="shared" si="120"/>
        <v>0</v>
      </c>
      <c r="AC176" s="9"/>
      <c r="AD176" s="9" t="str">
        <f t="shared" si="143"/>
        <v>8.11</v>
      </c>
      <c r="AE176" s="27">
        <f t="shared" si="144"/>
        <v>0</v>
      </c>
      <c r="AF176" s="21">
        <f t="shared" si="145"/>
        <v>0</v>
      </c>
      <c r="AG176" s="21">
        <v>0</v>
      </c>
      <c r="AH176" s="21">
        <f t="shared" si="146"/>
        <v>0</v>
      </c>
      <c r="AI176" s="21">
        <f t="shared" si="147"/>
        <v>0</v>
      </c>
      <c r="AJ176" s="21">
        <f t="shared" si="148"/>
        <v>0</v>
      </c>
      <c r="AK176" s="9" t="s">
        <v>57</v>
      </c>
      <c r="AL176" s="9" t="s">
        <v>57</v>
      </c>
      <c r="AM176" s="22">
        <v>0</v>
      </c>
      <c r="AN176" s="23">
        <f t="shared" si="149"/>
        <v>0</v>
      </c>
      <c r="AO176" s="9"/>
      <c r="AP176" s="26">
        <v>0</v>
      </c>
      <c r="AQ176" s="9"/>
    </row>
    <row r="177" spans="2:43" ht="63" x14ac:dyDescent="0.25">
      <c r="B177" s="170" t="s">
        <v>206</v>
      </c>
      <c r="C177" s="108" t="s">
        <v>903</v>
      </c>
      <c r="D177" s="93" t="s">
        <v>87</v>
      </c>
      <c r="E177" s="92">
        <v>1</v>
      </c>
      <c r="F177" s="114">
        <v>1</v>
      </c>
      <c r="G177" s="91">
        <v>0</v>
      </c>
      <c r="H177" s="90">
        <f>E177*F177*G177</f>
        <v>0</v>
      </c>
      <c r="I177" s="171"/>
      <c r="J177" s="84"/>
      <c r="K177" s="100">
        <v>0</v>
      </c>
      <c r="L177" s="88">
        <v>0</v>
      </c>
      <c r="M177" s="8"/>
      <c r="N177" s="29"/>
      <c r="O177" s="8"/>
      <c r="P177" s="220"/>
      <c r="Q177" s="220"/>
      <c r="R177" s="220"/>
      <c r="S177" s="8"/>
      <c r="T177" s="20"/>
      <c r="U177" s="21">
        <v>0</v>
      </c>
      <c r="V177" s="21">
        <v>0</v>
      </c>
      <c r="W177" s="21">
        <f t="shared" si="118"/>
        <v>0</v>
      </c>
      <c r="X177" s="22">
        <v>1</v>
      </c>
      <c r="Y177" s="23">
        <f t="shared" si="119"/>
        <v>0</v>
      </c>
      <c r="Z177" s="21">
        <f>U177*10%</f>
        <v>0</v>
      </c>
      <c r="AA177" s="21">
        <f t="shared" si="120"/>
        <v>0</v>
      </c>
      <c r="AC177" s="9"/>
      <c r="AD177" s="9" t="str">
        <f t="shared" si="143"/>
        <v>8.12</v>
      </c>
      <c r="AE177" s="27">
        <f t="shared" si="144"/>
        <v>0</v>
      </c>
      <c r="AF177" s="21">
        <f t="shared" si="145"/>
        <v>0</v>
      </c>
      <c r="AG177" s="21">
        <v>0</v>
      </c>
      <c r="AH177" s="21">
        <f t="shared" si="146"/>
        <v>0</v>
      </c>
      <c r="AI177" s="21">
        <f t="shared" si="147"/>
        <v>0</v>
      </c>
      <c r="AJ177" s="21">
        <f t="shared" si="148"/>
        <v>0</v>
      </c>
      <c r="AK177" s="9" t="s">
        <v>57</v>
      </c>
      <c r="AL177" s="9" t="s">
        <v>57</v>
      </c>
      <c r="AM177" s="22">
        <v>0</v>
      </c>
      <c r="AN177" s="23">
        <f t="shared" si="149"/>
        <v>0</v>
      </c>
      <c r="AO177" s="9"/>
      <c r="AP177" s="26">
        <v>0</v>
      </c>
      <c r="AQ177" s="9"/>
    </row>
    <row r="178" spans="2:43" ht="63" x14ac:dyDescent="0.25">
      <c r="B178" s="170" t="s">
        <v>205</v>
      </c>
      <c r="C178" s="108" t="s">
        <v>904</v>
      </c>
      <c r="D178" s="93" t="s">
        <v>87</v>
      </c>
      <c r="E178" s="92">
        <v>1</v>
      </c>
      <c r="F178" s="114">
        <v>1</v>
      </c>
      <c r="G178" s="91">
        <v>0</v>
      </c>
      <c r="H178" s="90">
        <f>E178*F178*G178</f>
        <v>0</v>
      </c>
      <c r="I178" s="171"/>
      <c r="J178" s="84"/>
      <c r="K178" s="100">
        <v>0</v>
      </c>
      <c r="L178" s="88">
        <v>0</v>
      </c>
      <c r="M178" s="8"/>
      <c r="N178" s="29"/>
      <c r="O178" s="8"/>
      <c r="P178" s="220"/>
      <c r="Q178" s="220"/>
      <c r="R178" s="220"/>
      <c r="S178" s="8"/>
      <c r="T178" s="20"/>
      <c r="U178" s="21">
        <v>0</v>
      </c>
      <c r="V178" s="21">
        <v>0</v>
      </c>
      <c r="W178" s="21">
        <f t="shared" si="118"/>
        <v>0</v>
      </c>
      <c r="X178" s="22">
        <v>1</v>
      </c>
      <c r="Y178" s="23">
        <f t="shared" si="119"/>
        <v>0</v>
      </c>
      <c r="Z178" s="21">
        <f>U178*10%</f>
        <v>0</v>
      </c>
      <c r="AA178" s="21">
        <f t="shared" si="120"/>
        <v>0</v>
      </c>
      <c r="AC178" s="9"/>
      <c r="AD178" s="9" t="str">
        <f t="shared" si="143"/>
        <v>8.13</v>
      </c>
      <c r="AE178" s="27">
        <f t="shared" si="144"/>
        <v>0</v>
      </c>
      <c r="AF178" s="21">
        <f t="shared" si="145"/>
        <v>0</v>
      </c>
      <c r="AG178" s="21">
        <v>0</v>
      </c>
      <c r="AH178" s="21">
        <f t="shared" si="146"/>
        <v>0</v>
      </c>
      <c r="AI178" s="21">
        <f t="shared" si="147"/>
        <v>0</v>
      </c>
      <c r="AJ178" s="21">
        <f t="shared" si="148"/>
        <v>0</v>
      </c>
      <c r="AK178" s="9" t="s">
        <v>57</v>
      </c>
      <c r="AL178" s="9" t="s">
        <v>57</v>
      </c>
      <c r="AM178" s="22">
        <v>0</v>
      </c>
      <c r="AN178" s="23">
        <f t="shared" si="149"/>
        <v>0</v>
      </c>
      <c r="AO178" s="9"/>
      <c r="AP178" s="26">
        <v>0</v>
      </c>
      <c r="AQ178" s="9"/>
    </row>
    <row r="179" spans="2:43" ht="63" x14ac:dyDescent="0.25">
      <c r="B179" s="170" t="s">
        <v>204</v>
      </c>
      <c r="C179" s="108" t="s">
        <v>905</v>
      </c>
      <c r="D179" s="93" t="s">
        <v>87</v>
      </c>
      <c r="E179" s="92">
        <v>1</v>
      </c>
      <c r="F179" s="114">
        <v>1</v>
      </c>
      <c r="G179" s="91">
        <v>0</v>
      </c>
      <c r="H179" s="90">
        <f>E179*F179*G179</f>
        <v>0</v>
      </c>
      <c r="I179" s="171"/>
      <c r="J179" s="84"/>
      <c r="K179" s="100">
        <v>0</v>
      </c>
      <c r="L179" s="88">
        <v>0</v>
      </c>
      <c r="M179" s="8"/>
      <c r="N179" s="29"/>
      <c r="O179" s="8"/>
      <c r="P179" s="220"/>
      <c r="Q179" s="220"/>
      <c r="R179" s="220"/>
      <c r="S179" s="8"/>
      <c r="T179" s="20"/>
      <c r="U179" s="21">
        <v>0</v>
      </c>
      <c r="V179" s="21">
        <v>0</v>
      </c>
      <c r="W179" s="21">
        <f t="shared" si="118"/>
        <v>0</v>
      </c>
      <c r="X179" s="22">
        <v>1</v>
      </c>
      <c r="Y179" s="23">
        <f t="shared" si="119"/>
        <v>0</v>
      </c>
      <c r="Z179" s="21">
        <f>U179*10%</f>
        <v>0</v>
      </c>
      <c r="AA179" s="21">
        <f t="shared" si="120"/>
        <v>0</v>
      </c>
      <c r="AC179" s="9"/>
      <c r="AD179" s="9" t="str">
        <f t="shared" si="143"/>
        <v>8.14</v>
      </c>
      <c r="AE179" s="27">
        <f t="shared" si="144"/>
        <v>0</v>
      </c>
      <c r="AF179" s="21">
        <f t="shared" si="145"/>
        <v>0</v>
      </c>
      <c r="AG179" s="21">
        <v>0</v>
      </c>
      <c r="AH179" s="21">
        <f t="shared" si="146"/>
        <v>0</v>
      </c>
      <c r="AI179" s="21">
        <f t="shared" si="147"/>
        <v>0</v>
      </c>
      <c r="AJ179" s="21">
        <f t="shared" si="148"/>
        <v>0</v>
      </c>
      <c r="AK179" s="9" t="s">
        <v>57</v>
      </c>
      <c r="AL179" s="9" t="s">
        <v>57</v>
      </c>
      <c r="AM179" s="22">
        <v>0</v>
      </c>
      <c r="AN179" s="23">
        <f t="shared" si="149"/>
        <v>0</v>
      </c>
      <c r="AO179" s="9"/>
      <c r="AP179" s="26">
        <v>0</v>
      </c>
      <c r="AQ179" s="9"/>
    </row>
    <row r="180" spans="2:43" x14ac:dyDescent="0.25">
      <c r="B180" s="173"/>
      <c r="C180" s="121" t="s">
        <v>167</v>
      </c>
      <c r="D180" s="120"/>
      <c r="E180" s="119"/>
      <c r="F180" s="119"/>
      <c r="G180" s="118"/>
      <c r="H180" s="115"/>
      <c r="I180" s="174"/>
      <c r="J180" s="84"/>
      <c r="K180" s="117"/>
      <c r="L180" s="116"/>
      <c r="M180" s="8"/>
      <c r="N180" s="29"/>
      <c r="O180" s="8"/>
      <c r="P180" s="190"/>
      <c r="Q180" s="190"/>
      <c r="R180" s="190"/>
      <c r="S180" s="8"/>
      <c r="T180" s="190"/>
      <c r="U180" s="190"/>
      <c r="V180" s="190"/>
      <c r="W180" s="190"/>
      <c r="X180" s="190"/>
      <c r="Y180" s="190"/>
      <c r="Z180" s="190"/>
      <c r="AA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</row>
    <row r="181" spans="2:43" ht="94.5" x14ac:dyDescent="0.25">
      <c r="B181" s="170" t="s">
        <v>203</v>
      </c>
      <c r="C181" s="108" t="s">
        <v>906</v>
      </c>
      <c r="D181" s="93" t="s">
        <v>87</v>
      </c>
      <c r="E181" s="92">
        <v>1</v>
      </c>
      <c r="F181" s="114">
        <v>1</v>
      </c>
      <c r="G181" s="91">
        <v>0</v>
      </c>
      <c r="H181" s="90">
        <f t="shared" ref="H181:H185" si="150">E181*F181*G181</f>
        <v>0</v>
      </c>
      <c r="I181" s="171"/>
      <c r="J181" s="84"/>
      <c r="K181" s="100">
        <v>0</v>
      </c>
      <c r="L181" s="88">
        <v>0</v>
      </c>
      <c r="M181" s="8"/>
      <c r="N181" s="29"/>
      <c r="O181" s="8"/>
      <c r="P181" s="220"/>
      <c r="Q181" s="220"/>
      <c r="R181" s="220"/>
      <c r="S181" s="8"/>
      <c r="T181" s="20"/>
      <c r="U181" s="21">
        <v>0</v>
      </c>
      <c r="V181" s="21">
        <v>0</v>
      </c>
      <c r="W181" s="21">
        <f t="shared" si="118"/>
        <v>0</v>
      </c>
      <c r="X181" s="22">
        <v>1</v>
      </c>
      <c r="Y181" s="23">
        <f t="shared" si="119"/>
        <v>0</v>
      </c>
      <c r="Z181" s="234">
        <f>U181*0%</f>
        <v>0</v>
      </c>
      <c r="AA181" s="21">
        <f t="shared" si="120"/>
        <v>0</v>
      </c>
      <c r="AC181" s="9"/>
      <c r="AD181" s="9" t="str">
        <f t="shared" ref="AD181:AD185" si="151">B181</f>
        <v>8.15</v>
      </c>
      <c r="AE181" s="27">
        <f t="shared" ref="AE181:AE185" si="152">T181</f>
        <v>0</v>
      </c>
      <c r="AF181" s="21">
        <f t="shared" ref="AF181:AF185" si="153">U181</f>
        <v>0</v>
      </c>
      <c r="AG181" s="21">
        <v>0</v>
      </c>
      <c r="AH181" s="21">
        <f t="shared" ref="AH181:AH185" si="154">H181-AF181</f>
        <v>0</v>
      </c>
      <c r="AI181" s="21">
        <f t="shared" ref="AI181:AI185" si="155">AF181*10%</f>
        <v>0</v>
      </c>
      <c r="AJ181" s="21">
        <f t="shared" ref="AJ181:AJ185" si="156">AN181+AI181</f>
        <v>0</v>
      </c>
      <c r="AK181" s="9" t="s">
        <v>57</v>
      </c>
      <c r="AL181" s="9" t="s">
        <v>57</v>
      </c>
      <c r="AM181" s="22">
        <v>0</v>
      </c>
      <c r="AN181" s="23">
        <f t="shared" ref="AN181:AN185" si="157">(AH181-(AH181*AM181))</f>
        <v>0</v>
      </c>
      <c r="AO181" s="9"/>
      <c r="AP181" s="26">
        <v>0</v>
      </c>
      <c r="AQ181" s="9"/>
    </row>
    <row r="182" spans="2:43" ht="78.75" x14ac:dyDescent="0.25">
      <c r="B182" s="170" t="s">
        <v>202</v>
      </c>
      <c r="C182" s="96" t="s">
        <v>900</v>
      </c>
      <c r="D182" s="93" t="s">
        <v>87</v>
      </c>
      <c r="E182" s="92">
        <v>1</v>
      </c>
      <c r="F182" s="114">
        <v>1</v>
      </c>
      <c r="G182" s="91">
        <v>0</v>
      </c>
      <c r="H182" s="90">
        <f t="shared" si="150"/>
        <v>0</v>
      </c>
      <c r="I182" s="171"/>
      <c r="J182" s="84"/>
      <c r="K182" s="100">
        <v>0</v>
      </c>
      <c r="L182" s="88">
        <v>0</v>
      </c>
      <c r="M182" s="8"/>
      <c r="N182" s="29"/>
      <c r="O182" s="8"/>
      <c r="P182" s="220"/>
      <c r="Q182" s="220"/>
      <c r="R182" s="220"/>
      <c r="S182" s="8"/>
      <c r="T182" s="20"/>
      <c r="U182" s="21">
        <v>0</v>
      </c>
      <c r="V182" s="21">
        <v>0</v>
      </c>
      <c r="W182" s="21">
        <f t="shared" si="118"/>
        <v>0</v>
      </c>
      <c r="X182" s="22">
        <v>1</v>
      </c>
      <c r="Y182" s="23">
        <f t="shared" si="119"/>
        <v>0</v>
      </c>
      <c r="Z182" s="21">
        <f>U182*10%</f>
        <v>0</v>
      </c>
      <c r="AA182" s="21">
        <f t="shared" si="120"/>
        <v>0</v>
      </c>
      <c r="AC182" s="9"/>
      <c r="AD182" s="9" t="str">
        <f t="shared" si="151"/>
        <v>8.16</v>
      </c>
      <c r="AE182" s="27">
        <f t="shared" si="152"/>
        <v>0</v>
      </c>
      <c r="AF182" s="21">
        <f t="shared" si="153"/>
        <v>0</v>
      </c>
      <c r="AG182" s="21">
        <v>0</v>
      </c>
      <c r="AH182" s="21">
        <f t="shared" si="154"/>
        <v>0</v>
      </c>
      <c r="AI182" s="21">
        <f t="shared" si="155"/>
        <v>0</v>
      </c>
      <c r="AJ182" s="21">
        <f t="shared" si="156"/>
        <v>0</v>
      </c>
      <c r="AK182" s="9" t="s">
        <v>57</v>
      </c>
      <c r="AL182" s="9" t="s">
        <v>57</v>
      </c>
      <c r="AM182" s="22">
        <v>0</v>
      </c>
      <c r="AN182" s="23">
        <f t="shared" si="157"/>
        <v>0</v>
      </c>
      <c r="AO182" s="9"/>
      <c r="AP182" s="26">
        <v>0</v>
      </c>
      <c r="AQ182" s="9"/>
    </row>
    <row r="183" spans="2:43" ht="63" x14ac:dyDescent="0.25">
      <c r="B183" s="170" t="s">
        <v>358</v>
      </c>
      <c r="C183" s="108" t="s">
        <v>903</v>
      </c>
      <c r="D183" s="93" t="s">
        <v>87</v>
      </c>
      <c r="E183" s="92">
        <v>1</v>
      </c>
      <c r="F183" s="114">
        <v>1</v>
      </c>
      <c r="G183" s="91">
        <v>0</v>
      </c>
      <c r="H183" s="90">
        <f t="shared" si="150"/>
        <v>0</v>
      </c>
      <c r="I183" s="171"/>
      <c r="J183" s="84"/>
      <c r="K183" s="100">
        <v>0</v>
      </c>
      <c r="L183" s="88">
        <v>0</v>
      </c>
      <c r="M183" s="8"/>
      <c r="N183" s="29"/>
      <c r="O183" s="8"/>
      <c r="P183" s="220"/>
      <c r="Q183" s="220"/>
      <c r="R183" s="220"/>
      <c r="S183" s="8"/>
      <c r="T183" s="20"/>
      <c r="U183" s="21">
        <v>0</v>
      </c>
      <c r="V183" s="21">
        <v>0</v>
      </c>
      <c r="W183" s="21">
        <f t="shared" si="118"/>
        <v>0</v>
      </c>
      <c r="X183" s="22">
        <v>1</v>
      </c>
      <c r="Y183" s="23">
        <f t="shared" si="119"/>
        <v>0</v>
      </c>
      <c r="Z183" s="21">
        <f>U183*10%</f>
        <v>0</v>
      </c>
      <c r="AA183" s="21">
        <f t="shared" si="120"/>
        <v>0</v>
      </c>
      <c r="AC183" s="9"/>
      <c r="AD183" s="9" t="str">
        <f t="shared" si="151"/>
        <v>8.17</v>
      </c>
      <c r="AE183" s="27">
        <f t="shared" si="152"/>
        <v>0</v>
      </c>
      <c r="AF183" s="21">
        <f t="shared" si="153"/>
        <v>0</v>
      </c>
      <c r="AG183" s="21">
        <v>0</v>
      </c>
      <c r="AH183" s="21">
        <f t="shared" si="154"/>
        <v>0</v>
      </c>
      <c r="AI183" s="21">
        <f t="shared" si="155"/>
        <v>0</v>
      </c>
      <c r="AJ183" s="21">
        <f t="shared" si="156"/>
        <v>0</v>
      </c>
      <c r="AK183" s="9" t="s">
        <v>57</v>
      </c>
      <c r="AL183" s="9" t="s">
        <v>57</v>
      </c>
      <c r="AM183" s="22">
        <v>0</v>
      </c>
      <c r="AN183" s="23">
        <f t="shared" si="157"/>
        <v>0</v>
      </c>
      <c r="AO183" s="9"/>
      <c r="AP183" s="26">
        <v>0</v>
      </c>
      <c r="AQ183" s="9"/>
    </row>
    <row r="184" spans="2:43" ht="63" x14ac:dyDescent="0.25">
      <c r="B184" s="170" t="s">
        <v>359</v>
      </c>
      <c r="C184" s="108" t="s">
        <v>904</v>
      </c>
      <c r="D184" s="93" t="s">
        <v>87</v>
      </c>
      <c r="E184" s="92">
        <v>1</v>
      </c>
      <c r="F184" s="114">
        <v>1</v>
      </c>
      <c r="G184" s="91">
        <v>0</v>
      </c>
      <c r="H184" s="90">
        <f t="shared" si="150"/>
        <v>0</v>
      </c>
      <c r="I184" s="171"/>
      <c r="J184" s="84"/>
      <c r="K184" s="100">
        <v>0</v>
      </c>
      <c r="L184" s="88">
        <v>0</v>
      </c>
      <c r="M184" s="8"/>
      <c r="N184" s="29"/>
      <c r="O184" s="8"/>
      <c r="P184" s="220"/>
      <c r="Q184" s="220"/>
      <c r="R184" s="220"/>
      <c r="S184" s="8"/>
      <c r="T184" s="20"/>
      <c r="U184" s="21">
        <v>0</v>
      </c>
      <c r="V184" s="21">
        <v>0</v>
      </c>
      <c r="W184" s="21">
        <f t="shared" si="118"/>
        <v>0</v>
      </c>
      <c r="X184" s="22">
        <v>1</v>
      </c>
      <c r="Y184" s="23">
        <f t="shared" si="119"/>
        <v>0</v>
      </c>
      <c r="Z184" s="21">
        <f>U184*10%</f>
        <v>0</v>
      </c>
      <c r="AA184" s="21">
        <f t="shared" si="120"/>
        <v>0</v>
      </c>
      <c r="AC184" s="9"/>
      <c r="AD184" s="9" t="str">
        <f t="shared" si="151"/>
        <v>8.18</v>
      </c>
      <c r="AE184" s="27">
        <f t="shared" si="152"/>
        <v>0</v>
      </c>
      <c r="AF184" s="21">
        <f t="shared" si="153"/>
        <v>0</v>
      </c>
      <c r="AG184" s="21">
        <v>0</v>
      </c>
      <c r="AH184" s="21">
        <f t="shared" si="154"/>
        <v>0</v>
      </c>
      <c r="AI184" s="21">
        <f t="shared" si="155"/>
        <v>0</v>
      </c>
      <c r="AJ184" s="21">
        <f t="shared" si="156"/>
        <v>0</v>
      </c>
      <c r="AK184" s="9" t="s">
        <v>57</v>
      </c>
      <c r="AL184" s="9" t="s">
        <v>57</v>
      </c>
      <c r="AM184" s="22">
        <v>0</v>
      </c>
      <c r="AN184" s="23">
        <f t="shared" si="157"/>
        <v>0</v>
      </c>
      <c r="AO184" s="9"/>
      <c r="AP184" s="26">
        <v>0</v>
      </c>
      <c r="AQ184" s="9"/>
    </row>
    <row r="185" spans="2:43" ht="63" x14ac:dyDescent="0.25">
      <c r="B185" s="170" t="s">
        <v>360</v>
      </c>
      <c r="C185" s="108" t="s">
        <v>905</v>
      </c>
      <c r="D185" s="93" t="s">
        <v>87</v>
      </c>
      <c r="E185" s="92">
        <v>1</v>
      </c>
      <c r="F185" s="114">
        <v>1</v>
      </c>
      <c r="G185" s="91">
        <v>0</v>
      </c>
      <c r="H185" s="90">
        <f t="shared" si="150"/>
        <v>0</v>
      </c>
      <c r="I185" s="171"/>
      <c r="J185" s="84"/>
      <c r="K185" s="100">
        <v>0</v>
      </c>
      <c r="L185" s="88">
        <v>0</v>
      </c>
      <c r="M185" s="8"/>
      <c r="N185" s="29"/>
      <c r="O185" s="8"/>
      <c r="P185" s="220"/>
      <c r="Q185" s="220"/>
      <c r="R185" s="220"/>
      <c r="S185" s="8"/>
      <c r="T185" s="20"/>
      <c r="U185" s="21">
        <v>0</v>
      </c>
      <c r="V185" s="21">
        <v>0</v>
      </c>
      <c r="W185" s="21">
        <f t="shared" si="118"/>
        <v>0</v>
      </c>
      <c r="X185" s="22">
        <v>1</v>
      </c>
      <c r="Y185" s="23">
        <f t="shared" si="119"/>
        <v>0</v>
      </c>
      <c r="Z185" s="21">
        <f>U185*10%</f>
        <v>0</v>
      </c>
      <c r="AA185" s="21">
        <f t="shared" si="120"/>
        <v>0</v>
      </c>
      <c r="AC185" s="9"/>
      <c r="AD185" s="9" t="str">
        <f t="shared" si="151"/>
        <v>8.19</v>
      </c>
      <c r="AE185" s="27">
        <f t="shared" si="152"/>
        <v>0</v>
      </c>
      <c r="AF185" s="21">
        <f t="shared" si="153"/>
        <v>0</v>
      </c>
      <c r="AG185" s="21">
        <v>0</v>
      </c>
      <c r="AH185" s="21">
        <f t="shared" si="154"/>
        <v>0</v>
      </c>
      <c r="AI185" s="21">
        <f t="shared" si="155"/>
        <v>0</v>
      </c>
      <c r="AJ185" s="21">
        <f t="shared" si="156"/>
        <v>0</v>
      </c>
      <c r="AK185" s="9" t="s">
        <v>57</v>
      </c>
      <c r="AL185" s="9" t="s">
        <v>57</v>
      </c>
      <c r="AM185" s="22">
        <v>0</v>
      </c>
      <c r="AN185" s="23">
        <f t="shared" si="157"/>
        <v>0</v>
      </c>
      <c r="AO185" s="9"/>
      <c r="AP185" s="26">
        <v>0</v>
      </c>
      <c r="AQ185" s="9"/>
    </row>
    <row r="186" spans="2:43" x14ac:dyDescent="0.25">
      <c r="B186" s="173"/>
      <c r="C186" s="121" t="s">
        <v>288</v>
      </c>
      <c r="D186" s="120"/>
      <c r="E186" s="119"/>
      <c r="F186" s="119"/>
      <c r="G186" s="118"/>
      <c r="H186" s="115"/>
      <c r="I186" s="174"/>
      <c r="J186" s="84"/>
      <c r="K186" s="117"/>
      <c r="L186" s="116"/>
      <c r="M186" s="8"/>
      <c r="N186" s="29"/>
      <c r="O186" s="8"/>
      <c r="P186" s="190"/>
      <c r="Q186" s="190"/>
      <c r="R186" s="190"/>
      <c r="S186" s="8"/>
      <c r="T186" s="190"/>
      <c r="U186" s="190"/>
      <c r="V186" s="190"/>
      <c r="W186" s="190"/>
      <c r="X186" s="190"/>
      <c r="Y186" s="190"/>
      <c r="Z186" s="190"/>
      <c r="AA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</row>
    <row r="187" spans="2:43" ht="63" x14ac:dyDescent="0.25">
      <c r="B187" s="170" t="s">
        <v>361</v>
      </c>
      <c r="C187" s="330" t="s">
        <v>907</v>
      </c>
      <c r="D187" s="93" t="s">
        <v>87</v>
      </c>
      <c r="E187" s="92">
        <v>1</v>
      </c>
      <c r="F187" s="114">
        <v>1</v>
      </c>
      <c r="G187" s="91">
        <v>0</v>
      </c>
      <c r="H187" s="90">
        <f t="shared" ref="H187" si="158">E187*F187*G187</f>
        <v>0</v>
      </c>
      <c r="I187" s="171"/>
      <c r="J187" s="84"/>
      <c r="K187" s="100">
        <v>0</v>
      </c>
      <c r="L187" s="88">
        <v>0</v>
      </c>
      <c r="M187" s="8"/>
      <c r="N187" s="29"/>
      <c r="O187" s="8"/>
      <c r="P187" s="220"/>
      <c r="Q187" s="220"/>
      <c r="R187" s="220"/>
      <c r="S187" s="8"/>
      <c r="T187" s="20"/>
      <c r="U187" s="21">
        <v>0</v>
      </c>
      <c r="V187" s="21">
        <v>0</v>
      </c>
      <c r="W187" s="21">
        <f t="shared" si="118"/>
        <v>0</v>
      </c>
      <c r="X187" s="22">
        <v>1</v>
      </c>
      <c r="Y187" s="23">
        <f t="shared" si="119"/>
        <v>0</v>
      </c>
      <c r="Z187" s="21">
        <f>U187*10%</f>
        <v>0</v>
      </c>
      <c r="AA187" s="21">
        <f t="shared" si="120"/>
        <v>0</v>
      </c>
      <c r="AC187" s="9"/>
      <c r="AD187" s="9" t="str">
        <f t="shared" ref="AD187:AD190" si="159">B187</f>
        <v>8.20</v>
      </c>
      <c r="AE187" s="27">
        <f t="shared" ref="AE187:AE190" si="160">T187</f>
        <v>0</v>
      </c>
      <c r="AF187" s="21">
        <f t="shared" ref="AF187:AF190" si="161">U187</f>
        <v>0</v>
      </c>
      <c r="AG187" s="21">
        <v>0</v>
      </c>
      <c r="AH187" s="21">
        <f t="shared" ref="AH187:AH190" si="162">H187-AF187</f>
        <v>0</v>
      </c>
      <c r="AI187" s="21">
        <f t="shared" ref="AI187:AI190" si="163">AF187*10%</f>
        <v>0</v>
      </c>
      <c r="AJ187" s="21">
        <f t="shared" ref="AJ187:AJ190" si="164">AN187+AI187</f>
        <v>0</v>
      </c>
      <c r="AK187" s="9" t="s">
        <v>57</v>
      </c>
      <c r="AL187" s="9" t="s">
        <v>57</v>
      </c>
      <c r="AM187" s="22">
        <v>0</v>
      </c>
      <c r="AN187" s="23">
        <f t="shared" ref="AN187:AN190" si="165">(AH187-(AH187*AM187))</f>
        <v>0</v>
      </c>
      <c r="AO187" s="9"/>
      <c r="AP187" s="26">
        <v>0</v>
      </c>
      <c r="AQ187" s="9"/>
    </row>
    <row r="188" spans="2:43" ht="63" x14ac:dyDescent="0.25">
      <c r="B188" s="170" t="s">
        <v>362</v>
      </c>
      <c r="C188" s="330" t="s">
        <v>908</v>
      </c>
      <c r="D188" s="93" t="s">
        <v>87</v>
      </c>
      <c r="E188" s="92">
        <v>1</v>
      </c>
      <c r="F188" s="114">
        <v>1</v>
      </c>
      <c r="G188" s="91">
        <v>0</v>
      </c>
      <c r="H188" s="90">
        <f t="shared" ref="H188:H190" si="166">E188*F188*G188</f>
        <v>0</v>
      </c>
      <c r="I188" s="171"/>
      <c r="J188" s="84"/>
      <c r="K188" s="100">
        <v>0</v>
      </c>
      <c r="L188" s="88">
        <v>0</v>
      </c>
      <c r="M188" s="8"/>
      <c r="N188" s="29"/>
      <c r="O188" s="8"/>
      <c r="P188" s="220"/>
      <c r="Q188" s="220"/>
      <c r="R188" s="220"/>
      <c r="S188" s="8"/>
      <c r="T188" s="20"/>
      <c r="U188" s="21">
        <v>0</v>
      </c>
      <c r="V188" s="21">
        <v>0</v>
      </c>
      <c r="W188" s="21">
        <f t="shared" si="118"/>
        <v>0</v>
      </c>
      <c r="X188" s="22">
        <v>1</v>
      </c>
      <c r="Y188" s="23">
        <f t="shared" si="119"/>
        <v>0</v>
      </c>
      <c r="Z188" s="21">
        <f>U188*10%</f>
        <v>0</v>
      </c>
      <c r="AA188" s="21">
        <f t="shared" si="120"/>
        <v>0</v>
      </c>
      <c r="AC188" s="9"/>
      <c r="AD188" s="9" t="str">
        <f t="shared" si="159"/>
        <v>8.21</v>
      </c>
      <c r="AE188" s="27">
        <f t="shared" si="160"/>
        <v>0</v>
      </c>
      <c r="AF188" s="21">
        <f t="shared" si="161"/>
        <v>0</v>
      </c>
      <c r="AG188" s="21">
        <v>0</v>
      </c>
      <c r="AH188" s="21">
        <f t="shared" si="162"/>
        <v>0</v>
      </c>
      <c r="AI188" s="21">
        <f t="shared" si="163"/>
        <v>0</v>
      </c>
      <c r="AJ188" s="21">
        <f t="shared" si="164"/>
        <v>0</v>
      </c>
      <c r="AK188" s="9" t="s">
        <v>57</v>
      </c>
      <c r="AL188" s="9" t="s">
        <v>57</v>
      </c>
      <c r="AM188" s="22">
        <v>0</v>
      </c>
      <c r="AN188" s="23">
        <f t="shared" si="165"/>
        <v>0</v>
      </c>
      <c r="AO188" s="9"/>
      <c r="AP188" s="26">
        <v>0</v>
      </c>
      <c r="AQ188" s="9"/>
    </row>
    <row r="189" spans="2:43" ht="63" x14ac:dyDescent="0.25">
      <c r="B189" s="170" t="s">
        <v>363</v>
      </c>
      <c r="C189" s="330" t="s">
        <v>909</v>
      </c>
      <c r="D189" s="93" t="s">
        <v>87</v>
      </c>
      <c r="E189" s="92">
        <v>1</v>
      </c>
      <c r="F189" s="114">
        <v>1</v>
      </c>
      <c r="G189" s="91">
        <v>0</v>
      </c>
      <c r="H189" s="90">
        <f t="shared" si="166"/>
        <v>0</v>
      </c>
      <c r="I189" s="171"/>
      <c r="J189" s="84"/>
      <c r="K189" s="100">
        <v>0</v>
      </c>
      <c r="L189" s="88">
        <v>0</v>
      </c>
      <c r="M189" s="8"/>
      <c r="N189" s="29"/>
      <c r="O189" s="8"/>
      <c r="P189" s="220"/>
      <c r="Q189" s="220"/>
      <c r="R189" s="220"/>
      <c r="S189" s="8"/>
      <c r="T189" s="20"/>
      <c r="U189" s="21">
        <v>0</v>
      </c>
      <c r="V189" s="21">
        <v>0</v>
      </c>
      <c r="W189" s="21">
        <f t="shared" si="118"/>
        <v>0</v>
      </c>
      <c r="X189" s="22">
        <v>1</v>
      </c>
      <c r="Y189" s="23">
        <f t="shared" si="119"/>
        <v>0</v>
      </c>
      <c r="Z189" s="21">
        <f>U189*10%</f>
        <v>0</v>
      </c>
      <c r="AA189" s="21">
        <f t="shared" si="120"/>
        <v>0</v>
      </c>
      <c r="AC189" s="9"/>
      <c r="AD189" s="9" t="str">
        <f t="shared" si="159"/>
        <v>8.22</v>
      </c>
      <c r="AE189" s="27">
        <f t="shared" si="160"/>
        <v>0</v>
      </c>
      <c r="AF189" s="21">
        <f t="shared" si="161"/>
        <v>0</v>
      </c>
      <c r="AG189" s="21">
        <v>0</v>
      </c>
      <c r="AH189" s="21">
        <f t="shared" si="162"/>
        <v>0</v>
      </c>
      <c r="AI189" s="21">
        <f t="shared" si="163"/>
        <v>0</v>
      </c>
      <c r="AJ189" s="21">
        <f t="shared" si="164"/>
        <v>0</v>
      </c>
      <c r="AK189" s="9" t="s">
        <v>57</v>
      </c>
      <c r="AL189" s="9" t="s">
        <v>57</v>
      </c>
      <c r="AM189" s="22">
        <v>0</v>
      </c>
      <c r="AN189" s="23">
        <f t="shared" si="165"/>
        <v>0</v>
      </c>
      <c r="AO189" s="9"/>
      <c r="AP189" s="26">
        <v>0</v>
      </c>
      <c r="AQ189" s="9"/>
    </row>
    <row r="190" spans="2:43" ht="63" x14ac:dyDescent="0.25">
      <c r="B190" s="170" t="s">
        <v>364</v>
      </c>
      <c r="C190" s="330" t="s">
        <v>910</v>
      </c>
      <c r="D190" s="93" t="s">
        <v>87</v>
      </c>
      <c r="E190" s="92">
        <v>1</v>
      </c>
      <c r="F190" s="114">
        <v>1</v>
      </c>
      <c r="G190" s="91">
        <v>0</v>
      </c>
      <c r="H190" s="90">
        <f t="shared" si="166"/>
        <v>0</v>
      </c>
      <c r="I190" s="171"/>
      <c r="J190" s="84"/>
      <c r="K190" s="100">
        <v>0</v>
      </c>
      <c r="L190" s="88">
        <v>0</v>
      </c>
      <c r="M190" s="8"/>
      <c r="N190" s="29"/>
      <c r="O190" s="8"/>
      <c r="P190" s="220"/>
      <c r="Q190" s="220"/>
      <c r="R190" s="220"/>
      <c r="S190" s="8"/>
      <c r="T190" s="20"/>
      <c r="U190" s="21">
        <v>0</v>
      </c>
      <c r="V190" s="21">
        <v>0</v>
      </c>
      <c r="W190" s="21">
        <f t="shared" si="118"/>
        <v>0</v>
      </c>
      <c r="X190" s="22">
        <v>1</v>
      </c>
      <c r="Y190" s="23">
        <f>W190-(W190*X190)</f>
        <v>0</v>
      </c>
      <c r="Z190" s="21">
        <f>U190*10%</f>
        <v>0</v>
      </c>
      <c r="AA190" s="21">
        <f t="shared" si="120"/>
        <v>0</v>
      </c>
      <c r="AC190" s="9"/>
      <c r="AD190" s="9" t="str">
        <f t="shared" si="159"/>
        <v>8.23</v>
      </c>
      <c r="AE190" s="27">
        <f t="shared" si="160"/>
        <v>0</v>
      </c>
      <c r="AF190" s="21">
        <f t="shared" si="161"/>
        <v>0</v>
      </c>
      <c r="AG190" s="21">
        <v>0</v>
      </c>
      <c r="AH190" s="21">
        <f t="shared" si="162"/>
        <v>0</v>
      </c>
      <c r="AI190" s="21">
        <f t="shared" si="163"/>
        <v>0</v>
      </c>
      <c r="AJ190" s="21">
        <f t="shared" si="164"/>
        <v>0</v>
      </c>
      <c r="AK190" s="9" t="s">
        <v>57</v>
      </c>
      <c r="AL190" s="9" t="s">
        <v>57</v>
      </c>
      <c r="AM190" s="22">
        <v>0</v>
      </c>
      <c r="AN190" s="23">
        <f t="shared" si="165"/>
        <v>0</v>
      </c>
      <c r="AO190" s="9"/>
      <c r="AP190" s="26">
        <v>0</v>
      </c>
      <c r="AQ190" s="9"/>
    </row>
    <row r="191" spans="2:43" ht="38.25" x14ac:dyDescent="0.25">
      <c r="B191" s="165">
        <v>9</v>
      </c>
      <c r="C191" s="87" t="s">
        <v>217</v>
      </c>
      <c r="D191" s="87"/>
      <c r="E191" s="87"/>
      <c r="F191" s="87"/>
      <c r="G191" s="87"/>
      <c r="H191" s="87"/>
      <c r="I191" s="166">
        <f>SUM(H192:H205)</f>
        <v>0</v>
      </c>
      <c r="J191" s="84"/>
      <c r="K191" s="99" t="s">
        <v>75</v>
      </c>
      <c r="L191" s="98" t="str">
        <f>L$15</f>
        <v>30 DIAS</v>
      </c>
      <c r="M191" s="8"/>
      <c r="N191" s="29"/>
      <c r="O191" s="8"/>
      <c r="P191" s="218" t="s">
        <v>506</v>
      </c>
      <c r="Q191" s="218" t="s">
        <v>507</v>
      </c>
      <c r="R191" s="218" t="s">
        <v>508</v>
      </c>
      <c r="S191" s="8"/>
      <c r="T191" s="144" t="s">
        <v>22</v>
      </c>
      <c r="U191" s="145" t="s">
        <v>23</v>
      </c>
      <c r="V191" s="146" t="s">
        <v>523</v>
      </c>
      <c r="W191" s="146" t="s">
        <v>24</v>
      </c>
      <c r="X191" s="333" t="s">
        <v>68</v>
      </c>
      <c r="Y191" s="334"/>
      <c r="Z191" s="147" t="s">
        <v>25</v>
      </c>
      <c r="AA191" s="147" t="s">
        <v>26</v>
      </c>
      <c r="AB191" s="148"/>
      <c r="AC191" s="149" t="s">
        <v>16</v>
      </c>
      <c r="AD191" s="149" t="s">
        <v>17</v>
      </c>
      <c r="AE191" s="150" t="s">
        <v>22</v>
      </c>
      <c r="AF191" s="151" t="s">
        <v>23</v>
      </c>
      <c r="AG191" s="146" t="s">
        <v>523</v>
      </c>
      <c r="AH191" s="152" t="s">
        <v>24</v>
      </c>
      <c r="AI191" s="153" t="s">
        <v>25</v>
      </c>
      <c r="AJ191" s="153" t="s">
        <v>26</v>
      </c>
      <c r="AK191" s="149" t="s">
        <v>18</v>
      </c>
      <c r="AL191" s="149" t="s">
        <v>67</v>
      </c>
      <c r="AM191" s="333" t="s">
        <v>68</v>
      </c>
      <c r="AN191" s="334"/>
      <c r="AO191" s="149" t="s">
        <v>19</v>
      </c>
      <c r="AP191" s="149" t="s">
        <v>20</v>
      </c>
      <c r="AQ191" s="154" t="s">
        <v>21</v>
      </c>
    </row>
    <row r="192" spans="2:43" ht="94.5" x14ac:dyDescent="0.25">
      <c r="B192" s="167" t="s">
        <v>54</v>
      </c>
      <c r="C192" s="128" t="s">
        <v>695</v>
      </c>
      <c r="D192" s="93" t="s">
        <v>87</v>
      </c>
      <c r="E192" s="92">
        <v>1</v>
      </c>
      <c r="F192" s="92">
        <v>1</v>
      </c>
      <c r="G192" s="91">
        <v>0</v>
      </c>
      <c r="H192" s="90">
        <f t="shared" ref="H192:H205" si="167">E192*F192*G192</f>
        <v>0</v>
      </c>
      <c r="I192" s="168"/>
      <c r="J192" s="84"/>
      <c r="K192" s="95">
        <v>0</v>
      </c>
      <c r="L192" s="88">
        <f t="shared" ref="L192:L204" si="168">H192</f>
        <v>0</v>
      </c>
      <c r="M192" s="8"/>
      <c r="N192" s="29"/>
      <c r="O192" s="8"/>
      <c r="P192" s="220"/>
      <c r="Q192" s="220"/>
      <c r="R192" s="220"/>
      <c r="S192" s="8"/>
      <c r="T192" s="20"/>
      <c r="U192" s="21">
        <v>0</v>
      </c>
      <c r="V192" s="21">
        <v>0</v>
      </c>
      <c r="W192" s="21">
        <f t="shared" si="118"/>
        <v>0</v>
      </c>
      <c r="X192" s="22">
        <v>1</v>
      </c>
      <c r="Y192" s="23">
        <f>W192-(W192*X192)</f>
        <v>0</v>
      </c>
      <c r="Z192" s="21">
        <f t="shared" ref="Z192:Z205" si="169">U192*10%</f>
        <v>0</v>
      </c>
      <c r="AA192" s="21">
        <f t="shared" si="120"/>
        <v>0</v>
      </c>
      <c r="AC192" s="9"/>
      <c r="AD192" s="9" t="str">
        <f t="shared" ref="AD192:AD205" si="170">B192</f>
        <v>9.1</v>
      </c>
      <c r="AE192" s="27">
        <f t="shared" ref="AE192:AE205" si="171">T192</f>
        <v>0</v>
      </c>
      <c r="AF192" s="21">
        <f t="shared" ref="AF192:AF205" si="172">U192</f>
        <v>0</v>
      </c>
      <c r="AG192" s="21">
        <v>0</v>
      </c>
      <c r="AH192" s="21">
        <f t="shared" ref="AH192:AH205" si="173">H192-AF192</f>
        <v>0</v>
      </c>
      <c r="AI192" s="21">
        <f t="shared" ref="AI192:AI205" si="174">AF192*10%</f>
        <v>0</v>
      </c>
      <c r="AJ192" s="21">
        <f t="shared" ref="AJ192:AJ205" si="175">AN192+AI192</f>
        <v>0</v>
      </c>
      <c r="AK192" s="9" t="s">
        <v>57</v>
      </c>
      <c r="AL192" s="9" t="s">
        <v>57</v>
      </c>
      <c r="AM192" s="22">
        <v>0</v>
      </c>
      <c r="AN192" s="23">
        <f t="shared" ref="AN192:AN205" si="176">(AH192-(AH192*AM192))</f>
        <v>0</v>
      </c>
      <c r="AO192" s="9"/>
      <c r="AP192" s="26">
        <v>0</v>
      </c>
      <c r="AQ192" s="9"/>
    </row>
    <row r="193" spans="2:43" ht="94.5" x14ac:dyDescent="0.25">
      <c r="B193" s="167" t="s">
        <v>55</v>
      </c>
      <c r="C193" s="128" t="s">
        <v>696</v>
      </c>
      <c r="D193" s="93" t="s">
        <v>87</v>
      </c>
      <c r="E193" s="92">
        <v>1</v>
      </c>
      <c r="F193" s="92">
        <v>1</v>
      </c>
      <c r="G193" s="91">
        <v>0</v>
      </c>
      <c r="H193" s="90">
        <f t="shared" si="167"/>
        <v>0</v>
      </c>
      <c r="I193" s="168"/>
      <c r="J193" s="84"/>
      <c r="K193" s="95">
        <v>0</v>
      </c>
      <c r="L193" s="88">
        <f t="shared" si="168"/>
        <v>0</v>
      </c>
      <c r="M193" s="8"/>
      <c r="N193" s="29"/>
      <c r="O193" s="8"/>
      <c r="P193" s="220"/>
      <c r="Q193" s="220"/>
      <c r="R193" s="220"/>
      <c r="S193" s="8"/>
      <c r="T193" s="20"/>
      <c r="U193" s="21">
        <v>0</v>
      </c>
      <c r="V193" s="21">
        <v>0</v>
      </c>
      <c r="W193" s="21">
        <f t="shared" si="118"/>
        <v>0</v>
      </c>
      <c r="X193" s="22">
        <v>1</v>
      </c>
      <c r="Y193" s="23">
        <f t="shared" ref="Y193:Y253" si="177">W193-(W193*X193)</f>
        <v>0</v>
      </c>
      <c r="Z193" s="21">
        <f t="shared" si="169"/>
        <v>0</v>
      </c>
      <c r="AA193" s="21">
        <f t="shared" si="120"/>
        <v>0</v>
      </c>
      <c r="AC193" s="9"/>
      <c r="AD193" s="9" t="str">
        <f t="shared" si="170"/>
        <v>9.2</v>
      </c>
      <c r="AE193" s="27">
        <f t="shared" si="171"/>
        <v>0</v>
      </c>
      <c r="AF193" s="21">
        <f t="shared" si="172"/>
        <v>0</v>
      </c>
      <c r="AG193" s="21">
        <v>0</v>
      </c>
      <c r="AH193" s="21">
        <f t="shared" si="173"/>
        <v>0</v>
      </c>
      <c r="AI193" s="21">
        <f t="shared" si="174"/>
        <v>0</v>
      </c>
      <c r="AJ193" s="21">
        <f t="shared" si="175"/>
        <v>0</v>
      </c>
      <c r="AK193" s="9" t="s">
        <v>57</v>
      </c>
      <c r="AL193" s="9" t="s">
        <v>57</v>
      </c>
      <c r="AM193" s="22">
        <v>0</v>
      </c>
      <c r="AN193" s="23">
        <f t="shared" si="176"/>
        <v>0</v>
      </c>
      <c r="AO193" s="9"/>
      <c r="AP193" s="26">
        <v>0</v>
      </c>
      <c r="AQ193" s="9"/>
    </row>
    <row r="194" spans="2:43" ht="94.5" x14ac:dyDescent="0.25">
      <c r="B194" s="167" t="s">
        <v>56</v>
      </c>
      <c r="C194" s="108" t="s">
        <v>697</v>
      </c>
      <c r="D194" s="93" t="s">
        <v>87</v>
      </c>
      <c r="E194" s="92">
        <v>1</v>
      </c>
      <c r="F194" s="92">
        <v>1</v>
      </c>
      <c r="G194" s="91">
        <v>0</v>
      </c>
      <c r="H194" s="90">
        <f t="shared" si="167"/>
        <v>0</v>
      </c>
      <c r="I194" s="168"/>
      <c r="J194" s="84"/>
      <c r="K194" s="95">
        <v>0</v>
      </c>
      <c r="L194" s="88">
        <f t="shared" si="168"/>
        <v>0</v>
      </c>
      <c r="M194" s="8"/>
      <c r="N194" s="29"/>
      <c r="O194" s="8"/>
      <c r="P194" s="220"/>
      <c r="Q194" s="220"/>
      <c r="R194" s="220"/>
      <c r="S194" s="8"/>
      <c r="T194" s="20"/>
      <c r="U194" s="21">
        <v>0</v>
      </c>
      <c r="V194" s="21">
        <v>0</v>
      </c>
      <c r="W194" s="21">
        <f t="shared" si="118"/>
        <v>0</v>
      </c>
      <c r="X194" s="22">
        <v>1</v>
      </c>
      <c r="Y194" s="23">
        <f t="shared" si="177"/>
        <v>0</v>
      </c>
      <c r="Z194" s="21">
        <f t="shared" si="169"/>
        <v>0</v>
      </c>
      <c r="AA194" s="21">
        <f t="shared" si="120"/>
        <v>0</v>
      </c>
      <c r="AC194" s="9"/>
      <c r="AD194" s="9" t="str">
        <f t="shared" si="170"/>
        <v>9.3</v>
      </c>
      <c r="AE194" s="27">
        <f t="shared" si="171"/>
        <v>0</v>
      </c>
      <c r="AF194" s="21">
        <f t="shared" si="172"/>
        <v>0</v>
      </c>
      <c r="AG194" s="21">
        <v>0</v>
      </c>
      <c r="AH194" s="21">
        <f t="shared" si="173"/>
        <v>0</v>
      </c>
      <c r="AI194" s="21">
        <f t="shared" si="174"/>
        <v>0</v>
      </c>
      <c r="AJ194" s="21">
        <f t="shared" si="175"/>
        <v>0</v>
      </c>
      <c r="AK194" s="9" t="s">
        <v>57</v>
      </c>
      <c r="AL194" s="9" t="s">
        <v>57</v>
      </c>
      <c r="AM194" s="22">
        <v>0</v>
      </c>
      <c r="AN194" s="23">
        <f t="shared" si="176"/>
        <v>0</v>
      </c>
      <c r="AO194" s="9"/>
      <c r="AP194" s="26">
        <v>0</v>
      </c>
      <c r="AQ194" s="9"/>
    </row>
    <row r="195" spans="2:43" ht="94.5" x14ac:dyDescent="0.25">
      <c r="B195" s="167" t="s">
        <v>58</v>
      </c>
      <c r="C195" s="108" t="s">
        <v>698</v>
      </c>
      <c r="D195" s="93" t="s">
        <v>87</v>
      </c>
      <c r="E195" s="92">
        <v>1</v>
      </c>
      <c r="F195" s="92">
        <v>1</v>
      </c>
      <c r="G195" s="91">
        <v>0</v>
      </c>
      <c r="H195" s="90">
        <f t="shared" si="167"/>
        <v>0</v>
      </c>
      <c r="I195" s="168"/>
      <c r="J195" s="84"/>
      <c r="K195" s="95">
        <v>0</v>
      </c>
      <c r="L195" s="88">
        <f t="shared" si="168"/>
        <v>0</v>
      </c>
      <c r="M195" s="8"/>
      <c r="N195" s="29"/>
      <c r="O195" s="8"/>
      <c r="P195" s="220"/>
      <c r="Q195" s="220"/>
      <c r="R195" s="220"/>
      <c r="S195" s="8"/>
      <c r="T195" s="20"/>
      <c r="U195" s="21">
        <v>0</v>
      </c>
      <c r="V195" s="21">
        <v>0</v>
      </c>
      <c r="W195" s="21">
        <f t="shared" si="118"/>
        <v>0</v>
      </c>
      <c r="X195" s="22">
        <v>1</v>
      </c>
      <c r="Y195" s="23">
        <f t="shared" si="177"/>
        <v>0</v>
      </c>
      <c r="Z195" s="21">
        <f t="shared" si="169"/>
        <v>0</v>
      </c>
      <c r="AA195" s="21">
        <f t="shared" si="120"/>
        <v>0</v>
      </c>
      <c r="AC195" s="9"/>
      <c r="AD195" s="9" t="str">
        <f t="shared" si="170"/>
        <v>9.4</v>
      </c>
      <c r="AE195" s="27">
        <f t="shared" si="171"/>
        <v>0</v>
      </c>
      <c r="AF195" s="21">
        <f t="shared" si="172"/>
        <v>0</v>
      </c>
      <c r="AG195" s="21">
        <v>0</v>
      </c>
      <c r="AH195" s="21">
        <f t="shared" si="173"/>
        <v>0</v>
      </c>
      <c r="AI195" s="21">
        <f t="shared" si="174"/>
        <v>0</v>
      </c>
      <c r="AJ195" s="21">
        <f t="shared" si="175"/>
        <v>0</v>
      </c>
      <c r="AK195" s="9" t="s">
        <v>57</v>
      </c>
      <c r="AL195" s="9" t="s">
        <v>57</v>
      </c>
      <c r="AM195" s="22">
        <v>0</v>
      </c>
      <c r="AN195" s="23">
        <f t="shared" si="176"/>
        <v>0</v>
      </c>
      <c r="AO195" s="9"/>
      <c r="AP195" s="26">
        <v>0</v>
      </c>
      <c r="AQ195" s="9"/>
    </row>
    <row r="196" spans="2:43" ht="94.5" x14ac:dyDescent="0.25">
      <c r="B196" s="167" t="s">
        <v>59</v>
      </c>
      <c r="C196" s="108" t="s">
        <v>699</v>
      </c>
      <c r="D196" s="93" t="s">
        <v>87</v>
      </c>
      <c r="E196" s="92">
        <v>1</v>
      </c>
      <c r="F196" s="92">
        <v>1</v>
      </c>
      <c r="G196" s="91">
        <v>0</v>
      </c>
      <c r="H196" s="90">
        <f t="shared" si="167"/>
        <v>0</v>
      </c>
      <c r="I196" s="168"/>
      <c r="J196" s="84"/>
      <c r="K196" s="95">
        <v>0</v>
      </c>
      <c r="L196" s="88">
        <f t="shared" si="168"/>
        <v>0</v>
      </c>
      <c r="M196" s="8"/>
      <c r="N196" s="29"/>
      <c r="O196" s="8"/>
      <c r="P196" s="220"/>
      <c r="Q196" s="220"/>
      <c r="R196" s="220"/>
      <c r="S196" s="8"/>
      <c r="T196" s="20"/>
      <c r="U196" s="21">
        <v>0</v>
      </c>
      <c r="V196" s="21">
        <v>0</v>
      </c>
      <c r="W196" s="21">
        <f t="shared" si="118"/>
        <v>0</v>
      </c>
      <c r="X196" s="22">
        <v>1</v>
      </c>
      <c r="Y196" s="23">
        <f t="shared" si="177"/>
        <v>0</v>
      </c>
      <c r="Z196" s="21">
        <f t="shared" si="169"/>
        <v>0</v>
      </c>
      <c r="AA196" s="21">
        <f t="shared" si="120"/>
        <v>0</v>
      </c>
      <c r="AC196" s="9"/>
      <c r="AD196" s="9" t="str">
        <f t="shared" si="170"/>
        <v>9.5</v>
      </c>
      <c r="AE196" s="27">
        <f t="shared" si="171"/>
        <v>0</v>
      </c>
      <c r="AF196" s="21">
        <f t="shared" si="172"/>
        <v>0</v>
      </c>
      <c r="AG196" s="21">
        <v>0</v>
      </c>
      <c r="AH196" s="21">
        <f t="shared" si="173"/>
        <v>0</v>
      </c>
      <c r="AI196" s="21">
        <f t="shared" si="174"/>
        <v>0</v>
      </c>
      <c r="AJ196" s="21">
        <f t="shared" si="175"/>
        <v>0</v>
      </c>
      <c r="AK196" s="9" t="s">
        <v>57</v>
      </c>
      <c r="AL196" s="9" t="s">
        <v>57</v>
      </c>
      <c r="AM196" s="22">
        <v>0</v>
      </c>
      <c r="AN196" s="23">
        <f t="shared" si="176"/>
        <v>0</v>
      </c>
      <c r="AO196" s="9"/>
      <c r="AP196" s="26">
        <v>0</v>
      </c>
      <c r="AQ196" s="9"/>
    </row>
    <row r="197" spans="2:43" ht="94.5" x14ac:dyDescent="0.25">
      <c r="B197" s="167" t="s">
        <v>60</v>
      </c>
      <c r="C197" s="128" t="s">
        <v>700</v>
      </c>
      <c r="D197" s="93" t="s">
        <v>87</v>
      </c>
      <c r="E197" s="92">
        <v>1</v>
      </c>
      <c r="F197" s="92">
        <v>1</v>
      </c>
      <c r="G197" s="91">
        <v>0</v>
      </c>
      <c r="H197" s="90">
        <f t="shared" si="167"/>
        <v>0</v>
      </c>
      <c r="I197" s="168"/>
      <c r="J197" s="84"/>
      <c r="K197" s="95">
        <v>0</v>
      </c>
      <c r="L197" s="88">
        <f t="shared" si="168"/>
        <v>0</v>
      </c>
      <c r="M197" s="8"/>
      <c r="N197" s="29"/>
      <c r="O197" s="8"/>
      <c r="P197" s="220"/>
      <c r="Q197" s="220"/>
      <c r="R197" s="220"/>
      <c r="S197" s="8"/>
      <c r="T197" s="20"/>
      <c r="U197" s="21">
        <v>0</v>
      </c>
      <c r="V197" s="21">
        <v>0</v>
      </c>
      <c r="W197" s="21">
        <f t="shared" si="118"/>
        <v>0</v>
      </c>
      <c r="X197" s="22">
        <v>1</v>
      </c>
      <c r="Y197" s="23">
        <f t="shared" si="177"/>
        <v>0</v>
      </c>
      <c r="Z197" s="21">
        <f t="shared" si="169"/>
        <v>0</v>
      </c>
      <c r="AA197" s="21">
        <f t="shared" si="120"/>
        <v>0</v>
      </c>
      <c r="AC197" s="9"/>
      <c r="AD197" s="9" t="str">
        <f t="shared" si="170"/>
        <v>9.6</v>
      </c>
      <c r="AE197" s="27">
        <f t="shared" si="171"/>
        <v>0</v>
      </c>
      <c r="AF197" s="21">
        <f t="shared" si="172"/>
        <v>0</v>
      </c>
      <c r="AG197" s="21">
        <v>0</v>
      </c>
      <c r="AH197" s="21">
        <f t="shared" si="173"/>
        <v>0</v>
      </c>
      <c r="AI197" s="21">
        <f t="shared" si="174"/>
        <v>0</v>
      </c>
      <c r="AJ197" s="21">
        <f t="shared" si="175"/>
        <v>0</v>
      </c>
      <c r="AK197" s="9" t="s">
        <v>57</v>
      </c>
      <c r="AL197" s="9" t="s">
        <v>57</v>
      </c>
      <c r="AM197" s="22">
        <v>0</v>
      </c>
      <c r="AN197" s="23">
        <f t="shared" si="176"/>
        <v>0</v>
      </c>
      <c r="AO197" s="9"/>
      <c r="AP197" s="26">
        <v>0</v>
      </c>
      <c r="AQ197" s="9"/>
    </row>
    <row r="198" spans="2:43" ht="94.5" x14ac:dyDescent="0.25">
      <c r="B198" s="167" t="s">
        <v>61</v>
      </c>
      <c r="C198" s="128" t="s">
        <v>701</v>
      </c>
      <c r="D198" s="93" t="s">
        <v>87</v>
      </c>
      <c r="E198" s="92">
        <v>1</v>
      </c>
      <c r="F198" s="92">
        <v>1</v>
      </c>
      <c r="G198" s="91">
        <v>0</v>
      </c>
      <c r="H198" s="90">
        <f t="shared" si="167"/>
        <v>0</v>
      </c>
      <c r="I198" s="168"/>
      <c r="J198" s="84"/>
      <c r="K198" s="95">
        <v>0</v>
      </c>
      <c r="L198" s="88">
        <f t="shared" si="168"/>
        <v>0</v>
      </c>
      <c r="M198" s="8"/>
      <c r="N198" s="29"/>
      <c r="O198" s="8"/>
      <c r="P198" s="220"/>
      <c r="Q198" s="220"/>
      <c r="R198" s="220"/>
      <c r="S198" s="8"/>
      <c r="T198" s="20"/>
      <c r="U198" s="21">
        <v>0</v>
      </c>
      <c r="V198" s="21">
        <v>0</v>
      </c>
      <c r="W198" s="21">
        <f t="shared" si="118"/>
        <v>0</v>
      </c>
      <c r="X198" s="22">
        <v>1</v>
      </c>
      <c r="Y198" s="23">
        <f t="shared" si="177"/>
        <v>0</v>
      </c>
      <c r="Z198" s="21">
        <f t="shared" si="169"/>
        <v>0</v>
      </c>
      <c r="AA198" s="21">
        <f t="shared" si="120"/>
        <v>0</v>
      </c>
      <c r="AC198" s="9"/>
      <c r="AD198" s="9" t="str">
        <f t="shared" si="170"/>
        <v>9.7</v>
      </c>
      <c r="AE198" s="27">
        <f t="shared" si="171"/>
        <v>0</v>
      </c>
      <c r="AF198" s="21">
        <f t="shared" si="172"/>
        <v>0</v>
      </c>
      <c r="AG198" s="21">
        <v>0</v>
      </c>
      <c r="AH198" s="21">
        <f t="shared" si="173"/>
        <v>0</v>
      </c>
      <c r="AI198" s="21">
        <f t="shared" si="174"/>
        <v>0</v>
      </c>
      <c r="AJ198" s="21">
        <f t="shared" si="175"/>
        <v>0</v>
      </c>
      <c r="AK198" s="9" t="s">
        <v>57</v>
      </c>
      <c r="AL198" s="9" t="s">
        <v>57</v>
      </c>
      <c r="AM198" s="22">
        <v>0</v>
      </c>
      <c r="AN198" s="23">
        <f t="shared" si="176"/>
        <v>0</v>
      </c>
      <c r="AO198" s="9"/>
      <c r="AP198" s="26">
        <v>0</v>
      </c>
      <c r="AQ198" s="9"/>
    </row>
    <row r="199" spans="2:43" ht="94.5" x14ac:dyDescent="0.25">
      <c r="B199" s="167" t="s">
        <v>200</v>
      </c>
      <c r="C199" s="108" t="s">
        <v>702</v>
      </c>
      <c r="D199" s="93" t="s">
        <v>87</v>
      </c>
      <c r="E199" s="92">
        <v>1</v>
      </c>
      <c r="F199" s="92">
        <v>1</v>
      </c>
      <c r="G199" s="91">
        <v>0</v>
      </c>
      <c r="H199" s="90">
        <f t="shared" si="167"/>
        <v>0</v>
      </c>
      <c r="I199" s="168"/>
      <c r="J199" s="84"/>
      <c r="K199" s="95">
        <v>0</v>
      </c>
      <c r="L199" s="88">
        <f t="shared" si="168"/>
        <v>0</v>
      </c>
      <c r="M199" s="8"/>
      <c r="N199" s="29"/>
      <c r="O199" s="8"/>
      <c r="P199" s="220"/>
      <c r="Q199" s="220"/>
      <c r="R199" s="220"/>
      <c r="S199" s="8"/>
      <c r="T199" s="20"/>
      <c r="U199" s="21">
        <v>0</v>
      </c>
      <c r="V199" s="21">
        <v>0</v>
      </c>
      <c r="W199" s="21">
        <f t="shared" si="118"/>
        <v>0</v>
      </c>
      <c r="X199" s="22">
        <v>1</v>
      </c>
      <c r="Y199" s="23">
        <f t="shared" si="177"/>
        <v>0</v>
      </c>
      <c r="Z199" s="21">
        <f t="shared" si="169"/>
        <v>0</v>
      </c>
      <c r="AA199" s="21">
        <f t="shared" si="120"/>
        <v>0</v>
      </c>
      <c r="AC199" s="9"/>
      <c r="AD199" s="9" t="str">
        <f t="shared" si="170"/>
        <v>9.8</v>
      </c>
      <c r="AE199" s="27">
        <f t="shared" si="171"/>
        <v>0</v>
      </c>
      <c r="AF199" s="21">
        <f t="shared" si="172"/>
        <v>0</v>
      </c>
      <c r="AG199" s="21">
        <v>0</v>
      </c>
      <c r="AH199" s="21">
        <f t="shared" si="173"/>
        <v>0</v>
      </c>
      <c r="AI199" s="21">
        <f t="shared" si="174"/>
        <v>0</v>
      </c>
      <c r="AJ199" s="21">
        <f t="shared" si="175"/>
        <v>0</v>
      </c>
      <c r="AK199" s="9" t="s">
        <v>57</v>
      </c>
      <c r="AL199" s="9" t="s">
        <v>57</v>
      </c>
      <c r="AM199" s="22">
        <v>0</v>
      </c>
      <c r="AN199" s="23">
        <f t="shared" si="176"/>
        <v>0</v>
      </c>
      <c r="AO199" s="9"/>
      <c r="AP199" s="26">
        <v>0</v>
      </c>
      <c r="AQ199" s="9"/>
    </row>
    <row r="200" spans="2:43" ht="63" x14ac:dyDescent="0.25">
      <c r="B200" s="167" t="s">
        <v>199</v>
      </c>
      <c r="C200" s="108" t="s">
        <v>707</v>
      </c>
      <c r="D200" s="93" t="s">
        <v>87</v>
      </c>
      <c r="E200" s="92">
        <v>1</v>
      </c>
      <c r="F200" s="92">
        <v>1</v>
      </c>
      <c r="G200" s="91">
        <v>0</v>
      </c>
      <c r="H200" s="90">
        <f t="shared" si="167"/>
        <v>0</v>
      </c>
      <c r="I200" s="168"/>
      <c r="J200" s="84"/>
      <c r="K200" s="95">
        <v>0</v>
      </c>
      <c r="L200" s="88">
        <f t="shared" si="168"/>
        <v>0</v>
      </c>
      <c r="M200" s="8"/>
      <c r="N200" s="29"/>
      <c r="O200" s="8"/>
      <c r="P200" s="220"/>
      <c r="Q200" s="220"/>
      <c r="R200" s="220"/>
      <c r="S200" s="8"/>
      <c r="T200" s="20"/>
      <c r="U200" s="21">
        <v>0</v>
      </c>
      <c r="V200" s="21">
        <v>0</v>
      </c>
      <c r="W200" s="21">
        <f t="shared" si="118"/>
        <v>0</v>
      </c>
      <c r="X200" s="22">
        <v>1</v>
      </c>
      <c r="Y200" s="23">
        <f t="shared" si="177"/>
        <v>0</v>
      </c>
      <c r="Z200" s="21">
        <f t="shared" si="169"/>
        <v>0</v>
      </c>
      <c r="AA200" s="21">
        <f t="shared" si="120"/>
        <v>0</v>
      </c>
      <c r="AC200" s="9"/>
      <c r="AD200" s="9" t="str">
        <f t="shared" si="170"/>
        <v>9.9</v>
      </c>
      <c r="AE200" s="27">
        <f t="shared" si="171"/>
        <v>0</v>
      </c>
      <c r="AF200" s="21">
        <f t="shared" si="172"/>
        <v>0</v>
      </c>
      <c r="AG200" s="21">
        <v>0</v>
      </c>
      <c r="AH200" s="21">
        <f t="shared" si="173"/>
        <v>0</v>
      </c>
      <c r="AI200" s="21">
        <f t="shared" si="174"/>
        <v>0</v>
      </c>
      <c r="AJ200" s="21">
        <f t="shared" si="175"/>
        <v>0</v>
      </c>
      <c r="AK200" s="9" t="s">
        <v>57</v>
      </c>
      <c r="AL200" s="9" t="s">
        <v>57</v>
      </c>
      <c r="AM200" s="22">
        <v>0</v>
      </c>
      <c r="AN200" s="23">
        <f t="shared" si="176"/>
        <v>0</v>
      </c>
      <c r="AO200" s="9"/>
      <c r="AP200" s="26">
        <v>0</v>
      </c>
      <c r="AQ200" s="9"/>
    </row>
    <row r="201" spans="2:43" ht="94.5" x14ac:dyDescent="0.25">
      <c r="B201" s="167" t="s">
        <v>198</v>
      </c>
      <c r="C201" s="108" t="s">
        <v>703</v>
      </c>
      <c r="D201" s="93" t="s">
        <v>87</v>
      </c>
      <c r="E201" s="92">
        <v>1</v>
      </c>
      <c r="F201" s="92">
        <v>1</v>
      </c>
      <c r="G201" s="91">
        <v>0</v>
      </c>
      <c r="H201" s="90">
        <f t="shared" si="167"/>
        <v>0</v>
      </c>
      <c r="I201" s="168"/>
      <c r="J201" s="84"/>
      <c r="K201" s="95">
        <v>0</v>
      </c>
      <c r="L201" s="88">
        <f t="shared" si="168"/>
        <v>0</v>
      </c>
      <c r="M201" s="8"/>
      <c r="N201" s="29"/>
      <c r="O201" s="8"/>
      <c r="P201" s="220"/>
      <c r="Q201" s="220"/>
      <c r="R201" s="220"/>
      <c r="S201" s="8"/>
      <c r="T201" s="20"/>
      <c r="U201" s="21">
        <v>0</v>
      </c>
      <c r="V201" s="21">
        <v>0</v>
      </c>
      <c r="W201" s="21">
        <f t="shared" si="118"/>
        <v>0</v>
      </c>
      <c r="X201" s="22">
        <v>1</v>
      </c>
      <c r="Y201" s="23">
        <f t="shared" si="177"/>
        <v>0</v>
      </c>
      <c r="Z201" s="21">
        <f t="shared" si="169"/>
        <v>0</v>
      </c>
      <c r="AA201" s="21">
        <f t="shared" si="120"/>
        <v>0</v>
      </c>
      <c r="AC201" s="9"/>
      <c r="AD201" s="9" t="str">
        <f t="shared" si="170"/>
        <v>9.10</v>
      </c>
      <c r="AE201" s="27">
        <f t="shared" si="171"/>
        <v>0</v>
      </c>
      <c r="AF201" s="21">
        <f t="shared" si="172"/>
        <v>0</v>
      </c>
      <c r="AG201" s="21">
        <v>0</v>
      </c>
      <c r="AH201" s="21">
        <f t="shared" si="173"/>
        <v>0</v>
      </c>
      <c r="AI201" s="21">
        <f t="shared" si="174"/>
        <v>0</v>
      </c>
      <c r="AJ201" s="21">
        <f t="shared" si="175"/>
        <v>0</v>
      </c>
      <c r="AK201" s="9" t="s">
        <v>57</v>
      </c>
      <c r="AL201" s="9" t="s">
        <v>57</v>
      </c>
      <c r="AM201" s="22">
        <v>0</v>
      </c>
      <c r="AN201" s="23">
        <f t="shared" si="176"/>
        <v>0</v>
      </c>
      <c r="AO201" s="9"/>
      <c r="AP201" s="26">
        <v>0</v>
      </c>
      <c r="AQ201" s="9"/>
    </row>
    <row r="202" spans="2:43" ht="78.75" x14ac:dyDescent="0.25">
      <c r="B202" s="167" t="s">
        <v>197</v>
      </c>
      <c r="C202" s="108" t="s">
        <v>706</v>
      </c>
      <c r="D202" s="93" t="s">
        <v>87</v>
      </c>
      <c r="E202" s="92">
        <v>1</v>
      </c>
      <c r="F202" s="92">
        <v>1</v>
      </c>
      <c r="G202" s="91">
        <v>0</v>
      </c>
      <c r="H202" s="90">
        <f t="shared" si="167"/>
        <v>0</v>
      </c>
      <c r="I202" s="168"/>
      <c r="J202" s="84"/>
      <c r="K202" s="95">
        <v>0</v>
      </c>
      <c r="L202" s="88">
        <f t="shared" si="168"/>
        <v>0</v>
      </c>
      <c r="M202" s="8"/>
      <c r="N202" s="29"/>
      <c r="O202" s="8"/>
      <c r="P202" s="220"/>
      <c r="Q202" s="220"/>
      <c r="R202" s="220"/>
      <c r="S202" s="8"/>
      <c r="T202" s="20"/>
      <c r="U202" s="21">
        <v>0</v>
      </c>
      <c r="V202" s="21">
        <v>0</v>
      </c>
      <c r="W202" s="21">
        <f t="shared" si="118"/>
        <v>0</v>
      </c>
      <c r="X202" s="22">
        <v>1</v>
      </c>
      <c r="Y202" s="23">
        <f t="shared" si="177"/>
        <v>0</v>
      </c>
      <c r="Z202" s="21">
        <f t="shared" si="169"/>
        <v>0</v>
      </c>
      <c r="AA202" s="21">
        <f t="shared" si="120"/>
        <v>0</v>
      </c>
      <c r="AC202" s="9"/>
      <c r="AD202" s="9" t="str">
        <f t="shared" si="170"/>
        <v>9.11</v>
      </c>
      <c r="AE202" s="27">
        <f t="shared" si="171"/>
        <v>0</v>
      </c>
      <c r="AF202" s="21">
        <f t="shared" si="172"/>
        <v>0</v>
      </c>
      <c r="AG202" s="21">
        <v>0</v>
      </c>
      <c r="AH202" s="21">
        <f t="shared" si="173"/>
        <v>0</v>
      </c>
      <c r="AI202" s="21">
        <f t="shared" si="174"/>
        <v>0</v>
      </c>
      <c r="AJ202" s="21">
        <f t="shared" si="175"/>
        <v>0</v>
      </c>
      <c r="AK202" s="9" t="s">
        <v>57</v>
      </c>
      <c r="AL202" s="9" t="s">
        <v>57</v>
      </c>
      <c r="AM202" s="22">
        <v>0</v>
      </c>
      <c r="AN202" s="23">
        <f t="shared" si="176"/>
        <v>0</v>
      </c>
      <c r="AO202" s="9"/>
      <c r="AP202" s="26">
        <v>0</v>
      </c>
      <c r="AQ202" s="9"/>
    </row>
    <row r="203" spans="2:43" ht="78.75" x14ac:dyDescent="0.25">
      <c r="B203" s="167" t="s">
        <v>196</v>
      </c>
      <c r="C203" s="108" t="s">
        <v>705</v>
      </c>
      <c r="D203" s="93" t="s">
        <v>87</v>
      </c>
      <c r="E203" s="92">
        <v>1</v>
      </c>
      <c r="F203" s="92">
        <v>1</v>
      </c>
      <c r="G203" s="91">
        <v>0</v>
      </c>
      <c r="H203" s="90">
        <f t="shared" si="167"/>
        <v>0</v>
      </c>
      <c r="I203" s="168"/>
      <c r="J203" s="84"/>
      <c r="K203" s="95">
        <v>0</v>
      </c>
      <c r="L203" s="88">
        <f t="shared" si="168"/>
        <v>0</v>
      </c>
      <c r="M203" s="8"/>
      <c r="N203" s="29"/>
      <c r="O203" s="8"/>
      <c r="P203" s="220"/>
      <c r="Q203" s="220"/>
      <c r="R203" s="220"/>
      <c r="S203" s="8"/>
      <c r="T203" s="20"/>
      <c r="U203" s="21">
        <v>0</v>
      </c>
      <c r="V203" s="21">
        <v>0</v>
      </c>
      <c r="W203" s="21">
        <f t="shared" si="118"/>
        <v>0</v>
      </c>
      <c r="X203" s="22">
        <v>1</v>
      </c>
      <c r="Y203" s="23">
        <f t="shared" si="177"/>
        <v>0</v>
      </c>
      <c r="Z203" s="21">
        <f t="shared" si="169"/>
        <v>0</v>
      </c>
      <c r="AA203" s="21">
        <f t="shared" si="120"/>
        <v>0</v>
      </c>
      <c r="AC203" s="9"/>
      <c r="AD203" s="9" t="str">
        <f t="shared" si="170"/>
        <v>9.12</v>
      </c>
      <c r="AE203" s="27">
        <f t="shared" si="171"/>
        <v>0</v>
      </c>
      <c r="AF203" s="21">
        <f t="shared" si="172"/>
        <v>0</v>
      </c>
      <c r="AG203" s="21">
        <v>0</v>
      </c>
      <c r="AH203" s="21">
        <f t="shared" si="173"/>
        <v>0</v>
      </c>
      <c r="AI203" s="21">
        <f t="shared" si="174"/>
        <v>0</v>
      </c>
      <c r="AJ203" s="21">
        <f t="shared" si="175"/>
        <v>0</v>
      </c>
      <c r="AK203" s="9" t="s">
        <v>57</v>
      </c>
      <c r="AL203" s="9" t="s">
        <v>57</v>
      </c>
      <c r="AM203" s="22">
        <v>0</v>
      </c>
      <c r="AN203" s="23">
        <f t="shared" si="176"/>
        <v>0</v>
      </c>
      <c r="AO203" s="9"/>
      <c r="AP203" s="26">
        <v>0</v>
      </c>
      <c r="AQ203" s="9"/>
    </row>
    <row r="204" spans="2:43" ht="78.75" x14ac:dyDescent="0.25">
      <c r="B204" s="167" t="s">
        <v>195</v>
      </c>
      <c r="C204" s="108" t="s">
        <v>704</v>
      </c>
      <c r="D204" s="93" t="s">
        <v>87</v>
      </c>
      <c r="E204" s="92">
        <v>1</v>
      </c>
      <c r="F204" s="92">
        <v>1</v>
      </c>
      <c r="G204" s="91">
        <v>0</v>
      </c>
      <c r="H204" s="90">
        <f t="shared" si="167"/>
        <v>0</v>
      </c>
      <c r="I204" s="168"/>
      <c r="J204" s="84"/>
      <c r="K204" s="95">
        <v>0</v>
      </c>
      <c r="L204" s="88">
        <f t="shared" si="168"/>
        <v>0</v>
      </c>
      <c r="M204" s="8"/>
      <c r="N204" s="29"/>
      <c r="O204" s="8"/>
      <c r="P204" s="220"/>
      <c r="Q204" s="220"/>
      <c r="R204" s="220"/>
      <c r="S204" s="8"/>
      <c r="T204" s="20"/>
      <c r="U204" s="21">
        <v>0</v>
      </c>
      <c r="V204" s="21">
        <v>0</v>
      </c>
      <c r="W204" s="21">
        <f t="shared" si="118"/>
        <v>0</v>
      </c>
      <c r="X204" s="22">
        <v>1</v>
      </c>
      <c r="Y204" s="23">
        <f t="shared" si="177"/>
        <v>0</v>
      </c>
      <c r="Z204" s="21">
        <f t="shared" si="169"/>
        <v>0</v>
      </c>
      <c r="AA204" s="21">
        <f t="shared" si="120"/>
        <v>0</v>
      </c>
      <c r="AC204" s="9"/>
      <c r="AD204" s="9" t="str">
        <f t="shared" si="170"/>
        <v>9.13</v>
      </c>
      <c r="AE204" s="27">
        <f t="shared" si="171"/>
        <v>0</v>
      </c>
      <c r="AF204" s="21">
        <f t="shared" si="172"/>
        <v>0</v>
      </c>
      <c r="AG204" s="21">
        <v>0</v>
      </c>
      <c r="AH204" s="21">
        <f t="shared" si="173"/>
        <v>0</v>
      </c>
      <c r="AI204" s="21">
        <f t="shared" si="174"/>
        <v>0</v>
      </c>
      <c r="AJ204" s="21">
        <f t="shared" si="175"/>
        <v>0</v>
      </c>
      <c r="AK204" s="9" t="s">
        <v>57</v>
      </c>
      <c r="AL204" s="9" t="s">
        <v>57</v>
      </c>
      <c r="AM204" s="22">
        <v>0</v>
      </c>
      <c r="AN204" s="23">
        <f t="shared" si="176"/>
        <v>0</v>
      </c>
      <c r="AO204" s="9"/>
      <c r="AP204" s="26">
        <v>0</v>
      </c>
      <c r="AQ204" s="9"/>
    </row>
    <row r="205" spans="2:43" ht="63" x14ac:dyDescent="0.25">
      <c r="B205" s="167" t="s">
        <v>194</v>
      </c>
      <c r="C205" s="108" t="s">
        <v>708</v>
      </c>
      <c r="D205" s="93" t="s">
        <v>87</v>
      </c>
      <c r="E205" s="92">
        <v>1</v>
      </c>
      <c r="F205" s="92">
        <v>1</v>
      </c>
      <c r="G205" s="91">
        <v>0</v>
      </c>
      <c r="H205" s="90">
        <f t="shared" si="167"/>
        <v>0</v>
      </c>
      <c r="I205" s="168"/>
      <c r="J205" s="84"/>
      <c r="K205" s="95">
        <f>H205</f>
        <v>0</v>
      </c>
      <c r="L205" s="127">
        <v>0</v>
      </c>
      <c r="M205" s="8"/>
      <c r="N205" s="29"/>
      <c r="O205" s="8"/>
      <c r="P205" s="219"/>
      <c r="Q205" s="219"/>
      <c r="R205" s="219"/>
      <c r="S205" s="8"/>
      <c r="T205" s="20"/>
      <c r="U205" s="21">
        <v>0</v>
      </c>
      <c r="V205" s="21">
        <v>0</v>
      </c>
      <c r="W205" s="21">
        <f t="shared" si="118"/>
        <v>0</v>
      </c>
      <c r="X205" s="22">
        <v>1</v>
      </c>
      <c r="Y205" s="23">
        <f t="shared" si="177"/>
        <v>0</v>
      </c>
      <c r="Z205" s="21">
        <f t="shared" si="169"/>
        <v>0</v>
      </c>
      <c r="AA205" s="21">
        <f t="shared" si="120"/>
        <v>0</v>
      </c>
      <c r="AC205" s="9"/>
      <c r="AD205" s="9" t="str">
        <f t="shared" si="170"/>
        <v>9.14</v>
      </c>
      <c r="AE205" s="27">
        <f t="shared" si="171"/>
        <v>0</v>
      </c>
      <c r="AF205" s="21">
        <f t="shared" si="172"/>
        <v>0</v>
      </c>
      <c r="AG205" s="21">
        <v>0</v>
      </c>
      <c r="AH205" s="21">
        <f t="shared" si="173"/>
        <v>0</v>
      </c>
      <c r="AI205" s="21">
        <f t="shared" si="174"/>
        <v>0</v>
      </c>
      <c r="AJ205" s="21">
        <f t="shared" si="175"/>
        <v>0</v>
      </c>
      <c r="AK205" s="9" t="s">
        <v>57</v>
      </c>
      <c r="AL205" s="9" t="s">
        <v>57</v>
      </c>
      <c r="AM205" s="22">
        <v>0</v>
      </c>
      <c r="AN205" s="23">
        <f t="shared" si="176"/>
        <v>0</v>
      </c>
      <c r="AO205" s="9"/>
      <c r="AP205" s="26">
        <v>0</v>
      </c>
      <c r="AQ205" s="9"/>
    </row>
    <row r="206" spans="2:43" ht="38.25" x14ac:dyDescent="0.25">
      <c r="B206" s="165">
        <v>10</v>
      </c>
      <c r="C206" s="87" t="s">
        <v>166</v>
      </c>
      <c r="D206" s="87"/>
      <c r="E206" s="87"/>
      <c r="F206" s="87"/>
      <c r="G206" s="87"/>
      <c r="H206" s="87"/>
      <c r="I206" s="166">
        <f>SUM(H207:H270)</f>
        <v>0</v>
      </c>
      <c r="J206" s="84"/>
      <c r="K206" s="99" t="s">
        <v>75</v>
      </c>
      <c r="L206" s="98" t="str">
        <f>L$15</f>
        <v>30 DIAS</v>
      </c>
      <c r="M206" s="8"/>
      <c r="N206" s="29"/>
      <c r="O206" s="8"/>
      <c r="P206" s="218" t="s">
        <v>506</v>
      </c>
      <c r="Q206" s="218" t="s">
        <v>507</v>
      </c>
      <c r="R206" s="218" t="s">
        <v>508</v>
      </c>
      <c r="S206" s="8"/>
      <c r="T206" s="144" t="s">
        <v>22</v>
      </c>
      <c r="U206" s="145" t="s">
        <v>23</v>
      </c>
      <c r="V206" s="146" t="s">
        <v>523</v>
      </c>
      <c r="W206" s="146" t="s">
        <v>24</v>
      </c>
      <c r="X206" s="333" t="s">
        <v>68</v>
      </c>
      <c r="Y206" s="334"/>
      <c r="Z206" s="147" t="s">
        <v>25</v>
      </c>
      <c r="AA206" s="147" t="s">
        <v>26</v>
      </c>
      <c r="AB206" s="148"/>
      <c r="AC206" s="149" t="s">
        <v>16</v>
      </c>
      <c r="AD206" s="149" t="s">
        <v>17</v>
      </c>
      <c r="AE206" s="150" t="s">
        <v>22</v>
      </c>
      <c r="AF206" s="151" t="s">
        <v>23</v>
      </c>
      <c r="AG206" s="146" t="s">
        <v>523</v>
      </c>
      <c r="AH206" s="152" t="s">
        <v>24</v>
      </c>
      <c r="AI206" s="153" t="s">
        <v>25</v>
      </c>
      <c r="AJ206" s="153" t="s">
        <v>26</v>
      </c>
      <c r="AK206" s="149" t="s">
        <v>18</v>
      </c>
      <c r="AL206" s="149" t="s">
        <v>67</v>
      </c>
      <c r="AM206" s="333" t="s">
        <v>68</v>
      </c>
      <c r="AN206" s="334"/>
      <c r="AO206" s="149" t="s">
        <v>19</v>
      </c>
      <c r="AP206" s="149" t="s">
        <v>20</v>
      </c>
      <c r="AQ206" s="154" t="s">
        <v>21</v>
      </c>
    </row>
    <row r="207" spans="2:43" ht="94.5" x14ac:dyDescent="0.25">
      <c r="B207" s="170" t="s">
        <v>193</v>
      </c>
      <c r="C207" s="104" t="s">
        <v>709</v>
      </c>
      <c r="D207" s="93" t="s">
        <v>87</v>
      </c>
      <c r="E207" s="92">
        <v>1</v>
      </c>
      <c r="F207" s="92">
        <v>1</v>
      </c>
      <c r="G207" s="91">
        <v>0</v>
      </c>
      <c r="H207" s="113">
        <f t="shared" ref="H207:H238" si="178">E207*F207*G207</f>
        <v>0</v>
      </c>
      <c r="I207" s="168"/>
      <c r="J207" s="84"/>
      <c r="K207" s="95">
        <v>0</v>
      </c>
      <c r="L207" s="88">
        <f t="shared" ref="L207:L238" si="179">H207</f>
        <v>0</v>
      </c>
      <c r="M207" s="8"/>
      <c r="N207" s="29"/>
      <c r="O207" s="8"/>
      <c r="P207" s="220"/>
      <c r="Q207" s="220"/>
      <c r="R207" s="220"/>
      <c r="S207" s="8"/>
      <c r="T207" s="20"/>
      <c r="U207" s="21">
        <v>0</v>
      </c>
      <c r="V207" s="21">
        <v>0</v>
      </c>
      <c r="W207" s="21">
        <f t="shared" si="118"/>
        <v>0</v>
      </c>
      <c r="X207" s="22">
        <v>1</v>
      </c>
      <c r="Y207" s="23">
        <f t="shared" si="177"/>
        <v>0</v>
      </c>
      <c r="Z207" s="21">
        <f t="shared" ref="Z207:Z237" si="180">U207*10%</f>
        <v>0</v>
      </c>
      <c r="AA207" s="21">
        <f t="shared" si="120"/>
        <v>0</v>
      </c>
      <c r="AC207" s="9"/>
      <c r="AD207" s="9" t="str">
        <f t="shared" ref="AD207:AD269" si="181">B207</f>
        <v>10.1</v>
      </c>
      <c r="AE207" s="27">
        <f t="shared" ref="AE207:AE269" si="182">T207</f>
        <v>0</v>
      </c>
      <c r="AF207" s="21">
        <f t="shared" ref="AF207:AF269" si="183">U207</f>
        <v>0</v>
      </c>
      <c r="AG207" s="21">
        <v>0</v>
      </c>
      <c r="AH207" s="21">
        <f t="shared" ref="AH207:AH269" si="184">H207-AF207</f>
        <v>0</v>
      </c>
      <c r="AI207" s="21">
        <f t="shared" ref="AI207:AI269" si="185">AF207*10%</f>
        <v>0</v>
      </c>
      <c r="AJ207" s="21">
        <f t="shared" ref="AJ207:AJ269" si="186">AN207+AI207</f>
        <v>0</v>
      </c>
      <c r="AK207" s="9" t="s">
        <v>57</v>
      </c>
      <c r="AL207" s="9" t="s">
        <v>57</v>
      </c>
      <c r="AM207" s="22">
        <v>0</v>
      </c>
      <c r="AN207" s="23">
        <f t="shared" ref="AN207:AN269" si="187">(AH207-(AH207*AM207))</f>
        <v>0</v>
      </c>
      <c r="AO207" s="9"/>
      <c r="AP207" s="26">
        <v>0</v>
      </c>
      <c r="AQ207" s="9"/>
    </row>
    <row r="208" spans="2:43" ht="78.75" x14ac:dyDescent="0.25">
      <c r="B208" s="170" t="s">
        <v>192</v>
      </c>
      <c r="C208" s="104" t="s">
        <v>710</v>
      </c>
      <c r="D208" s="93" t="s">
        <v>87</v>
      </c>
      <c r="E208" s="92">
        <v>1</v>
      </c>
      <c r="F208" s="92">
        <v>1</v>
      </c>
      <c r="G208" s="91">
        <v>0</v>
      </c>
      <c r="H208" s="113">
        <f t="shared" si="178"/>
        <v>0</v>
      </c>
      <c r="I208" s="168"/>
      <c r="J208" s="84"/>
      <c r="K208" s="95">
        <v>0</v>
      </c>
      <c r="L208" s="88">
        <f t="shared" si="179"/>
        <v>0</v>
      </c>
      <c r="M208" s="8"/>
      <c r="N208" s="29"/>
      <c r="O208" s="8"/>
      <c r="P208" s="220"/>
      <c r="Q208" s="220"/>
      <c r="R208" s="220"/>
      <c r="S208" s="8"/>
      <c r="T208" s="20"/>
      <c r="U208" s="21">
        <v>0</v>
      </c>
      <c r="V208" s="21">
        <v>0</v>
      </c>
      <c r="W208" s="21">
        <f t="shared" si="118"/>
        <v>0</v>
      </c>
      <c r="X208" s="22">
        <v>1</v>
      </c>
      <c r="Y208" s="23">
        <f t="shared" si="177"/>
        <v>0</v>
      </c>
      <c r="Z208" s="21">
        <f t="shared" si="180"/>
        <v>0</v>
      </c>
      <c r="AA208" s="21">
        <f t="shared" si="120"/>
        <v>0</v>
      </c>
      <c r="AC208" s="9"/>
      <c r="AD208" s="9" t="str">
        <f t="shared" si="181"/>
        <v>10.2</v>
      </c>
      <c r="AE208" s="27">
        <f t="shared" si="182"/>
        <v>0</v>
      </c>
      <c r="AF208" s="21">
        <f t="shared" si="183"/>
        <v>0</v>
      </c>
      <c r="AG208" s="21">
        <v>0</v>
      </c>
      <c r="AH208" s="21">
        <f t="shared" si="184"/>
        <v>0</v>
      </c>
      <c r="AI208" s="21">
        <f t="shared" si="185"/>
        <v>0</v>
      </c>
      <c r="AJ208" s="21">
        <f t="shared" si="186"/>
        <v>0</v>
      </c>
      <c r="AK208" s="9" t="s">
        <v>57</v>
      </c>
      <c r="AL208" s="9" t="s">
        <v>57</v>
      </c>
      <c r="AM208" s="22">
        <v>0</v>
      </c>
      <c r="AN208" s="23">
        <f t="shared" si="187"/>
        <v>0</v>
      </c>
      <c r="AO208" s="9"/>
      <c r="AP208" s="26">
        <v>0</v>
      </c>
      <c r="AQ208" s="9"/>
    </row>
    <row r="209" spans="2:43" ht="94.5" x14ac:dyDescent="0.25">
      <c r="B209" s="170" t="s">
        <v>191</v>
      </c>
      <c r="C209" s="96" t="s">
        <v>711</v>
      </c>
      <c r="D209" s="93" t="s">
        <v>87</v>
      </c>
      <c r="E209" s="92">
        <v>1</v>
      </c>
      <c r="F209" s="92">
        <v>1</v>
      </c>
      <c r="G209" s="91">
        <v>0</v>
      </c>
      <c r="H209" s="107">
        <f t="shared" si="178"/>
        <v>0</v>
      </c>
      <c r="I209" s="168"/>
      <c r="J209" s="84"/>
      <c r="K209" s="95">
        <v>0</v>
      </c>
      <c r="L209" s="88">
        <f t="shared" si="179"/>
        <v>0</v>
      </c>
      <c r="M209" s="8"/>
      <c r="N209" s="29"/>
      <c r="O209" s="8"/>
      <c r="P209" s="220"/>
      <c r="Q209" s="220"/>
      <c r="R209" s="220"/>
      <c r="S209" s="8"/>
      <c r="T209" s="20"/>
      <c r="U209" s="21">
        <v>0</v>
      </c>
      <c r="V209" s="21">
        <v>0</v>
      </c>
      <c r="W209" s="21">
        <f t="shared" si="118"/>
        <v>0</v>
      </c>
      <c r="X209" s="22">
        <v>1</v>
      </c>
      <c r="Y209" s="23">
        <f t="shared" si="177"/>
        <v>0</v>
      </c>
      <c r="Z209" s="21">
        <f t="shared" si="180"/>
        <v>0</v>
      </c>
      <c r="AA209" s="21">
        <f t="shared" si="120"/>
        <v>0</v>
      </c>
      <c r="AC209" s="9"/>
      <c r="AD209" s="9" t="str">
        <f t="shared" si="181"/>
        <v>10.3</v>
      </c>
      <c r="AE209" s="27">
        <f t="shared" si="182"/>
        <v>0</v>
      </c>
      <c r="AF209" s="21">
        <f t="shared" si="183"/>
        <v>0</v>
      </c>
      <c r="AG209" s="21">
        <v>0</v>
      </c>
      <c r="AH209" s="21">
        <f t="shared" si="184"/>
        <v>0</v>
      </c>
      <c r="AI209" s="21">
        <f t="shared" si="185"/>
        <v>0</v>
      </c>
      <c r="AJ209" s="21">
        <f t="shared" si="186"/>
        <v>0</v>
      </c>
      <c r="AK209" s="9" t="s">
        <v>57</v>
      </c>
      <c r="AL209" s="9" t="s">
        <v>57</v>
      </c>
      <c r="AM209" s="22">
        <v>0</v>
      </c>
      <c r="AN209" s="23">
        <f t="shared" si="187"/>
        <v>0</v>
      </c>
      <c r="AO209" s="9"/>
      <c r="AP209" s="26">
        <v>0</v>
      </c>
      <c r="AQ209" s="9"/>
    </row>
    <row r="210" spans="2:43" ht="78.75" x14ac:dyDescent="0.25">
      <c r="B210" s="170" t="s">
        <v>190</v>
      </c>
      <c r="C210" s="96" t="s">
        <v>712</v>
      </c>
      <c r="D210" s="93" t="s">
        <v>87</v>
      </c>
      <c r="E210" s="92">
        <v>1</v>
      </c>
      <c r="F210" s="92">
        <v>1</v>
      </c>
      <c r="G210" s="91">
        <v>0</v>
      </c>
      <c r="H210" s="90">
        <f t="shared" si="178"/>
        <v>0</v>
      </c>
      <c r="I210" s="168"/>
      <c r="J210" s="84"/>
      <c r="K210" s="95">
        <v>0</v>
      </c>
      <c r="L210" s="88">
        <f t="shared" si="179"/>
        <v>0</v>
      </c>
      <c r="M210" s="8"/>
      <c r="N210" s="29"/>
      <c r="O210" s="8"/>
      <c r="P210" s="220"/>
      <c r="Q210" s="220"/>
      <c r="R210" s="220"/>
      <c r="S210" s="8"/>
      <c r="T210" s="20"/>
      <c r="U210" s="21">
        <v>0</v>
      </c>
      <c r="V210" s="21">
        <v>0</v>
      </c>
      <c r="W210" s="21">
        <f t="shared" si="118"/>
        <v>0</v>
      </c>
      <c r="X210" s="22">
        <v>1</v>
      </c>
      <c r="Y210" s="23">
        <f t="shared" si="177"/>
        <v>0</v>
      </c>
      <c r="Z210" s="21">
        <f t="shared" si="180"/>
        <v>0</v>
      </c>
      <c r="AA210" s="21">
        <f t="shared" si="120"/>
        <v>0</v>
      </c>
      <c r="AC210" s="9"/>
      <c r="AD210" s="9" t="str">
        <f t="shared" si="181"/>
        <v>10.4</v>
      </c>
      <c r="AE210" s="27">
        <f t="shared" si="182"/>
        <v>0</v>
      </c>
      <c r="AF210" s="21">
        <f t="shared" si="183"/>
        <v>0</v>
      </c>
      <c r="AG210" s="21">
        <v>0</v>
      </c>
      <c r="AH210" s="21">
        <f t="shared" si="184"/>
        <v>0</v>
      </c>
      <c r="AI210" s="21">
        <f t="shared" si="185"/>
        <v>0</v>
      </c>
      <c r="AJ210" s="21">
        <f t="shared" si="186"/>
        <v>0</v>
      </c>
      <c r="AK210" s="9" t="s">
        <v>57</v>
      </c>
      <c r="AL210" s="9" t="s">
        <v>57</v>
      </c>
      <c r="AM210" s="22">
        <v>0</v>
      </c>
      <c r="AN210" s="23">
        <f t="shared" si="187"/>
        <v>0</v>
      </c>
      <c r="AO210" s="9"/>
      <c r="AP210" s="26">
        <v>0</v>
      </c>
      <c r="AQ210" s="9"/>
    </row>
    <row r="211" spans="2:43" ht="78.75" x14ac:dyDescent="0.25">
      <c r="B211" s="170" t="s">
        <v>189</v>
      </c>
      <c r="C211" s="96" t="s">
        <v>713</v>
      </c>
      <c r="D211" s="93" t="s">
        <v>87</v>
      </c>
      <c r="E211" s="92">
        <v>1</v>
      </c>
      <c r="F211" s="92">
        <v>1</v>
      </c>
      <c r="G211" s="91">
        <v>0</v>
      </c>
      <c r="H211" s="90">
        <f t="shared" si="178"/>
        <v>0</v>
      </c>
      <c r="I211" s="168"/>
      <c r="J211" s="84"/>
      <c r="K211" s="95">
        <v>0</v>
      </c>
      <c r="L211" s="88">
        <f t="shared" si="179"/>
        <v>0</v>
      </c>
      <c r="M211" s="8"/>
      <c r="N211" s="29"/>
      <c r="O211" s="8"/>
      <c r="P211" s="220"/>
      <c r="Q211" s="220"/>
      <c r="R211" s="220"/>
      <c r="S211" s="8"/>
      <c r="T211" s="20"/>
      <c r="U211" s="21">
        <v>0</v>
      </c>
      <c r="V211" s="21">
        <v>0</v>
      </c>
      <c r="W211" s="21">
        <f t="shared" si="118"/>
        <v>0</v>
      </c>
      <c r="X211" s="22">
        <v>1</v>
      </c>
      <c r="Y211" s="23">
        <f t="shared" si="177"/>
        <v>0</v>
      </c>
      <c r="Z211" s="21">
        <f t="shared" si="180"/>
        <v>0</v>
      </c>
      <c r="AA211" s="21">
        <f t="shared" si="120"/>
        <v>0</v>
      </c>
      <c r="AC211" s="9"/>
      <c r="AD211" s="9" t="str">
        <f t="shared" si="181"/>
        <v>10.5</v>
      </c>
      <c r="AE211" s="27">
        <f t="shared" si="182"/>
        <v>0</v>
      </c>
      <c r="AF211" s="21">
        <f t="shared" si="183"/>
        <v>0</v>
      </c>
      <c r="AG211" s="21">
        <v>0</v>
      </c>
      <c r="AH211" s="21">
        <f t="shared" si="184"/>
        <v>0</v>
      </c>
      <c r="AI211" s="21">
        <f t="shared" si="185"/>
        <v>0</v>
      </c>
      <c r="AJ211" s="21">
        <f t="shared" si="186"/>
        <v>0</v>
      </c>
      <c r="AK211" s="9" t="s">
        <v>57</v>
      </c>
      <c r="AL211" s="9" t="s">
        <v>57</v>
      </c>
      <c r="AM211" s="22">
        <v>0</v>
      </c>
      <c r="AN211" s="23">
        <f t="shared" si="187"/>
        <v>0</v>
      </c>
      <c r="AO211" s="9"/>
      <c r="AP211" s="26">
        <v>0</v>
      </c>
      <c r="AQ211" s="9"/>
    </row>
    <row r="212" spans="2:43" ht="78.75" x14ac:dyDescent="0.25">
      <c r="B212" s="170" t="s">
        <v>188</v>
      </c>
      <c r="C212" s="96" t="s">
        <v>714</v>
      </c>
      <c r="D212" s="93" t="s">
        <v>87</v>
      </c>
      <c r="E212" s="92">
        <v>1</v>
      </c>
      <c r="F212" s="92">
        <v>1</v>
      </c>
      <c r="G212" s="91">
        <v>0</v>
      </c>
      <c r="H212" s="90">
        <f t="shared" si="178"/>
        <v>0</v>
      </c>
      <c r="I212" s="168"/>
      <c r="J212" s="84"/>
      <c r="K212" s="95">
        <v>0</v>
      </c>
      <c r="L212" s="88">
        <f t="shared" si="179"/>
        <v>0</v>
      </c>
      <c r="M212" s="8"/>
      <c r="N212" s="29"/>
      <c r="O212" s="8"/>
      <c r="P212" s="220"/>
      <c r="Q212" s="220"/>
      <c r="R212" s="220"/>
      <c r="S212" s="8"/>
      <c r="T212" s="20"/>
      <c r="U212" s="21">
        <v>0</v>
      </c>
      <c r="V212" s="21">
        <v>0</v>
      </c>
      <c r="W212" s="21">
        <f t="shared" si="118"/>
        <v>0</v>
      </c>
      <c r="X212" s="22">
        <v>1</v>
      </c>
      <c r="Y212" s="23">
        <f t="shared" si="177"/>
        <v>0</v>
      </c>
      <c r="Z212" s="21">
        <f t="shared" si="180"/>
        <v>0</v>
      </c>
      <c r="AA212" s="21">
        <f t="shared" si="120"/>
        <v>0</v>
      </c>
      <c r="AC212" s="9"/>
      <c r="AD212" s="9" t="str">
        <f t="shared" si="181"/>
        <v>10.6</v>
      </c>
      <c r="AE212" s="27">
        <f t="shared" si="182"/>
        <v>0</v>
      </c>
      <c r="AF212" s="21">
        <f t="shared" si="183"/>
        <v>0</v>
      </c>
      <c r="AG212" s="21">
        <v>0</v>
      </c>
      <c r="AH212" s="21">
        <f t="shared" si="184"/>
        <v>0</v>
      </c>
      <c r="AI212" s="21">
        <f t="shared" si="185"/>
        <v>0</v>
      </c>
      <c r="AJ212" s="21">
        <f t="shared" si="186"/>
        <v>0</v>
      </c>
      <c r="AK212" s="9" t="s">
        <v>57</v>
      </c>
      <c r="AL212" s="9" t="s">
        <v>57</v>
      </c>
      <c r="AM212" s="22">
        <v>0</v>
      </c>
      <c r="AN212" s="23">
        <f t="shared" si="187"/>
        <v>0</v>
      </c>
      <c r="AO212" s="9"/>
      <c r="AP212" s="26">
        <v>0</v>
      </c>
      <c r="AQ212" s="9"/>
    </row>
    <row r="213" spans="2:43" ht="78.75" x14ac:dyDescent="0.25">
      <c r="B213" s="170" t="s">
        <v>187</v>
      </c>
      <c r="C213" s="108" t="s">
        <v>715</v>
      </c>
      <c r="D213" s="93" t="s">
        <v>87</v>
      </c>
      <c r="E213" s="92">
        <v>1</v>
      </c>
      <c r="F213" s="92">
        <v>1</v>
      </c>
      <c r="G213" s="91">
        <v>0</v>
      </c>
      <c r="H213" s="90">
        <f t="shared" ref="H213" si="188">E213*F213*G213</f>
        <v>0</v>
      </c>
      <c r="I213" s="168"/>
      <c r="J213" s="84"/>
      <c r="K213" s="95">
        <v>0</v>
      </c>
      <c r="L213" s="88">
        <f t="shared" ref="L213" si="189">H213</f>
        <v>0</v>
      </c>
      <c r="M213" s="8"/>
      <c r="N213" s="29"/>
      <c r="O213" s="8"/>
      <c r="P213" s="220"/>
      <c r="Q213" s="220"/>
      <c r="R213" s="220"/>
      <c r="S213" s="8"/>
      <c r="T213" s="20"/>
      <c r="U213" s="21">
        <v>0</v>
      </c>
      <c r="V213" s="21">
        <v>0</v>
      </c>
      <c r="W213" s="21">
        <f t="shared" si="118"/>
        <v>0</v>
      </c>
      <c r="X213" s="22">
        <v>1</v>
      </c>
      <c r="Y213" s="23">
        <f t="shared" ref="Y213" si="190">W213-(W213*X213)</f>
        <v>0</v>
      </c>
      <c r="Z213" s="21">
        <f t="shared" si="180"/>
        <v>0</v>
      </c>
      <c r="AA213" s="21">
        <f t="shared" si="120"/>
        <v>0</v>
      </c>
      <c r="AC213" s="9"/>
      <c r="AD213" s="9" t="str">
        <f t="shared" si="181"/>
        <v>10.7</v>
      </c>
      <c r="AE213" s="27">
        <f t="shared" si="182"/>
        <v>0</v>
      </c>
      <c r="AF213" s="21">
        <f t="shared" si="183"/>
        <v>0</v>
      </c>
      <c r="AG213" s="21">
        <v>0</v>
      </c>
      <c r="AH213" s="21">
        <f t="shared" si="184"/>
        <v>0</v>
      </c>
      <c r="AI213" s="21">
        <f t="shared" si="185"/>
        <v>0</v>
      </c>
      <c r="AJ213" s="21">
        <f t="shared" si="186"/>
        <v>0</v>
      </c>
      <c r="AK213" s="9" t="s">
        <v>57</v>
      </c>
      <c r="AL213" s="9" t="s">
        <v>57</v>
      </c>
      <c r="AM213" s="22">
        <v>0</v>
      </c>
      <c r="AN213" s="23">
        <f t="shared" si="187"/>
        <v>0</v>
      </c>
      <c r="AO213" s="9"/>
      <c r="AP213" s="26">
        <v>0</v>
      </c>
      <c r="AQ213" s="9"/>
    </row>
    <row r="214" spans="2:43" ht="78.75" x14ac:dyDescent="0.25">
      <c r="B214" s="170" t="s">
        <v>186</v>
      </c>
      <c r="C214" s="96" t="s">
        <v>716</v>
      </c>
      <c r="D214" s="93" t="s">
        <v>87</v>
      </c>
      <c r="E214" s="92">
        <v>1</v>
      </c>
      <c r="F214" s="92">
        <v>1</v>
      </c>
      <c r="G214" s="91">
        <v>0</v>
      </c>
      <c r="H214" s="90">
        <f t="shared" si="178"/>
        <v>0</v>
      </c>
      <c r="I214" s="168"/>
      <c r="J214" s="84"/>
      <c r="K214" s="95">
        <v>0</v>
      </c>
      <c r="L214" s="88">
        <f t="shared" si="179"/>
        <v>0</v>
      </c>
      <c r="M214" s="8"/>
      <c r="N214" s="29"/>
      <c r="O214" s="8"/>
      <c r="P214" s="220"/>
      <c r="Q214" s="220"/>
      <c r="R214" s="220"/>
      <c r="S214" s="8"/>
      <c r="T214" s="20"/>
      <c r="U214" s="21">
        <v>0</v>
      </c>
      <c r="V214" s="21">
        <v>0</v>
      </c>
      <c r="W214" s="21">
        <f t="shared" si="118"/>
        <v>0</v>
      </c>
      <c r="X214" s="22">
        <v>1</v>
      </c>
      <c r="Y214" s="23">
        <f t="shared" si="177"/>
        <v>0</v>
      </c>
      <c r="Z214" s="21">
        <f t="shared" si="180"/>
        <v>0</v>
      </c>
      <c r="AA214" s="21">
        <f t="shared" si="120"/>
        <v>0</v>
      </c>
      <c r="AC214" s="9"/>
      <c r="AD214" s="9" t="str">
        <f t="shared" si="181"/>
        <v>10.8</v>
      </c>
      <c r="AE214" s="27">
        <f t="shared" si="182"/>
        <v>0</v>
      </c>
      <c r="AF214" s="21">
        <f t="shared" si="183"/>
        <v>0</v>
      </c>
      <c r="AG214" s="21">
        <v>0</v>
      </c>
      <c r="AH214" s="21">
        <f t="shared" si="184"/>
        <v>0</v>
      </c>
      <c r="AI214" s="21">
        <f t="shared" si="185"/>
        <v>0</v>
      </c>
      <c r="AJ214" s="21">
        <f t="shared" si="186"/>
        <v>0</v>
      </c>
      <c r="AK214" s="9" t="s">
        <v>57</v>
      </c>
      <c r="AL214" s="9" t="s">
        <v>57</v>
      </c>
      <c r="AM214" s="22">
        <v>0</v>
      </c>
      <c r="AN214" s="23">
        <f t="shared" si="187"/>
        <v>0</v>
      </c>
      <c r="AO214" s="9"/>
      <c r="AP214" s="26">
        <v>0</v>
      </c>
      <c r="AQ214" s="9"/>
    </row>
    <row r="215" spans="2:43" ht="94.5" x14ac:dyDescent="0.25">
      <c r="B215" s="170" t="s">
        <v>185</v>
      </c>
      <c r="C215" s="112" t="s">
        <v>717</v>
      </c>
      <c r="D215" s="93" t="s">
        <v>87</v>
      </c>
      <c r="E215" s="92">
        <v>1</v>
      </c>
      <c r="F215" s="110">
        <v>1</v>
      </c>
      <c r="G215" s="90">
        <v>0</v>
      </c>
      <c r="H215" s="109">
        <f t="shared" si="178"/>
        <v>0</v>
      </c>
      <c r="I215" s="168"/>
      <c r="J215" s="84"/>
      <c r="K215" s="95">
        <v>0</v>
      </c>
      <c r="L215" s="88">
        <f t="shared" si="179"/>
        <v>0</v>
      </c>
      <c r="M215" s="8"/>
      <c r="N215" s="29"/>
      <c r="O215" s="8"/>
      <c r="P215" s="220"/>
      <c r="Q215" s="220"/>
      <c r="R215" s="220"/>
      <c r="S215" s="8"/>
      <c r="T215" s="20"/>
      <c r="U215" s="21">
        <v>0</v>
      </c>
      <c r="V215" s="21">
        <v>0</v>
      </c>
      <c r="W215" s="21">
        <f t="shared" si="118"/>
        <v>0</v>
      </c>
      <c r="X215" s="22">
        <v>1</v>
      </c>
      <c r="Y215" s="23">
        <f t="shared" si="177"/>
        <v>0</v>
      </c>
      <c r="Z215" s="21">
        <f t="shared" si="180"/>
        <v>0</v>
      </c>
      <c r="AA215" s="21">
        <f t="shared" si="120"/>
        <v>0</v>
      </c>
      <c r="AC215" s="9"/>
      <c r="AD215" s="9" t="str">
        <f t="shared" si="181"/>
        <v>10.9</v>
      </c>
      <c r="AE215" s="27">
        <f t="shared" si="182"/>
        <v>0</v>
      </c>
      <c r="AF215" s="21">
        <f t="shared" si="183"/>
        <v>0</v>
      </c>
      <c r="AG215" s="21">
        <v>0</v>
      </c>
      <c r="AH215" s="21">
        <f t="shared" si="184"/>
        <v>0</v>
      </c>
      <c r="AI215" s="21">
        <f t="shared" si="185"/>
        <v>0</v>
      </c>
      <c r="AJ215" s="21">
        <f t="shared" si="186"/>
        <v>0</v>
      </c>
      <c r="AK215" s="9" t="s">
        <v>57</v>
      </c>
      <c r="AL215" s="9" t="s">
        <v>57</v>
      </c>
      <c r="AM215" s="22">
        <v>0</v>
      </c>
      <c r="AN215" s="23">
        <f t="shared" si="187"/>
        <v>0</v>
      </c>
      <c r="AO215" s="9"/>
      <c r="AP215" s="26">
        <v>0</v>
      </c>
      <c r="AQ215" s="9"/>
    </row>
    <row r="216" spans="2:43" ht="94.5" x14ac:dyDescent="0.25">
      <c r="B216" s="170" t="s">
        <v>184</v>
      </c>
      <c r="C216" s="112" t="s">
        <v>718</v>
      </c>
      <c r="D216" s="93" t="s">
        <v>87</v>
      </c>
      <c r="E216" s="92">
        <v>1</v>
      </c>
      <c r="F216" s="110">
        <v>1</v>
      </c>
      <c r="G216" s="90">
        <v>0</v>
      </c>
      <c r="H216" s="109">
        <f t="shared" si="178"/>
        <v>0</v>
      </c>
      <c r="I216" s="168"/>
      <c r="J216" s="84"/>
      <c r="K216" s="95">
        <v>0</v>
      </c>
      <c r="L216" s="88">
        <f t="shared" si="179"/>
        <v>0</v>
      </c>
      <c r="M216" s="8"/>
      <c r="N216" s="29"/>
      <c r="O216" s="8"/>
      <c r="P216" s="220"/>
      <c r="Q216" s="220"/>
      <c r="R216" s="220"/>
      <c r="S216" s="8"/>
      <c r="T216" s="20"/>
      <c r="U216" s="21">
        <v>0</v>
      </c>
      <c r="V216" s="21">
        <v>0</v>
      </c>
      <c r="W216" s="21">
        <f t="shared" si="118"/>
        <v>0</v>
      </c>
      <c r="X216" s="22">
        <v>1</v>
      </c>
      <c r="Y216" s="23">
        <f t="shared" si="177"/>
        <v>0</v>
      </c>
      <c r="Z216" s="21">
        <f t="shared" si="180"/>
        <v>0</v>
      </c>
      <c r="AA216" s="21">
        <f t="shared" si="120"/>
        <v>0</v>
      </c>
      <c r="AC216" s="9"/>
      <c r="AD216" s="9" t="str">
        <f t="shared" si="181"/>
        <v>10.10</v>
      </c>
      <c r="AE216" s="27">
        <f t="shared" si="182"/>
        <v>0</v>
      </c>
      <c r="AF216" s="21">
        <f t="shared" si="183"/>
        <v>0</v>
      </c>
      <c r="AG216" s="21">
        <v>0</v>
      </c>
      <c r="AH216" s="21">
        <f t="shared" si="184"/>
        <v>0</v>
      </c>
      <c r="AI216" s="21">
        <f t="shared" si="185"/>
        <v>0</v>
      </c>
      <c r="AJ216" s="21">
        <f t="shared" si="186"/>
        <v>0</v>
      </c>
      <c r="AK216" s="9" t="s">
        <v>57</v>
      </c>
      <c r="AL216" s="9" t="s">
        <v>57</v>
      </c>
      <c r="AM216" s="22">
        <v>0</v>
      </c>
      <c r="AN216" s="23">
        <f t="shared" si="187"/>
        <v>0</v>
      </c>
      <c r="AO216" s="9"/>
      <c r="AP216" s="26">
        <v>0</v>
      </c>
      <c r="AQ216" s="9"/>
    </row>
    <row r="217" spans="2:43" ht="94.5" x14ac:dyDescent="0.25">
      <c r="B217" s="170" t="s">
        <v>183</v>
      </c>
      <c r="C217" s="112" t="s">
        <v>719</v>
      </c>
      <c r="D217" s="93" t="s">
        <v>87</v>
      </c>
      <c r="E217" s="92">
        <v>1</v>
      </c>
      <c r="F217" s="110">
        <v>1</v>
      </c>
      <c r="G217" s="90">
        <v>0</v>
      </c>
      <c r="H217" s="109">
        <f t="shared" si="178"/>
        <v>0</v>
      </c>
      <c r="I217" s="168"/>
      <c r="J217" s="84"/>
      <c r="K217" s="95">
        <v>0</v>
      </c>
      <c r="L217" s="88">
        <f t="shared" si="179"/>
        <v>0</v>
      </c>
      <c r="M217" s="8"/>
      <c r="N217" s="29"/>
      <c r="O217" s="8"/>
      <c r="P217" s="220"/>
      <c r="Q217" s="220"/>
      <c r="R217" s="220"/>
      <c r="S217" s="8"/>
      <c r="T217" s="20"/>
      <c r="U217" s="21">
        <v>0</v>
      </c>
      <c r="V217" s="21">
        <v>0</v>
      </c>
      <c r="W217" s="21">
        <f t="shared" si="118"/>
        <v>0</v>
      </c>
      <c r="X217" s="22">
        <v>1</v>
      </c>
      <c r="Y217" s="23">
        <f t="shared" si="177"/>
        <v>0</v>
      </c>
      <c r="Z217" s="21">
        <f t="shared" si="180"/>
        <v>0</v>
      </c>
      <c r="AA217" s="21">
        <f t="shared" si="120"/>
        <v>0</v>
      </c>
      <c r="AC217" s="9"/>
      <c r="AD217" s="9" t="str">
        <f t="shared" si="181"/>
        <v>10.11</v>
      </c>
      <c r="AE217" s="27">
        <f t="shared" si="182"/>
        <v>0</v>
      </c>
      <c r="AF217" s="21">
        <f t="shared" si="183"/>
        <v>0</v>
      </c>
      <c r="AG217" s="21">
        <v>0</v>
      </c>
      <c r="AH217" s="21">
        <f t="shared" si="184"/>
        <v>0</v>
      </c>
      <c r="AI217" s="21">
        <f t="shared" si="185"/>
        <v>0</v>
      </c>
      <c r="AJ217" s="21">
        <f t="shared" si="186"/>
        <v>0</v>
      </c>
      <c r="AK217" s="9" t="s">
        <v>57</v>
      </c>
      <c r="AL217" s="9" t="s">
        <v>57</v>
      </c>
      <c r="AM217" s="22">
        <v>0</v>
      </c>
      <c r="AN217" s="23">
        <f t="shared" si="187"/>
        <v>0</v>
      </c>
      <c r="AO217" s="9"/>
      <c r="AP217" s="26">
        <v>0</v>
      </c>
      <c r="AQ217" s="9"/>
    </row>
    <row r="218" spans="2:43" ht="94.5" x14ac:dyDescent="0.25">
      <c r="B218" s="170" t="s">
        <v>182</v>
      </c>
      <c r="C218" s="112" t="s">
        <v>720</v>
      </c>
      <c r="D218" s="93" t="s">
        <v>87</v>
      </c>
      <c r="E218" s="92">
        <v>1</v>
      </c>
      <c r="F218" s="110">
        <v>1</v>
      </c>
      <c r="G218" s="90">
        <v>0</v>
      </c>
      <c r="H218" s="109">
        <f t="shared" si="178"/>
        <v>0</v>
      </c>
      <c r="I218" s="168"/>
      <c r="J218" s="84"/>
      <c r="K218" s="95">
        <v>0</v>
      </c>
      <c r="L218" s="88">
        <f t="shared" si="179"/>
        <v>0</v>
      </c>
      <c r="M218" s="8"/>
      <c r="N218" s="29"/>
      <c r="O218" s="8"/>
      <c r="P218" s="220"/>
      <c r="Q218" s="220"/>
      <c r="R218" s="220"/>
      <c r="S218" s="8"/>
      <c r="T218" s="20"/>
      <c r="U218" s="21">
        <v>0</v>
      </c>
      <c r="V218" s="21">
        <v>0</v>
      </c>
      <c r="W218" s="21">
        <f t="shared" si="118"/>
        <v>0</v>
      </c>
      <c r="X218" s="22">
        <v>1</v>
      </c>
      <c r="Y218" s="23">
        <f t="shared" si="177"/>
        <v>0</v>
      </c>
      <c r="Z218" s="21">
        <f t="shared" si="180"/>
        <v>0</v>
      </c>
      <c r="AA218" s="21">
        <f t="shared" si="120"/>
        <v>0</v>
      </c>
      <c r="AC218" s="9"/>
      <c r="AD218" s="9" t="str">
        <f t="shared" si="181"/>
        <v>10.12</v>
      </c>
      <c r="AE218" s="27">
        <f t="shared" si="182"/>
        <v>0</v>
      </c>
      <c r="AF218" s="21">
        <f t="shared" si="183"/>
        <v>0</v>
      </c>
      <c r="AG218" s="21">
        <v>0</v>
      </c>
      <c r="AH218" s="21">
        <f t="shared" si="184"/>
        <v>0</v>
      </c>
      <c r="AI218" s="21">
        <f t="shared" si="185"/>
        <v>0</v>
      </c>
      <c r="AJ218" s="21">
        <f t="shared" si="186"/>
        <v>0</v>
      </c>
      <c r="AK218" s="9" t="s">
        <v>57</v>
      </c>
      <c r="AL218" s="9" t="s">
        <v>57</v>
      </c>
      <c r="AM218" s="22">
        <v>0</v>
      </c>
      <c r="AN218" s="23">
        <f t="shared" si="187"/>
        <v>0</v>
      </c>
      <c r="AO218" s="9"/>
      <c r="AP218" s="26">
        <v>0</v>
      </c>
      <c r="AQ218" s="9"/>
    </row>
    <row r="219" spans="2:43" ht="94.5" x14ac:dyDescent="0.25">
      <c r="B219" s="170" t="s">
        <v>181</v>
      </c>
      <c r="C219" s="112" t="s">
        <v>722</v>
      </c>
      <c r="D219" s="93" t="s">
        <v>87</v>
      </c>
      <c r="E219" s="92">
        <v>1</v>
      </c>
      <c r="F219" s="110">
        <v>1</v>
      </c>
      <c r="G219" s="90">
        <v>0</v>
      </c>
      <c r="H219" s="109">
        <f t="shared" si="178"/>
        <v>0</v>
      </c>
      <c r="I219" s="168"/>
      <c r="J219" s="84"/>
      <c r="K219" s="95">
        <v>0</v>
      </c>
      <c r="L219" s="88">
        <f t="shared" si="179"/>
        <v>0</v>
      </c>
      <c r="M219" s="8"/>
      <c r="N219" s="29"/>
      <c r="O219" s="8"/>
      <c r="P219" s="220"/>
      <c r="Q219" s="220"/>
      <c r="R219" s="220"/>
      <c r="S219" s="8"/>
      <c r="T219" s="20"/>
      <c r="U219" s="21">
        <v>0</v>
      </c>
      <c r="V219" s="21">
        <v>0</v>
      </c>
      <c r="W219" s="21">
        <f t="shared" si="118"/>
        <v>0</v>
      </c>
      <c r="X219" s="22">
        <v>1</v>
      </c>
      <c r="Y219" s="23">
        <f t="shared" si="177"/>
        <v>0</v>
      </c>
      <c r="Z219" s="21">
        <f t="shared" si="180"/>
        <v>0</v>
      </c>
      <c r="AA219" s="21">
        <f t="shared" si="120"/>
        <v>0</v>
      </c>
      <c r="AC219" s="9"/>
      <c r="AD219" s="9" t="str">
        <f t="shared" si="181"/>
        <v>10.13</v>
      </c>
      <c r="AE219" s="27">
        <f t="shared" si="182"/>
        <v>0</v>
      </c>
      <c r="AF219" s="21">
        <f t="shared" si="183"/>
        <v>0</v>
      </c>
      <c r="AG219" s="21">
        <v>0</v>
      </c>
      <c r="AH219" s="21">
        <f t="shared" si="184"/>
        <v>0</v>
      </c>
      <c r="AI219" s="21">
        <f t="shared" si="185"/>
        <v>0</v>
      </c>
      <c r="AJ219" s="21">
        <f t="shared" si="186"/>
        <v>0</v>
      </c>
      <c r="AK219" s="9" t="s">
        <v>57</v>
      </c>
      <c r="AL219" s="9" t="s">
        <v>57</v>
      </c>
      <c r="AM219" s="22">
        <v>0</v>
      </c>
      <c r="AN219" s="23">
        <f t="shared" si="187"/>
        <v>0</v>
      </c>
      <c r="AO219" s="9"/>
      <c r="AP219" s="26">
        <v>0</v>
      </c>
      <c r="AQ219" s="9"/>
    </row>
    <row r="220" spans="2:43" ht="78.75" x14ac:dyDescent="0.25">
      <c r="B220" s="170" t="s">
        <v>180</v>
      </c>
      <c r="C220" s="112" t="s">
        <v>721</v>
      </c>
      <c r="D220" s="93" t="s">
        <v>87</v>
      </c>
      <c r="E220" s="111">
        <v>1</v>
      </c>
      <c r="F220" s="110">
        <v>1</v>
      </c>
      <c r="G220" s="90">
        <v>0</v>
      </c>
      <c r="H220" s="109">
        <f t="shared" si="178"/>
        <v>0</v>
      </c>
      <c r="I220" s="168"/>
      <c r="J220" s="84"/>
      <c r="K220" s="95">
        <v>0</v>
      </c>
      <c r="L220" s="88">
        <f t="shared" si="179"/>
        <v>0</v>
      </c>
      <c r="M220" s="8"/>
      <c r="N220" s="29"/>
      <c r="O220" s="8"/>
      <c r="P220" s="220"/>
      <c r="Q220" s="220"/>
      <c r="R220" s="220"/>
      <c r="S220" s="8"/>
      <c r="T220" s="20"/>
      <c r="U220" s="21">
        <v>0</v>
      </c>
      <c r="V220" s="21">
        <v>0</v>
      </c>
      <c r="W220" s="21">
        <f t="shared" si="118"/>
        <v>0</v>
      </c>
      <c r="X220" s="22">
        <v>1</v>
      </c>
      <c r="Y220" s="23">
        <f t="shared" si="177"/>
        <v>0</v>
      </c>
      <c r="Z220" s="21">
        <f t="shared" si="180"/>
        <v>0</v>
      </c>
      <c r="AA220" s="21">
        <f t="shared" si="120"/>
        <v>0</v>
      </c>
      <c r="AC220" s="9"/>
      <c r="AD220" s="9" t="str">
        <f t="shared" si="181"/>
        <v>10.14</v>
      </c>
      <c r="AE220" s="27">
        <f t="shared" si="182"/>
        <v>0</v>
      </c>
      <c r="AF220" s="21">
        <f t="shared" si="183"/>
        <v>0</v>
      </c>
      <c r="AG220" s="21">
        <v>0</v>
      </c>
      <c r="AH220" s="21">
        <f t="shared" si="184"/>
        <v>0</v>
      </c>
      <c r="AI220" s="21">
        <f t="shared" si="185"/>
        <v>0</v>
      </c>
      <c r="AJ220" s="21">
        <f t="shared" si="186"/>
        <v>0</v>
      </c>
      <c r="AK220" s="9" t="s">
        <v>57</v>
      </c>
      <c r="AL220" s="9" t="s">
        <v>57</v>
      </c>
      <c r="AM220" s="22">
        <v>0</v>
      </c>
      <c r="AN220" s="23">
        <f t="shared" si="187"/>
        <v>0</v>
      </c>
      <c r="AO220" s="9"/>
      <c r="AP220" s="26">
        <v>0</v>
      </c>
      <c r="AQ220" s="9"/>
    </row>
    <row r="221" spans="2:43" ht="78.75" x14ac:dyDescent="0.25">
      <c r="B221" s="170" t="s">
        <v>179</v>
      </c>
      <c r="C221" s="108" t="s">
        <v>723</v>
      </c>
      <c r="D221" s="93" t="s">
        <v>87</v>
      </c>
      <c r="E221" s="92">
        <v>1</v>
      </c>
      <c r="F221" s="92">
        <v>1</v>
      </c>
      <c r="G221" s="91">
        <v>0</v>
      </c>
      <c r="H221" s="90">
        <f t="shared" si="178"/>
        <v>0</v>
      </c>
      <c r="I221" s="168"/>
      <c r="J221" s="84"/>
      <c r="K221" s="95">
        <v>0</v>
      </c>
      <c r="L221" s="88">
        <f t="shared" si="179"/>
        <v>0</v>
      </c>
      <c r="M221" s="8"/>
      <c r="N221" s="29"/>
      <c r="O221" s="8"/>
      <c r="P221" s="220"/>
      <c r="Q221" s="220"/>
      <c r="R221" s="220"/>
      <c r="S221" s="8"/>
      <c r="T221" s="20"/>
      <c r="U221" s="21">
        <v>0</v>
      </c>
      <c r="V221" s="21">
        <v>0</v>
      </c>
      <c r="W221" s="21">
        <f t="shared" si="118"/>
        <v>0</v>
      </c>
      <c r="X221" s="22">
        <v>1</v>
      </c>
      <c r="Y221" s="23">
        <f t="shared" si="177"/>
        <v>0</v>
      </c>
      <c r="Z221" s="21">
        <f t="shared" si="180"/>
        <v>0</v>
      </c>
      <c r="AA221" s="21">
        <f t="shared" si="120"/>
        <v>0</v>
      </c>
      <c r="AC221" s="9"/>
      <c r="AD221" s="9" t="str">
        <f t="shared" si="181"/>
        <v>10.15</v>
      </c>
      <c r="AE221" s="27">
        <f t="shared" si="182"/>
        <v>0</v>
      </c>
      <c r="AF221" s="21">
        <f t="shared" si="183"/>
        <v>0</v>
      </c>
      <c r="AG221" s="21">
        <v>0</v>
      </c>
      <c r="AH221" s="21">
        <f t="shared" si="184"/>
        <v>0</v>
      </c>
      <c r="AI221" s="21">
        <f t="shared" si="185"/>
        <v>0</v>
      </c>
      <c r="AJ221" s="21">
        <f t="shared" si="186"/>
        <v>0</v>
      </c>
      <c r="AK221" s="9" t="s">
        <v>57</v>
      </c>
      <c r="AL221" s="9" t="s">
        <v>57</v>
      </c>
      <c r="AM221" s="22">
        <v>0</v>
      </c>
      <c r="AN221" s="23">
        <f t="shared" si="187"/>
        <v>0</v>
      </c>
      <c r="AO221" s="9"/>
      <c r="AP221" s="26">
        <v>0</v>
      </c>
      <c r="AQ221" s="9"/>
    </row>
    <row r="222" spans="2:43" ht="78.75" x14ac:dyDescent="0.25">
      <c r="B222" s="170" t="s">
        <v>178</v>
      </c>
      <c r="C222" s="108" t="s">
        <v>724</v>
      </c>
      <c r="D222" s="93" t="s">
        <v>87</v>
      </c>
      <c r="E222" s="92">
        <v>1</v>
      </c>
      <c r="F222" s="92">
        <v>1</v>
      </c>
      <c r="G222" s="91">
        <v>0</v>
      </c>
      <c r="H222" s="90">
        <f t="shared" si="178"/>
        <v>0</v>
      </c>
      <c r="I222" s="168"/>
      <c r="J222" s="84"/>
      <c r="K222" s="95">
        <v>0</v>
      </c>
      <c r="L222" s="88">
        <f t="shared" si="179"/>
        <v>0</v>
      </c>
      <c r="M222" s="8"/>
      <c r="N222" s="29"/>
      <c r="O222" s="8"/>
      <c r="P222" s="220"/>
      <c r="Q222" s="220"/>
      <c r="R222" s="220"/>
      <c r="S222" s="8"/>
      <c r="T222" s="20"/>
      <c r="U222" s="21">
        <v>0</v>
      </c>
      <c r="V222" s="21">
        <v>0</v>
      </c>
      <c r="W222" s="21">
        <f t="shared" si="118"/>
        <v>0</v>
      </c>
      <c r="X222" s="22">
        <v>1</v>
      </c>
      <c r="Y222" s="23">
        <f t="shared" si="177"/>
        <v>0</v>
      </c>
      <c r="Z222" s="21">
        <f t="shared" si="180"/>
        <v>0</v>
      </c>
      <c r="AA222" s="21">
        <f t="shared" si="120"/>
        <v>0</v>
      </c>
      <c r="AC222" s="9"/>
      <c r="AD222" s="9" t="str">
        <f t="shared" si="181"/>
        <v>10.16</v>
      </c>
      <c r="AE222" s="27">
        <f t="shared" si="182"/>
        <v>0</v>
      </c>
      <c r="AF222" s="21">
        <f t="shared" si="183"/>
        <v>0</v>
      </c>
      <c r="AG222" s="21">
        <v>0</v>
      </c>
      <c r="AH222" s="21">
        <f t="shared" si="184"/>
        <v>0</v>
      </c>
      <c r="AI222" s="21">
        <f t="shared" si="185"/>
        <v>0</v>
      </c>
      <c r="AJ222" s="21">
        <f t="shared" si="186"/>
        <v>0</v>
      </c>
      <c r="AK222" s="9" t="s">
        <v>57</v>
      </c>
      <c r="AL222" s="9" t="s">
        <v>57</v>
      </c>
      <c r="AM222" s="22">
        <v>0</v>
      </c>
      <c r="AN222" s="23">
        <f t="shared" si="187"/>
        <v>0</v>
      </c>
      <c r="AO222" s="9"/>
      <c r="AP222" s="26">
        <v>0</v>
      </c>
      <c r="AQ222" s="9"/>
    </row>
    <row r="223" spans="2:43" ht="78.75" x14ac:dyDescent="0.25">
      <c r="B223" s="170" t="s">
        <v>177</v>
      </c>
      <c r="C223" s="108" t="s">
        <v>725</v>
      </c>
      <c r="D223" s="93" t="s">
        <v>87</v>
      </c>
      <c r="E223" s="92">
        <v>1</v>
      </c>
      <c r="F223" s="92">
        <v>1</v>
      </c>
      <c r="G223" s="91">
        <v>0</v>
      </c>
      <c r="H223" s="90">
        <f t="shared" si="178"/>
        <v>0</v>
      </c>
      <c r="I223" s="168"/>
      <c r="J223" s="84"/>
      <c r="K223" s="95">
        <v>0</v>
      </c>
      <c r="L223" s="88">
        <f t="shared" si="179"/>
        <v>0</v>
      </c>
      <c r="M223" s="8"/>
      <c r="N223" s="29"/>
      <c r="O223" s="8"/>
      <c r="P223" s="220"/>
      <c r="Q223" s="220"/>
      <c r="R223" s="220"/>
      <c r="S223" s="8"/>
      <c r="T223" s="20"/>
      <c r="U223" s="21">
        <v>0</v>
      </c>
      <c r="V223" s="21">
        <v>0</v>
      </c>
      <c r="W223" s="21">
        <f t="shared" si="118"/>
        <v>0</v>
      </c>
      <c r="X223" s="22">
        <v>1</v>
      </c>
      <c r="Y223" s="23">
        <f t="shared" si="177"/>
        <v>0</v>
      </c>
      <c r="Z223" s="21">
        <f t="shared" si="180"/>
        <v>0</v>
      </c>
      <c r="AA223" s="21">
        <f t="shared" si="120"/>
        <v>0</v>
      </c>
      <c r="AC223" s="9"/>
      <c r="AD223" s="9" t="str">
        <f t="shared" si="181"/>
        <v>10.17</v>
      </c>
      <c r="AE223" s="27">
        <f t="shared" si="182"/>
        <v>0</v>
      </c>
      <c r="AF223" s="21">
        <f t="shared" si="183"/>
        <v>0</v>
      </c>
      <c r="AG223" s="21">
        <v>0</v>
      </c>
      <c r="AH223" s="21">
        <f t="shared" si="184"/>
        <v>0</v>
      </c>
      <c r="AI223" s="21">
        <f t="shared" si="185"/>
        <v>0</v>
      </c>
      <c r="AJ223" s="21">
        <f t="shared" si="186"/>
        <v>0</v>
      </c>
      <c r="AK223" s="9" t="s">
        <v>57</v>
      </c>
      <c r="AL223" s="9" t="s">
        <v>57</v>
      </c>
      <c r="AM223" s="22">
        <v>0</v>
      </c>
      <c r="AN223" s="23">
        <f t="shared" si="187"/>
        <v>0</v>
      </c>
      <c r="AO223" s="9"/>
      <c r="AP223" s="26">
        <v>0</v>
      </c>
      <c r="AQ223" s="9"/>
    </row>
    <row r="224" spans="2:43" ht="78.75" x14ac:dyDescent="0.25">
      <c r="B224" s="170" t="s">
        <v>176</v>
      </c>
      <c r="C224" s="108" t="s">
        <v>726</v>
      </c>
      <c r="D224" s="93" t="s">
        <v>87</v>
      </c>
      <c r="E224" s="92">
        <v>1</v>
      </c>
      <c r="F224" s="92">
        <v>1</v>
      </c>
      <c r="G224" s="91">
        <v>0</v>
      </c>
      <c r="H224" s="90">
        <f t="shared" si="178"/>
        <v>0</v>
      </c>
      <c r="I224" s="168"/>
      <c r="J224" s="84"/>
      <c r="K224" s="95">
        <v>0</v>
      </c>
      <c r="L224" s="88">
        <f t="shared" si="179"/>
        <v>0</v>
      </c>
      <c r="M224" s="8"/>
      <c r="N224" s="29"/>
      <c r="O224" s="8"/>
      <c r="P224" s="220"/>
      <c r="Q224" s="220"/>
      <c r="R224" s="220"/>
      <c r="S224" s="8"/>
      <c r="T224" s="20"/>
      <c r="U224" s="21">
        <v>0</v>
      </c>
      <c r="V224" s="21">
        <v>0</v>
      </c>
      <c r="W224" s="21">
        <f t="shared" si="118"/>
        <v>0</v>
      </c>
      <c r="X224" s="22">
        <v>1</v>
      </c>
      <c r="Y224" s="23">
        <f t="shared" si="177"/>
        <v>0</v>
      </c>
      <c r="Z224" s="21">
        <f t="shared" si="180"/>
        <v>0</v>
      </c>
      <c r="AA224" s="21">
        <f t="shared" ref="AA224:AA287" si="191">(W224+Z224)-Y224</f>
        <v>0</v>
      </c>
      <c r="AC224" s="9"/>
      <c r="AD224" s="9" t="str">
        <f t="shared" si="181"/>
        <v>10.18</v>
      </c>
      <c r="AE224" s="27">
        <f t="shared" si="182"/>
        <v>0</v>
      </c>
      <c r="AF224" s="21">
        <f t="shared" si="183"/>
        <v>0</v>
      </c>
      <c r="AG224" s="21">
        <v>0</v>
      </c>
      <c r="AH224" s="21">
        <f t="shared" si="184"/>
        <v>0</v>
      </c>
      <c r="AI224" s="21">
        <f t="shared" si="185"/>
        <v>0</v>
      </c>
      <c r="AJ224" s="21">
        <f t="shared" si="186"/>
        <v>0</v>
      </c>
      <c r="AK224" s="9" t="s">
        <v>57</v>
      </c>
      <c r="AL224" s="9" t="s">
        <v>57</v>
      </c>
      <c r="AM224" s="22">
        <v>0</v>
      </c>
      <c r="AN224" s="23">
        <f t="shared" si="187"/>
        <v>0</v>
      </c>
      <c r="AO224" s="9"/>
      <c r="AP224" s="26">
        <v>0</v>
      </c>
      <c r="AQ224" s="9"/>
    </row>
    <row r="225" spans="2:43" ht="78.75" x14ac:dyDescent="0.25">
      <c r="B225" s="170" t="s">
        <v>175</v>
      </c>
      <c r="C225" s="108" t="s">
        <v>727</v>
      </c>
      <c r="D225" s="93" t="s">
        <v>87</v>
      </c>
      <c r="E225" s="92">
        <v>1</v>
      </c>
      <c r="F225" s="92">
        <v>1</v>
      </c>
      <c r="G225" s="91">
        <v>0</v>
      </c>
      <c r="H225" s="90">
        <f t="shared" si="178"/>
        <v>0</v>
      </c>
      <c r="I225" s="168"/>
      <c r="J225" s="84"/>
      <c r="K225" s="95">
        <v>0</v>
      </c>
      <c r="L225" s="88">
        <f t="shared" si="179"/>
        <v>0</v>
      </c>
      <c r="M225" s="8"/>
      <c r="N225" s="29"/>
      <c r="O225" s="8"/>
      <c r="P225" s="220"/>
      <c r="Q225" s="220"/>
      <c r="R225" s="220"/>
      <c r="S225" s="8"/>
      <c r="T225" s="20"/>
      <c r="U225" s="21">
        <v>0</v>
      </c>
      <c r="V225" s="21">
        <v>0</v>
      </c>
      <c r="W225" s="21">
        <f t="shared" si="118"/>
        <v>0</v>
      </c>
      <c r="X225" s="22">
        <v>1</v>
      </c>
      <c r="Y225" s="23">
        <f t="shared" si="177"/>
        <v>0</v>
      </c>
      <c r="Z225" s="21">
        <f t="shared" si="180"/>
        <v>0</v>
      </c>
      <c r="AA225" s="21">
        <f t="shared" si="191"/>
        <v>0</v>
      </c>
      <c r="AC225" s="9"/>
      <c r="AD225" s="9" t="str">
        <f t="shared" si="181"/>
        <v>10.19</v>
      </c>
      <c r="AE225" s="27">
        <f t="shared" si="182"/>
        <v>0</v>
      </c>
      <c r="AF225" s="21">
        <f t="shared" si="183"/>
        <v>0</v>
      </c>
      <c r="AG225" s="21">
        <v>0</v>
      </c>
      <c r="AH225" s="21">
        <f t="shared" si="184"/>
        <v>0</v>
      </c>
      <c r="AI225" s="21">
        <f t="shared" si="185"/>
        <v>0</v>
      </c>
      <c r="AJ225" s="21">
        <f t="shared" si="186"/>
        <v>0</v>
      </c>
      <c r="AK225" s="9" t="s">
        <v>57</v>
      </c>
      <c r="AL225" s="9" t="s">
        <v>57</v>
      </c>
      <c r="AM225" s="22">
        <v>0</v>
      </c>
      <c r="AN225" s="23">
        <f t="shared" si="187"/>
        <v>0</v>
      </c>
      <c r="AO225" s="9"/>
      <c r="AP225" s="26">
        <v>0</v>
      </c>
      <c r="AQ225" s="9"/>
    </row>
    <row r="226" spans="2:43" ht="78.75" x14ac:dyDescent="0.25">
      <c r="B226" s="170" t="s">
        <v>174</v>
      </c>
      <c r="C226" s="108" t="s">
        <v>728</v>
      </c>
      <c r="D226" s="93" t="s">
        <v>87</v>
      </c>
      <c r="E226" s="92">
        <v>1</v>
      </c>
      <c r="F226" s="92">
        <v>1</v>
      </c>
      <c r="G226" s="91">
        <v>0</v>
      </c>
      <c r="H226" s="90">
        <f t="shared" si="178"/>
        <v>0</v>
      </c>
      <c r="I226" s="168"/>
      <c r="J226" s="84"/>
      <c r="K226" s="95">
        <v>0</v>
      </c>
      <c r="L226" s="88">
        <f t="shared" si="179"/>
        <v>0</v>
      </c>
      <c r="M226" s="8"/>
      <c r="N226" s="29"/>
      <c r="O226" s="8"/>
      <c r="P226" s="220"/>
      <c r="Q226" s="220"/>
      <c r="R226" s="220"/>
      <c r="S226" s="8"/>
      <c r="T226" s="20"/>
      <c r="U226" s="21">
        <v>0</v>
      </c>
      <c r="V226" s="21">
        <v>0</v>
      </c>
      <c r="W226" s="21">
        <f t="shared" ref="W226:W289" si="192">(H226-U226)-V226</f>
        <v>0</v>
      </c>
      <c r="X226" s="22">
        <v>1</v>
      </c>
      <c r="Y226" s="23">
        <f t="shared" si="177"/>
        <v>0</v>
      </c>
      <c r="Z226" s="21">
        <f t="shared" si="180"/>
        <v>0</v>
      </c>
      <c r="AA226" s="21">
        <f t="shared" si="191"/>
        <v>0</v>
      </c>
      <c r="AC226" s="9"/>
      <c r="AD226" s="9" t="str">
        <f t="shared" si="181"/>
        <v>10.20</v>
      </c>
      <c r="AE226" s="27">
        <f t="shared" si="182"/>
        <v>0</v>
      </c>
      <c r="AF226" s="21">
        <f t="shared" si="183"/>
        <v>0</v>
      </c>
      <c r="AG226" s="21">
        <v>0</v>
      </c>
      <c r="AH226" s="21">
        <f t="shared" si="184"/>
        <v>0</v>
      </c>
      <c r="AI226" s="21">
        <f t="shared" si="185"/>
        <v>0</v>
      </c>
      <c r="AJ226" s="21">
        <f t="shared" si="186"/>
        <v>0</v>
      </c>
      <c r="AK226" s="9" t="s">
        <v>57</v>
      </c>
      <c r="AL226" s="9" t="s">
        <v>57</v>
      </c>
      <c r="AM226" s="22">
        <v>0</v>
      </c>
      <c r="AN226" s="23">
        <f t="shared" si="187"/>
        <v>0</v>
      </c>
      <c r="AO226" s="9"/>
      <c r="AP226" s="26">
        <v>0</v>
      </c>
      <c r="AQ226" s="9"/>
    </row>
    <row r="227" spans="2:43" ht="63" x14ac:dyDescent="0.25">
      <c r="B227" s="170" t="s">
        <v>173</v>
      </c>
      <c r="C227" s="108" t="s">
        <v>729</v>
      </c>
      <c r="D227" s="93" t="s">
        <v>87</v>
      </c>
      <c r="E227" s="92">
        <v>1</v>
      </c>
      <c r="F227" s="92">
        <v>1</v>
      </c>
      <c r="G227" s="91">
        <v>0</v>
      </c>
      <c r="H227" s="90">
        <f t="shared" si="178"/>
        <v>0</v>
      </c>
      <c r="I227" s="168"/>
      <c r="J227" s="84"/>
      <c r="K227" s="95">
        <v>0</v>
      </c>
      <c r="L227" s="88">
        <f t="shared" si="179"/>
        <v>0</v>
      </c>
      <c r="M227" s="8"/>
      <c r="N227" s="29"/>
      <c r="O227" s="8"/>
      <c r="P227" s="220"/>
      <c r="Q227" s="220"/>
      <c r="R227" s="220"/>
      <c r="S227" s="8"/>
      <c r="T227" s="20"/>
      <c r="U227" s="21">
        <v>0</v>
      </c>
      <c r="V227" s="21">
        <v>0</v>
      </c>
      <c r="W227" s="21">
        <f t="shared" si="192"/>
        <v>0</v>
      </c>
      <c r="X227" s="22">
        <v>1</v>
      </c>
      <c r="Y227" s="23">
        <f t="shared" si="177"/>
        <v>0</v>
      </c>
      <c r="Z227" s="21">
        <f t="shared" si="180"/>
        <v>0</v>
      </c>
      <c r="AA227" s="21">
        <f t="shared" si="191"/>
        <v>0</v>
      </c>
      <c r="AC227" s="9"/>
      <c r="AD227" s="9" t="str">
        <f t="shared" si="181"/>
        <v>10.21</v>
      </c>
      <c r="AE227" s="27">
        <f t="shared" si="182"/>
        <v>0</v>
      </c>
      <c r="AF227" s="21">
        <f t="shared" si="183"/>
        <v>0</v>
      </c>
      <c r="AG227" s="21">
        <v>0</v>
      </c>
      <c r="AH227" s="21">
        <f t="shared" si="184"/>
        <v>0</v>
      </c>
      <c r="AI227" s="21">
        <f t="shared" si="185"/>
        <v>0</v>
      </c>
      <c r="AJ227" s="21">
        <f t="shared" si="186"/>
        <v>0</v>
      </c>
      <c r="AK227" s="9" t="s">
        <v>57</v>
      </c>
      <c r="AL227" s="9" t="s">
        <v>57</v>
      </c>
      <c r="AM227" s="22">
        <v>0</v>
      </c>
      <c r="AN227" s="23">
        <f t="shared" si="187"/>
        <v>0</v>
      </c>
      <c r="AO227" s="9"/>
      <c r="AP227" s="26">
        <v>0</v>
      </c>
      <c r="AQ227" s="9"/>
    </row>
    <row r="228" spans="2:43" ht="63" x14ac:dyDescent="0.25">
      <c r="B228" s="170" t="s">
        <v>365</v>
      </c>
      <c r="C228" s="108" t="s">
        <v>730</v>
      </c>
      <c r="D228" s="93" t="s">
        <v>87</v>
      </c>
      <c r="E228" s="92">
        <v>1</v>
      </c>
      <c r="F228" s="92">
        <v>1</v>
      </c>
      <c r="G228" s="91">
        <v>0</v>
      </c>
      <c r="H228" s="90">
        <f t="shared" si="178"/>
        <v>0</v>
      </c>
      <c r="I228" s="168"/>
      <c r="J228" s="84"/>
      <c r="K228" s="95">
        <v>0</v>
      </c>
      <c r="L228" s="88">
        <f t="shared" si="179"/>
        <v>0</v>
      </c>
      <c r="M228" s="8"/>
      <c r="N228" s="29"/>
      <c r="O228" s="8"/>
      <c r="P228" s="220"/>
      <c r="Q228" s="220"/>
      <c r="R228" s="220"/>
      <c r="S228" s="8"/>
      <c r="T228" s="20"/>
      <c r="U228" s="21">
        <v>0</v>
      </c>
      <c r="V228" s="21">
        <v>0</v>
      </c>
      <c r="W228" s="21">
        <f t="shared" si="192"/>
        <v>0</v>
      </c>
      <c r="X228" s="22">
        <v>1</v>
      </c>
      <c r="Y228" s="23">
        <f t="shared" si="177"/>
        <v>0</v>
      </c>
      <c r="Z228" s="21">
        <f t="shared" si="180"/>
        <v>0</v>
      </c>
      <c r="AA228" s="21">
        <f t="shared" si="191"/>
        <v>0</v>
      </c>
      <c r="AC228" s="9"/>
      <c r="AD228" s="9" t="str">
        <f t="shared" si="181"/>
        <v>10.22</v>
      </c>
      <c r="AE228" s="27">
        <f t="shared" si="182"/>
        <v>0</v>
      </c>
      <c r="AF228" s="21">
        <f t="shared" si="183"/>
        <v>0</v>
      </c>
      <c r="AG228" s="21">
        <v>0</v>
      </c>
      <c r="AH228" s="21">
        <f t="shared" si="184"/>
        <v>0</v>
      </c>
      <c r="AI228" s="21">
        <f t="shared" si="185"/>
        <v>0</v>
      </c>
      <c r="AJ228" s="21">
        <f t="shared" si="186"/>
        <v>0</v>
      </c>
      <c r="AK228" s="9" t="s">
        <v>57</v>
      </c>
      <c r="AL228" s="9" t="s">
        <v>57</v>
      </c>
      <c r="AM228" s="22">
        <v>0</v>
      </c>
      <c r="AN228" s="23">
        <f t="shared" si="187"/>
        <v>0</v>
      </c>
      <c r="AO228" s="9"/>
      <c r="AP228" s="26">
        <v>0</v>
      </c>
      <c r="AQ228" s="9"/>
    </row>
    <row r="229" spans="2:43" ht="78.75" x14ac:dyDescent="0.25">
      <c r="B229" s="170" t="s">
        <v>366</v>
      </c>
      <c r="C229" s="112" t="s">
        <v>731</v>
      </c>
      <c r="D229" s="93" t="s">
        <v>87</v>
      </c>
      <c r="E229" s="111">
        <v>1</v>
      </c>
      <c r="F229" s="110">
        <v>1</v>
      </c>
      <c r="G229" s="90">
        <v>0</v>
      </c>
      <c r="H229" s="109">
        <f t="shared" si="178"/>
        <v>0</v>
      </c>
      <c r="I229" s="168"/>
      <c r="J229" s="84"/>
      <c r="K229" s="95">
        <v>0</v>
      </c>
      <c r="L229" s="88">
        <f t="shared" si="179"/>
        <v>0</v>
      </c>
      <c r="M229" s="8"/>
      <c r="N229" s="29"/>
      <c r="O229" s="8"/>
      <c r="P229" s="220"/>
      <c r="Q229" s="220"/>
      <c r="R229" s="220"/>
      <c r="S229" s="8"/>
      <c r="T229" s="20"/>
      <c r="U229" s="21">
        <v>0</v>
      </c>
      <c r="V229" s="21">
        <v>0</v>
      </c>
      <c r="W229" s="21">
        <f t="shared" si="192"/>
        <v>0</v>
      </c>
      <c r="X229" s="22">
        <v>1</v>
      </c>
      <c r="Y229" s="23">
        <f t="shared" si="177"/>
        <v>0</v>
      </c>
      <c r="Z229" s="21">
        <f t="shared" si="180"/>
        <v>0</v>
      </c>
      <c r="AA229" s="21">
        <f t="shared" si="191"/>
        <v>0</v>
      </c>
      <c r="AC229" s="9"/>
      <c r="AD229" s="9" t="str">
        <f t="shared" si="181"/>
        <v>10.23</v>
      </c>
      <c r="AE229" s="27">
        <f t="shared" si="182"/>
        <v>0</v>
      </c>
      <c r="AF229" s="21">
        <f t="shared" si="183"/>
        <v>0</v>
      </c>
      <c r="AG229" s="21">
        <v>0</v>
      </c>
      <c r="AH229" s="21">
        <f t="shared" si="184"/>
        <v>0</v>
      </c>
      <c r="AI229" s="21">
        <f t="shared" si="185"/>
        <v>0</v>
      </c>
      <c r="AJ229" s="21">
        <f t="shared" si="186"/>
        <v>0</v>
      </c>
      <c r="AK229" s="9" t="s">
        <v>57</v>
      </c>
      <c r="AL229" s="9" t="s">
        <v>57</v>
      </c>
      <c r="AM229" s="22">
        <v>0</v>
      </c>
      <c r="AN229" s="23">
        <f t="shared" si="187"/>
        <v>0</v>
      </c>
      <c r="AO229" s="9"/>
      <c r="AP229" s="26">
        <v>0</v>
      </c>
      <c r="AQ229" s="9"/>
    </row>
    <row r="230" spans="2:43" ht="78.75" x14ac:dyDescent="0.25">
      <c r="B230" s="170" t="s">
        <v>367</v>
      </c>
      <c r="C230" s="96" t="s">
        <v>732</v>
      </c>
      <c r="D230" s="93" t="s">
        <v>87</v>
      </c>
      <c r="E230" s="92">
        <v>1</v>
      </c>
      <c r="F230" s="92">
        <v>1</v>
      </c>
      <c r="G230" s="91">
        <v>0</v>
      </c>
      <c r="H230" s="90">
        <f t="shared" si="178"/>
        <v>0</v>
      </c>
      <c r="I230" s="168"/>
      <c r="J230" s="84"/>
      <c r="K230" s="95">
        <v>0</v>
      </c>
      <c r="L230" s="88">
        <f t="shared" si="179"/>
        <v>0</v>
      </c>
      <c r="M230" s="8"/>
      <c r="N230" s="29"/>
      <c r="O230" s="8"/>
      <c r="P230" s="220"/>
      <c r="Q230" s="220"/>
      <c r="R230" s="220"/>
      <c r="S230" s="8"/>
      <c r="T230" s="20"/>
      <c r="U230" s="21">
        <v>0</v>
      </c>
      <c r="V230" s="21">
        <v>0</v>
      </c>
      <c r="W230" s="21">
        <f t="shared" si="192"/>
        <v>0</v>
      </c>
      <c r="X230" s="22">
        <v>1</v>
      </c>
      <c r="Y230" s="23">
        <f t="shared" si="177"/>
        <v>0</v>
      </c>
      <c r="Z230" s="21">
        <f t="shared" si="180"/>
        <v>0</v>
      </c>
      <c r="AA230" s="21">
        <f t="shared" si="191"/>
        <v>0</v>
      </c>
      <c r="AC230" s="9"/>
      <c r="AD230" s="9" t="str">
        <f t="shared" si="181"/>
        <v>10.24</v>
      </c>
      <c r="AE230" s="27">
        <f t="shared" si="182"/>
        <v>0</v>
      </c>
      <c r="AF230" s="21">
        <f t="shared" si="183"/>
        <v>0</v>
      </c>
      <c r="AG230" s="21">
        <v>0</v>
      </c>
      <c r="AH230" s="21">
        <f t="shared" si="184"/>
        <v>0</v>
      </c>
      <c r="AI230" s="21">
        <f t="shared" si="185"/>
        <v>0</v>
      </c>
      <c r="AJ230" s="21">
        <f t="shared" si="186"/>
        <v>0</v>
      </c>
      <c r="AK230" s="9" t="s">
        <v>57</v>
      </c>
      <c r="AL230" s="9" t="s">
        <v>57</v>
      </c>
      <c r="AM230" s="22">
        <v>0</v>
      </c>
      <c r="AN230" s="23">
        <f t="shared" si="187"/>
        <v>0</v>
      </c>
      <c r="AO230" s="9"/>
      <c r="AP230" s="26">
        <v>0</v>
      </c>
      <c r="AQ230" s="9"/>
    </row>
    <row r="231" spans="2:43" ht="78.75" x14ac:dyDescent="0.25">
      <c r="B231" s="170" t="s">
        <v>368</v>
      </c>
      <c r="C231" s="108" t="s">
        <v>733</v>
      </c>
      <c r="D231" s="93" t="s">
        <v>87</v>
      </c>
      <c r="E231" s="92">
        <v>1</v>
      </c>
      <c r="F231" s="92">
        <v>1</v>
      </c>
      <c r="G231" s="91">
        <v>0</v>
      </c>
      <c r="H231" s="90">
        <f t="shared" si="178"/>
        <v>0</v>
      </c>
      <c r="I231" s="168"/>
      <c r="J231" s="84"/>
      <c r="K231" s="95">
        <v>0</v>
      </c>
      <c r="L231" s="88">
        <f t="shared" si="179"/>
        <v>0</v>
      </c>
      <c r="M231" s="8"/>
      <c r="N231" s="29"/>
      <c r="O231" s="8"/>
      <c r="P231" s="220"/>
      <c r="Q231" s="220"/>
      <c r="R231" s="220"/>
      <c r="S231" s="8"/>
      <c r="T231" s="20"/>
      <c r="U231" s="21">
        <v>0</v>
      </c>
      <c r="V231" s="21">
        <v>0</v>
      </c>
      <c r="W231" s="21">
        <f t="shared" si="192"/>
        <v>0</v>
      </c>
      <c r="X231" s="22">
        <v>1</v>
      </c>
      <c r="Y231" s="23">
        <f t="shared" si="177"/>
        <v>0</v>
      </c>
      <c r="Z231" s="21">
        <f t="shared" si="180"/>
        <v>0</v>
      </c>
      <c r="AA231" s="21">
        <f t="shared" si="191"/>
        <v>0</v>
      </c>
      <c r="AC231" s="9"/>
      <c r="AD231" s="9" t="str">
        <f t="shared" si="181"/>
        <v>10.25</v>
      </c>
      <c r="AE231" s="27">
        <f t="shared" si="182"/>
        <v>0</v>
      </c>
      <c r="AF231" s="21">
        <f t="shared" si="183"/>
        <v>0</v>
      </c>
      <c r="AG231" s="21">
        <v>0</v>
      </c>
      <c r="AH231" s="21">
        <f t="shared" si="184"/>
        <v>0</v>
      </c>
      <c r="AI231" s="21">
        <f t="shared" si="185"/>
        <v>0</v>
      </c>
      <c r="AJ231" s="21">
        <f t="shared" si="186"/>
        <v>0</v>
      </c>
      <c r="AK231" s="9" t="s">
        <v>57</v>
      </c>
      <c r="AL231" s="9" t="s">
        <v>57</v>
      </c>
      <c r="AM231" s="22">
        <v>0</v>
      </c>
      <c r="AN231" s="23">
        <f t="shared" si="187"/>
        <v>0</v>
      </c>
      <c r="AO231" s="9"/>
      <c r="AP231" s="26">
        <v>0</v>
      </c>
      <c r="AQ231" s="9"/>
    </row>
    <row r="232" spans="2:43" ht="78.75" x14ac:dyDescent="0.25">
      <c r="B232" s="170" t="s">
        <v>369</v>
      </c>
      <c r="C232" s="108" t="s">
        <v>734</v>
      </c>
      <c r="D232" s="93" t="s">
        <v>87</v>
      </c>
      <c r="E232" s="92">
        <v>1</v>
      </c>
      <c r="F232" s="92">
        <v>1</v>
      </c>
      <c r="G232" s="91">
        <v>0</v>
      </c>
      <c r="H232" s="90">
        <f t="shared" si="178"/>
        <v>0</v>
      </c>
      <c r="I232" s="168"/>
      <c r="J232" s="84"/>
      <c r="K232" s="95">
        <v>0</v>
      </c>
      <c r="L232" s="88">
        <f t="shared" si="179"/>
        <v>0</v>
      </c>
      <c r="M232" s="8"/>
      <c r="N232" s="29"/>
      <c r="O232" s="8"/>
      <c r="P232" s="220"/>
      <c r="Q232" s="220"/>
      <c r="R232" s="220"/>
      <c r="S232" s="8"/>
      <c r="T232" s="20"/>
      <c r="U232" s="21">
        <v>0</v>
      </c>
      <c r="V232" s="21">
        <v>0</v>
      </c>
      <c r="W232" s="21">
        <f t="shared" si="192"/>
        <v>0</v>
      </c>
      <c r="X232" s="22">
        <v>1</v>
      </c>
      <c r="Y232" s="23">
        <f t="shared" si="177"/>
        <v>0</v>
      </c>
      <c r="Z232" s="21">
        <f t="shared" si="180"/>
        <v>0</v>
      </c>
      <c r="AA232" s="21">
        <f t="shared" si="191"/>
        <v>0</v>
      </c>
      <c r="AC232" s="9"/>
      <c r="AD232" s="9" t="str">
        <f t="shared" si="181"/>
        <v>10.26</v>
      </c>
      <c r="AE232" s="27">
        <f t="shared" si="182"/>
        <v>0</v>
      </c>
      <c r="AF232" s="21">
        <f t="shared" si="183"/>
        <v>0</v>
      </c>
      <c r="AG232" s="21">
        <v>0</v>
      </c>
      <c r="AH232" s="21">
        <f t="shared" si="184"/>
        <v>0</v>
      </c>
      <c r="AI232" s="21">
        <f t="shared" si="185"/>
        <v>0</v>
      </c>
      <c r="AJ232" s="21">
        <f t="shared" si="186"/>
        <v>0</v>
      </c>
      <c r="AK232" s="9" t="s">
        <v>57</v>
      </c>
      <c r="AL232" s="9" t="s">
        <v>57</v>
      </c>
      <c r="AM232" s="22">
        <v>0</v>
      </c>
      <c r="AN232" s="23">
        <f t="shared" si="187"/>
        <v>0</v>
      </c>
      <c r="AO232" s="9"/>
      <c r="AP232" s="26">
        <v>0</v>
      </c>
      <c r="AQ232" s="9"/>
    </row>
    <row r="233" spans="2:43" ht="78.75" x14ac:dyDescent="0.25">
      <c r="B233" s="170" t="s">
        <v>370</v>
      </c>
      <c r="C233" s="108" t="s">
        <v>735</v>
      </c>
      <c r="D233" s="93" t="s">
        <v>87</v>
      </c>
      <c r="E233" s="92">
        <v>1</v>
      </c>
      <c r="F233" s="92">
        <v>1</v>
      </c>
      <c r="G233" s="91">
        <v>0</v>
      </c>
      <c r="H233" s="90">
        <f t="shared" si="178"/>
        <v>0</v>
      </c>
      <c r="I233" s="168"/>
      <c r="J233" s="84"/>
      <c r="K233" s="95">
        <v>0</v>
      </c>
      <c r="L233" s="88">
        <f t="shared" si="179"/>
        <v>0</v>
      </c>
      <c r="M233" s="8"/>
      <c r="N233" s="29"/>
      <c r="O233" s="8"/>
      <c r="P233" s="220"/>
      <c r="Q233" s="220"/>
      <c r="R233" s="220"/>
      <c r="S233" s="8"/>
      <c r="T233" s="20"/>
      <c r="U233" s="21">
        <v>0</v>
      </c>
      <c r="V233" s="21">
        <v>0</v>
      </c>
      <c r="W233" s="21">
        <f t="shared" si="192"/>
        <v>0</v>
      </c>
      <c r="X233" s="22">
        <v>1</v>
      </c>
      <c r="Y233" s="23">
        <f t="shared" si="177"/>
        <v>0</v>
      </c>
      <c r="Z233" s="21">
        <f t="shared" si="180"/>
        <v>0</v>
      </c>
      <c r="AA233" s="21">
        <f t="shared" si="191"/>
        <v>0</v>
      </c>
      <c r="AC233" s="9"/>
      <c r="AD233" s="9" t="str">
        <f t="shared" si="181"/>
        <v>10.27</v>
      </c>
      <c r="AE233" s="27">
        <f t="shared" si="182"/>
        <v>0</v>
      </c>
      <c r="AF233" s="21">
        <f t="shared" si="183"/>
        <v>0</v>
      </c>
      <c r="AG233" s="21">
        <v>0</v>
      </c>
      <c r="AH233" s="21">
        <f t="shared" si="184"/>
        <v>0</v>
      </c>
      <c r="AI233" s="21">
        <f t="shared" si="185"/>
        <v>0</v>
      </c>
      <c r="AJ233" s="21">
        <f t="shared" si="186"/>
        <v>0</v>
      </c>
      <c r="AK233" s="9" t="s">
        <v>57</v>
      </c>
      <c r="AL233" s="9" t="s">
        <v>57</v>
      </c>
      <c r="AM233" s="22">
        <v>0</v>
      </c>
      <c r="AN233" s="23">
        <f t="shared" si="187"/>
        <v>0</v>
      </c>
      <c r="AO233" s="9"/>
      <c r="AP233" s="26">
        <v>0</v>
      </c>
      <c r="AQ233" s="9"/>
    </row>
    <row r="234" spans="2:43" ht="78.75" x14ac:dyDescent="0.25">
      <c r="B234" s="170" t="s">
        <v>371</v>
      </c>
      <c r="C234" s="108" t="s">
        <v>736</v>
      </c>
      <c r="D234" s="93" t="s">
        <v>87</v>
      </c>
      <c r="E234" s="92">
        <v>1</v>
      </c>
      <c r="F234" s="92">
        <v>1</v>
      </c>
      <c r="G234" s="91">
        <v>0</v>
      </c>
      <c r="H234" s="90">
        <f t="shared" si="178"/>
        <v>0</v>
      </c>
      <c r="I234" s="168"/>
      <c r="J234" s="84"/>
      <c r="K234" s="95">
        <v>0</v>
      </c>
      <c r="L234" s="88">
        <f t="shared" si="179"/>
        <v>0</v>
      </c>
      <c r="M234" s="8"/>
      <c r="N234" s="29"/>
      <c r="O234" s="8"/>
      <c r="P234" s="220"/>
      <c r="Q234" s="220"/>
      <c r="R234" s="220"/>
      <c r="S234" s="8"/>
      <c r="T234" s="20"/>
      <c r="U234" s="21">
        <v>0</v>
      </c>
      <c r="V234" s="21">
        <v>0</v>
      </c>
      <c r="W234" s="21">
        <f t="shared" si="192"/>
        <v>0</v>
      </c>
      <c r="X234" s="22">
        <v>1</v>
      </c>
      <c r="Y234" s="23">
        <f t="shared" si="177"/>
        <v>0</v>
      </c>
      <c r="Z234" s="21">
        <f t="shared" si="180"/>
        <v>0</v>
      </c>
      <c r="AA234" s="21">
        <f t="shared" si="191"/>
        <v>0</v>
      </c>
      <c r="AC234" s="9"/>
      <c r="AD234" s="9" t="str">
        <f t="shared" si="181"/>
        <v>10.28</v>
      </c>
      <c r="AE234" s="27">
        <f t="shared" si="182"/>
        <v>0</v>
      </c>
      <c r="AF234" s="21">
        <f t="shared" si="183"/>
        <v>0</v>
      </c>
      <c r="AG234" s="21">
        <v>0</v>
      </c>
      <c r="AH234" s="21">
        <f t="shared" si="184"/>
        <v>0</v>
      </c>
      <c r="AI234" s="21">
        <f t="shared" si="185"/>
        <v>0</v>
      </c>
      <c r="AJ234" s="21">
        <f t="shared" si="186"/>
        <v>0</v>
      </c>
      <c r="AK234" s="9" t="s">
        <v>57</v>
      </c>
      <c r="AL234" s="9" t="s">
        <v>57</v>
      </c>
      <c r="AM234" s="22">
        <v>0</v>
      </c>
      <c r="AN234" s="23">
        <f t="shared" si="187"/>
        <v>0</v>
      </c>
      <c r="AO234" s="9"/>
      <c r="AP234" s="26">
        <v>0</v>
      </c>
      <c r="AQ234" s="9"/>
    </row>
    <row r="235" spans="2:43" ht="78.75" x14ac:dyDescent="0.25">
      <c r="B235" s="170" t="s">
        <v>372</v>
      </c>
      <c r="C235" s="96" t="s">
        <v>737</v>
      </c>
      <c r="D235" s="93" t="s">
        <v>87</v>
      </c>
      <c r="E235" s="92">
        <v>1</v>
      </c>
      <c r="F235" s="92">
        <v>1</v>
      </c>
      <c r="G235" s="91">
        <v>0</v>
      </c>
      <c r="H235" s="107">
        <f t="shared" si="178"/>
        <v>0</v>
      </c>
      <c r="I235" s="168"/>
      <c r="J235" s="84"/>
      <c r="K235" s="95">
        <v>0</v>
      </c>
      <c r="L235" s="88">
        <f t="shared" si="179"/>
        <v>0</v>
      </c>
      <c r="M235" s="8"/>
      <c r="N235" s="29"/>
      <c r="O235" s="8"/>
      <c r="P235" s="220"/>
      <c r="Q235" s="220"/>
      <c r="R235" s="220"/>
      <c r="S235" s="8"/>
      <c r="T235" s="20"/>
      <c r="U235" s="21">
        <v>0</v>
      </c>
      <c r="V235" s="21">
        <v>0</v>
      </c>
      <c r="W235" s="21">
        <f t="shared" si="192"/>
        <v>0</v>
      </c>
      <c r="X235" s="22">
        <v>1</v>
      </c>
      <c r="Y235" s="23">
        <f t="shared" si="177"/>
        <v>0</v>
      </c>
      <c r="Z235" s="21">
        <f t="shared" si="180"/>
        <v>0</v>
      </c>
      <c r="AA235" s="21">
        <f t="shared" si="191"/>
        <v>0</v>
      </c>
      <c r="AC235" s="9"/>
      <c r="AD235" s="9" t="str">
        <f t="shared" si="181"/>
        <v>10.29</v>
      </c>
      <c r="AE235" s="27">
        <f t="shared" si="182"/>
        <v>0</v>
      </c>
      <c r="AF235" s="21">
        <f t="shared" si="183"/>
        <v>0</v>
      </c>
      <c r="AG235" s="21">
        <v>0</v>
      </c>
      <c r="AH235" s="21">
        <f t="shared" si="184"/>
        <v>0</v>
      </c>
      <c r="AI235" s="21">
        <f t="shared" si="185"/>
        <v>0</v>
      </c>
      <c r="AJ235" s="21">
        <f t="shared" si="186"/>
        <v>0</v>
      </c>
      <c r="AK235" s="9" t="s">
        <v>57</v>
      </c>
      <c r="AL235" s="9" t="s">
        <v>57</v>
      </c>
      <c r="AM235" s="22">
        <v>0</v>
      </c>
      <c r="AN235" s="23">
        <f t="shared" si="187"/>
        <v>0</v>
      </c>
      <c r="AO235" s="9"/>
      <c r="AP235" s="26">
        <v>0</v>
      </c>
      <c r="AQ235" s="9"/>
    </row>
    <row r="236" spans="2:43" ht="47.25" x14ac:dyDescent="0.25">
      <c r="B236" s="170" t="s">
        <v>373</v>
      </c>
      <c r="C236" s="96" t="s">
        <v>738</v>
      </c>
      <c r="D236" s="93" t="s">
        <v>87</v>
      </c>
      <c r="E236" s="92">
        <v>1</v>
      </c>
      <c r="F236" s="92">
        <v>1</v>
      </c>
      <c r="G236" s="91">
        <v>0</v>
      </c>
      <c r="H236" s="107">
        <f t="shared" si="178"/>
        <v>0</v>
      </c>
      <c r="I236" s="168"/>
      <c r="J236" s="84"/>
      <c r="K236" s="95">
        <v>0</v>
      </c>
      <c r="L236" s="88">
        <f t="shared" si="179"/>
        <v>0</v>
      </c>
      <c r="M236" s="8"/>
      <c r="N236" s="29"/>
      <c r="O236" s="8"/>
      <c r="P236" s="220"/>
      <c r="Q236" s="220"/>
      <c r="R236" s="220"/>
      <c r="S236" s="8"/>
      <c r="T236" s="20"/>
      <c r="U236" s="21">
        <v>0</v>
      </c>
      <c r="V236" s="21">
        <v>0</v>
      </c>
      <c r="W236" s="21">
        <f t="shared" si="192"/>
        <v>0</v>
      </c>
      <c r="X236" s="22">
        <v>1</v>
      </c>
      <c r="Y236" s="23">
        <f t="shared" si="177"/>
        <v>0</v>
      </c>
      <c r="Z236" s="21">
        <f t="shared" si="180"/>
        <v>0</v>
      </c>
      <c r="AA236" s="21">
        <f t="shared" si="191"/>
        <v>0</v>
      </c>
      <c r="AC236" s="9"/>
      <c r="AD236" s="9" t="str">
        <f t="shared" si="181"/>
        <v>10.30</v>
      </c>
      <c r="AE236" s="27">
        <f t="shared" si="182"/>
        <v>0</v>
      </c>
      <c r="AF236" s="21">
        <f t="shared" si="183"/>
        <v>0</v>
      </c>
      <c r="AG236" s="21">
        <v>0</v>
      </c>
      <c r="AH236" s="21">
        <f t="shared" si="184"/>
        <v>0</v>
      </c>
      <c r="AI236" s="21">
        <f t="shared" si="185"/>
        <v>0</v>
      </c>
      <c r="AJ236" s="21">
        <f t="shared" si="186"/>
        <v>0</v>
      </c>
      <c r="AK236" s="9" t="s">
        <v>57</v>
      </c>
      <c r="AL236" s="9" t="s">
        <v>57</v>
      </c>
      <c r="AM236" s="22">
        <v>0</v>
      </c>
      <c r="AN236" s="23">
        <f t="shared" si="187"/>
        <v>0</v>
      </c>
      <c r="AO236" s="9"/>
      <c r="AP236" s="26">
        <v>0</v>
      </c>
      <c r="AQ236" s="9"/>
    </row>
    <row r="237" spans="2:43" ht="78.75" x14ac:dyDescent="0.25">
      <c r="B237" s="170" t="s">
        <v>374</v>
      </c>
      <c r="C237" s="96" t="s">
        <v>739</v>
      </c>
      <c r="D237" s="93" t="s">
        <v>87</v>
      </c>
      <c r="E237" s="92">
        <v>1</v>
      </c>
      <c r="F237" s="92">
        <v>1</v>
      </c>
      <c r="G237" s="91">
        <v>0</v>
      </c>
      <c r="H237" s="107">
        <f t="shared" si="178"/>
        <v>0</v>
      </c>
      <c r="I237" s="168"/>
      <c r="J237" s="84"/>
      <c r="K237" s="95">
        <v>0</v>
      </c>
      <c r="L237" s="88">
        <f t="shared" si="179"/>
        <v>0</v>
      </c>
      <c r="M237" s="8"/>
      <c r="N237" s="29"/>
      <c r="O237" s="8"/>
      <c r="P237" s="220"/>
      <c r="Q237" s="220"/>
      <c r="R237" s="220"/>
      <c r="S237" s="8"/>
      <c r="T237" s="20"/>
      <c r="U237" s="21">
        <v>0</v>
      </c>
      <c r="V237" s="21">
        <v>0</v>
      </c>
      <c r="W237" s="21">
        <f t="shared" si="192"/>
        <v>0</v>
      </c>
      <c r="X237" s="22">
        <v>1</v>
      </c>
      <c r="Y237" s="23">
        <f t="shared" si="177"/>
        <v>0</v>
      </c>
      <c r="Z237" s="21">
        <f t="shared" si="180"/>
        <v>0</v>
      </c>
      <c r="AA237" s="21">
        <f t="shared" si="191"/>
        <v>0</v>
      </c>
      <c r="AC237" s="9"/>
      <c r="AD237" s="9" t="str">
        <f t="shared" si="181"/>
        <v>10.31</v>
      </c>
      <c r="AE237" s="27">
        <f t="shared" si="182"/>
        <v>0</v>
      </c>
      <c r="AF237" s="21">
        <f t="shared" si="183"/>
        <v>0</v>
      </c>
      <c r="AG237" s="21">
        <v>0</v>
      </c>
      <c r="AH237" s="21">
        <f t="shared" si="184"/>
        <v>0</v>
      </c>
      <c r="AI237" s="21">
        <f t="shared" si="185"/>
        <v>0</v>
      </c>
      <c r="AJ237" s="21">
        <f t="shared" si="186"/>
        <v>0</v>
      </c>
      <c r="AK237" s="9" t="s">
        <v>57</v>
      </c>
      <c r="AL237" s="9" t="s">
        <v>57</v>
      </c>
      <c r="AM237" s="22">
        <v>0</v>
      </c>
      <c r="AN237" s="23">
        <f t="shared" si="187"/>
        <v>0</v>
      </c>
      <c r="AO237" s="9"/>
      <c r="AP237" s="26">
        <v>0</v>
      </c>
      <c r="AQ237" s="9"/>
    </row>
    <row r="238" spans="2:43" ht="78.75" x14ac:dyDescent="0.25">
      <c r="B238" s="170" t="s">
        <v>375</v>
      </c>
      <c r="C238" s="96" t="s">
        <v>740</v>
      </c>
      <c r="D238" s="93" t="s">
        <v>87</v>
      </c>
      <c r="E238" s="92">
        <v>1</v>
      </c>
      <c r="F238" s="92">
        <v>1</v>
      </c>
      <c r="G238" s="91">
        <v>0</v>
      </c>
      <c r="H238" s="107">
        <f t="shared" si="178"/>
        <v>0</v>
      </c>
      <c r="I238" s="168"/>
      <c r="J238" s="84"/>
      <c r="K238" s="95">
        <v>0</v>
      </c>
      <c r="L238" s="88">
        <f t="shared" si="179"/>
        <v>0</v>
      </c>
      <c r="M238" s="8"/>
      <c r="N238" s="29"/>
      <c r="O238" s="8"/>
      <c r="P238" s="220"/>
      <c r="Q238" s="220"/>
      <c r="R238" s="220"/>
      <c r="S238" s="8"/>
      <c r="T238" s="20"/>
      <c r="U238" s="21">
        <v>0</v>
      </c>
      <c r="V238" s="21">
        <v>0</v>
      </c>
      <c r="W238" s="21">
        <f t="shared" si="192"/>
        <v>0</v>
      </c>
      <c r="X238" s="22">
        <v>1</v>
      </c>
      <c r="Y238" s="23">
        <f t="shared" si="177"/>
        <v>0</v>
      </c>
      <c r="Z238" s="21">
        <f t="shared" ref="Z238:Z270" si="193">U238*10%</f>
        <v>0</v>
      </c>
      <c r="AA238" s="21">
        <f t="shared" si="191"/>
        <v>0</v>
      </c>
      <c r="AC238" s="9"/>
      <c r="AD238" s="9" t="str">
        <f t="shared" si="181"/>
        <v>10.32</v>
      </c>
      <c r="AE238" s="27">
        <f t="shared" si="182"/>
        <v>0</v>
      </c>
      <c r="AF238" s="21">
        <f t="shared" si="183"/>
        <v>0</v>
      </c>
      <c r="AG238" s="21">
        <v>0</v>
      </c>
      <c r="AH238" s="21">
        <f t="shared" si="184"/>
        <v>0</v>
      </c>
      <c r="AI238" s="21">
        <f t="shared" si="185"/>
        <v>0</v>
      </c>
      <c r="AJ238" s="21">
        <f t="shared" si="186"/>
        <v>0</v>
      </c>
      <c r="AK238" s="9" t="s">
        <v>57</v>
      </c>
      <c r="AL238" s="9" t="s">
        <v>57</v>
      </c>
      <c r="AM238" s="22">
        <v>0</v>
      </c>
      <c r="AN238" s="23">
        <f t="shared" si="187"/>
        <v>0</v>
      </c>
      <c r="AO238" s="9"/>
      <c r="AP238" s="26">
        <v>0</v>
      </c>
      <c r="AQ238" s="9"/>
    </row>
    <row r="239" spans="2:43" ht="78.75" x14ac:dyDescent="0.25">
      <c r="B239" s="170" t="s">
        <v>376</v>
      </c>
      <c r="C239" s="96" t="s">
        <v>741</v>
      </c>
      <c r="D239" s="93" t="s">
        <v>87</v>
      </c>
      <c r="E239" s="92">
        <v>1</v>
      </c>
      <c r="F239" s="92">
        <v>1</v>
      </c>
      <c r="G239" s="91">
        <v>0</v>
      </c>
      <c r="H239" s="107">
        <f t="shared" ref="H239:H270" si="194">E239*F239*G239</f>
        <v>0</v>
      </c>
      <c r="I239" s="168"/>
      <c r="J239" s="84"/>
      <c r="K239" s="95">
        <v>0</v>
      </c>
      <c r="L239" s="88">
        <f t="shared" ref="L239:L270" si="195">H239</f>
        <v>0</v>
      </c>
      <c r="M239" s="8"/>
      <c r="N239" s="29"/>
      <c r="O239" s="8"/>
      <c r="P239" s="220"/>
      <c r="Q239" s="220"/>
      <c r="R239" s="220"/>
      <c r="S239" s="8"/>
      <c r="T239" s="20"/>
      <c r="U239" s="21">
        <v>0</v>
      </c>
      <c r="V239" s="21">
        <v>0</v>
      </c>
      <c r="W239" s="21">
        <f t="shared" si="192"/>
        <v>0</v>
      </c>
      <c r="X239" s="22">
        <v>1</v>
      </c>
      <c r="Y239" s="23">
        <f t="shared" si="177"/>
        <v>0</v>
      </c>
      <c r="Z239" s="21">
        <f t="shared" si="193"/>
        <v>0</v>
      </c>
      <c r="AA239" s="21">
        <f t="shared" si="191"/>
        <v>0</v>
      </c>
      <c r="AC239" s="9"/>
      <c r="AD239" s="9" t="str">
        <f t="shared" si="181"/>
        <v>10.33</v>
      </c>
      <c r="AE239" s="27">
        <f t="shared" si="182"/>
        <v>0</v>
      </c>
      <c r="AF239" s="21">
        <f t="shared" si="183"/>
        <v>0</v>
      </c>
      <c r="AG239" s="21">
        <v>0</v>
      </c>
      <c r="AH239" s="21">
        <f t="shared" si="184"/>
        <v>0</v>
      </c>
      <c r="AI239" s="21">
        <f t="shared" si="185"/>
        <v>0</v>
      </c>
      <c r="AJ239" s="21">
        <f t="shared" si="186"/>
        <v>0</v>
      </c>
      <c r="AK239" s="9" t="s">
        <v>57</v>
      </c>
      <c r="AL239" s="9" t="s">
        <v>57</v>
      </c>
      <c r="AM239" s="22">
        <v>0</v>
      </c>
      <c r="AN239" s="23">
        <f t="shared" si="187"/>
        <v>0</v>
      </c>
      <c r="AO239" s="9"/>
      <c r="AP239" s="26">
        <v>0</v>
      </c>
      <c r="AQ239" s="9"/>
    </row>
    <row r="240" spans="2:43" ht="78.75" x14ac:dyDescent="0.25">
      <c r="B240" s="170" t="s">
        <v>377</v>
      </c>
      <c r="C240" s="96" t="s">
        <v>742</v>
      </c>
      <c r="D240" s="93" t="s">
        <v>87</v>
      </c>
      <c r="E240" s="92">
        <v>1</v>
      </c>
      <c r="F240" s="92">
        <v>1</v>
      </c>
      <c r="G240" s="91">
        <v>0</v>
      </c>
      <c r="H240" s="107">
        <f t="shared" si="194"/>
        <v>0</v>
      </c>
      <c r="I240" s="168"/>
      <c r="J240" s="84"/>
      <c r="K240" s="95">
        <v>0</v>
      </c>
      <c r="L240" s="88">
        <f t="shared" si="195"/>
        <v>0</v>
      </c>
      <c r="M240" s="8"/>
      <c r="N240" s="29"/>
      <c r="O240" s="8"/>
      <c r="P240" s="220"/>
      <c r="Q240" s="220"/>
      <c r="R240" s="220"/>
      <c r="S240" s="8"/>
      <c r="T240" s="20"/>
      <c r="U240" s="21">
        <v>0</v>
      </c>
      <c r="V240" s="21">
        <v>0</v>
      </c>
      <c r="W240" s="21">
        <f t="shared" si="192"/>
        <v>0</v>
      </c>
      <c r="X240" s="22">
        <v>1</v>
      </c>
      <c r="Y240" s="23">
        <f t="shared" si="177"/>
        <v>0</v>
      </c>
      <c r="Z240" s="21">
        <f t="shared" si="193"/>
        <v>0</v>
      </c>
      <c r="AA240" s="21">
        <f t="shared" si="191"/>
        <v>0</v>
      </c>
      <c r="AC240" s="9"/>
      <c r="AD240" s="9" t="str">
        <f t="shared" si="181"/>
        <v>10.34</v>
      </c>
      <c r="AE240" s="27">
        <f t="shared" si="182"/>
        <v>0</v>
      </c>
      <c r="AF240" s="21">
        <f t="shared" si="183"/>
        <v>0</v>
      </c>
      <c r="AG240" s="21">
        <v>0</v>
      </c>
      <c r="AH240" s="21">
        <f t="shared" si="184"/>
        <v>0</v>
      </c>
      <c r="AI240" s="21">
        <f t="shared" si="185"/>
        <v>0</v>
      </c>
      <c r="AJ240" s="21">
        <f t="shared" si="186"/>
        <v>0</v>
      </c>
      <c r="AK240" s="9" t="s">
        <v>57</v>
      </c>
      <c r="AL240" s="9" t="s">
        <v>57</v>
      </c>
      <c r="AM240" s="22">
        <v>0</v>
      </c>
      <c r="AN240" s="23">
        <f t="shared" si="187"/>
        <v>0</v>
      </c>
      <c r="AO240" s="9"/>
      <c r="AP240" s="26">
        <v>0</v>
      </c>
      <c r="AQ240" s="9"/>
    </row>
    <row r="241" spans="2:43" ht="63" x14ac:dyDescent="0.25">
      <c r="B241" s="170" t="s">
        <v>378</v>
      </c>
      <c r="C241" s="96" t="s">
        <v>743</v>
      </c>
      <c r="D241" s="93" t="s">
        <v>87</v>
      </c>
      <c r="E241" s="92">
        <v>1</v>
      </c>
      <c r="F241" s="92">
        <v>1</v>
      </c>
      <c r="G241" s="91">
        <v>0</v>
      </c>
      <c r="H241" s="107">
        <f t="shared" si="194"/>
        <v>0</v>
      </c>
      <c r="I241" s="168"/>
      <c r="J241" s="84"/>
      <c r="K241" s="95">
        <v>0</v>
      </c>
      <c r="L241" s="88">
        <f t="shared" si="195"/>
        <v>0</v>
      </c>
      <c r="M241" s="8"/>
      <c r="N241" s="29"/>
      <c r="O241" s="8"/>
      <c r="P241" s="220"/>
      <c r="Q241" s="220"/>
      <c r="R241" s="220"/>
      <c r="S241" s="8"/>
      <c r="T241" s="20"/>
      <c r="U241" s="21">
        <v>0</v>
      </c>
      <c r="V241" s="21">
        <v>0</v>
      </c>
      <c r="W241" s="21">
        <f t="shared" si="192"/>
        <v>0</v>
      </c>
      <c r="X241" s="22">
        <v>1</v>
      </c>
      <c r="Y241" s="23">
        <f t="shared" si="177"/>
        <v>0</v>
      </c>
      <c r="Z241" s="21">
        <f t="shared" si="193"/>
        <v>0</v>
      </c>
      <c r="AA241" s="21">
        <f t="shared" si="191"/>
        <v>0</v>
      </c>
      <c r="AC241" s="9"/>
      <c r="AD241" s="9" t="str">
        <f t="shared" si="181"/>
        <v>10.35</v>
      </c>
      <c r="AE241" s="27">
        <f t="shared" si="182"/>
        <v>0</v>
      </c>
      <c r="AF241" s="21">
        <f t="shared" si="183"/>
        <v>0</v>
      </c>
      <c r="AG241" s="21">
        <v>0</v>
      </c>
      <c r="AH241" s="21">
        <f t="shared" si="184"/>
        <v>0</v>
      </c>
      <c r="AI241" s="21">
        <f t="shared" si="185"/>
        <v>0</v>
      </c>
      <c r="AJ241" s="21">
        <f t="shared" si="186"/>
        <v>0</v>
      </c>
      <c r="AK241" s="9" t="s">
        <v>57</v>
      </c>
      <c r="AL241" s="9" t="s">
        <v>57</v>
      </c>
      <c r="AM241" s="22">
        <v>0</v>
      </c>
      <c r="AN241" s="23">
        <f t="shared" si="187"/>
        <v>0</v>
      </c>
      <c r="AO241" s="9"/>
      <c r="AP241" s="26">
        <v>0</v>
      </c>
      <c r="AQ241" s="9"/>
    </row>
    <row r="242" spans="2:43" ht="63" x14ac:dyDescent="0.25">
      <c r="B242" s="170" t="s">
        <v>379</v>
      </c>
      <c r="C242" s="96" t="s">
        <v>744</v>
      </c>
      <c r="D242" s="93" t="s">
        <v>87</v>
      </c>
      <c r="E242" s="92">
        <v>1</v>
      </c>
      <c r="F242" s="92">
        <v>1</v>
      </c>
      <c r="G242" s="91">
        <v>0</v>
      </c>
      <c r="H242" s="107">
        <f t="shared" si="194"/>
        <v>0</v>
      </c>
      <c r="I242" s="168"/>
      <c r="J242" s="84"/>
      <c r="K242" s="95">
        <v>0</v>
      </c>
      <c r="L242" s="88">
        <f t="shared" si="195"/>
        <v>0</v>
      </c>
      <c r="M242" s="8"/>
      <c r="N242" s="29"/>
      <c r="O242" s="8"/>
      <c r="P242" s="220"/>
      <c r="Q242" s="220"/>
      <c r="R242" s="220"/>
      <c r="S242" s="8"/>
      <c r="T242" s="20"/>
      <c r="U242" s="21">
        <v>0</v>
      </c>
      <c r="V242" s="21">
        <v>0</v>
      </c>
      <c r="W242" s="21">
        <f t="shared" si="192"/>
        <v>0</v>
      </c>
      <c r="X242" s="22">
        <v>1</v>
      </c>
      <c r="Y242" s="23">
        <f t="shared" si="177"/>
        <v>0</v>
      </c>
      <c r="Z242" s="21">
        <f t="shared" si="193"/>
        <v>0</v>
      </c>
      <c r="AA242" s="21">
        <f t="shared" si="191"/>
        <v>0</v>
      </c>
      <c r="AC242" s="9"/>
      <c r="AD242" s="9" t="str">
        <f t="shared" si="181"/>
        <v>10.36</v>
      </c>
      <c r="AE242" s="27">
        <f t="shared" si="182"/>
        <v>0</v>
      </c>
      <c r="AF242" s="21">
        <f t="shared" si="183"/>
        <v>0</v>
      </c>
      <c r="AG242" s="21">
        <v>0</v>
      </c>
      <c r="AH242" s="21">
        <f t="shared" si="184"/>
        <v>0</v>
      </c>
      <c r="AI242" s="21">
        <f t="shared" si="185"/>
        <v>0</v>
      </c>
      <c r="AJ242" s="21">
        <f t="shared" si="186"/>
        <v>0</v>
      </c>
      <c r="AK242" s="9" t="s">
        <v>57</v>
      </c>
      <c r="AL242" s="9" t="s">
        <v>57</v>
      </c>
      <c r="AM242" s="22">
        <v>0</v>
      </c>
      <c r="AN242" s="23">
        <f t="shared" si="187"/>
        <v>0</v>
      </c>
      <c r="AO242" s="9"/>
      <c r="AP242" s="26">
        <v>0</v>
      </c>
      <c r="AQ242" s="9"/>
    </row>
    <row r="243" spans="2:43" ht="63" x14ac:dyDescent="0.25">
      <c r="B243" s="170" t="s">
        <v>380</v>
      </c>
      <c r="C243" s="96" t="s">
        <v>745</v>
      </c>
      <c r="D243" s="93" t="s">
        <v>87</v>
      </c>
      <c r="E243" s="92">
        <v>1</v>
      </c>
      <c r="F243" s="92">
        <v>1</v>
      </c>
      <c r="G243" s="91">
        <v>0</v>
      </c>
      <c r="H243" s="107">
        <f t="shared" si="194"/>
        <v>0</v>
      </c>
      <c r="I243" s="168"/>
      <c r="J243" s="84"/>
      <c r="K243" s="95">
        <v>0</v>
      </c>
      <c r="L243" s="88">
        <f t="shared" si="195"/>
        <v>0</v>
      </c>
      <c r="M243" s="8"/>
      <c r="N243" s="29"/>
      <c r="O243" s="8"/>
      <c r="P243" s="220"/>
      <c r="Q243" s="220"/>
      <c r="R243" s="220"/>
      <c r="S243" s="8"/>
      <c r="T243" s="20"/>
      <c r="U243" s="21">
        <v>0</v>
      </c>
      <c r="V243" s="21">
        <v>0</v>
      </c>
      <c r="W243" s="21">
        <f t="shared" si="192"/>
        <v>0</v>
      </c>
      <c r="X243" s="22">
        <v>1</v>
      </c>
      <c r="Y243" s="23">
        <f t="shared" si="177"/>
        <v>0</v>
      </c>
      <c r="Z243" s="21">
        <f t="shared" si="193"/>
        <v>0</v>
      </c>
      <c r="AA243" s="21">
        <f t="shared" si="191"/>
        <v>0</v>
      </c>
      <c r="AC243" s="9"/>
      <c r="AD243" s="9" t="str">
        <f t="shared" si="181"/>
        <v>10.37</v>
      </c>
      <c r="AE243" s="27">
        <f t="shared" si="182"/>
        <v>0</v>
      </c>
      <c r="AF243" s="21">
        <f t="shared" si="183"/>
        <v>0</v>
      </c>
      <c r="AG243" s="21">
        <v>0</v>
      </c>
      <c r="AH243" s="21">
        <f t="shared" si="184"/>
        <v>0</v>
      </c>
      <c r="AI243" s="21">
        <f t="shared" si="185"/>
        <v>0</v>
      </c>
      <c r="AJ243" s="21">
        <f t="shared" si="186"/>
        <v>0</v>
      </c>
      <c r="AK243" s="9" t="s">
        <v>57</v>
      </c>
      <c r="AL243" s="9" t="s">
        <v>57</v>
      </c>
      <c r="AM243" s="22">
        <v>0</v>
      </c>
      <c r="AN243" s="23">
        <f t="shared" si="187"/>
        <v>0</v>
      </c>
      <c r="AO243" s="9"/>
      <c r="AP243" s="26">
        <v>0</v>
      </c>
      <c r="AQ243" s="9"/>
    </row>
    <row r="244" spans="2:43" ht="78.75" x14ac:dyDescent="0.25">
      <c r="B244" s="170" t="s">
        <v>381</v>
      </c>
      <c r="C244" s="96" t="s">
        <v>746</v>
      </c>
      <c r="D244" s="93" t="s">
        <v>87</v>
      </c>
      <c r="E244" s="92">
        <v>1</v>
      </c>
      <c r="F244" s="92">
        <v>1</v>
      </c>
      <c r="G244" s="91">
        <v>0</v>
      </c>
      <c r="H244" s="107">
        <f t="shared" si="194"/>
        <v>0</v>
      </c>
      <c r="I244" s="168"/>
      <c r="J244" s="84"/>
      <c r="K244" s="95">
        <v>0</v>
      </c>
      <c r="L244" s="88">
        <f t="shared" si="195"/>
        <v>0</v>
      </c>
      <c r="M244" s="8"/>
      <c r="N244" s="29"/>
      <c r="O244" s="8"/>
      <c r="P244" s="220"/>
      <c r="Q244" s="220"/>
      <c r="R244" s="220"/>
      <c r="S244" s="8"/>
      <c r="T244" s="20"/>
      <c r="U244" s="21">
        <v>0</v>
      </c>
      <c r="V244" s="21">
        <v>0</v>
      </c>
      <c r="W244" s="21">
        <f t="shared" si="192"/>
        <v>0</v>
      </c>
      <c r="X244" s="22">
        <v>1</v>
      </c>
      <c r="Y244" s="23">
        <f t="shared" si="177"/>
        <v>0</v>
      </c>
      <c r="Z244" s="21">
        <f t="shared" si="193"/>
        <v>0</v>
      </c>
      <c r="AA244" s="21">
        <f t="shared" si="191"/>
        <v>0</v>
      </c>
      <c r="AC244" s="9"/>
      <c r="AD244" s="9" t="str">
        <f t="shared" si="181"/>
        <v>10.38</v>
      </c>
      <c r="AE244" s="27">
        <f t="shared" si="182"/>
        <v>0</v>
      </c>
      <c r="AF244" s="21">
        <f t="shared" si="183"/>
        <v>0</v>
      </c>
      <c r="AG244" s="21">
        <v>0</v>
      </c>
      <c r="AH244" s="21">
        <f t="shared" si="184"/>
        <v>0</v>
      </c>
      <c r="AI244" s="21">
        <f t="shared" si="185"/>
        <v>0</v>
      </c>
      <c r="AJ244" s="21">
        <f t="shared" si="186"/>
        <v>0</v>
      </c>
      <c r="AK244" s="9" t="s">
        <v>57</v>
      </c>
      <c r="AL244" s="9" t="s">
        <v>57</v>
      </c>
      <c r="AM244" s="22">
        <v>0</v>
      </c>
      <c r="AN244" s="23">
        <f t="shared" si="187"/>
        <v>0</v>
      </c>
      <c r="AO244" s="9"/>
      <c r="AP244" s="26">
        <v>0</v>
      </c>
      <c r="AQ244" s="9"/>
    </row>
    <row r="245" spans="2:43" ht="78.75" x14ac:dyDescent="0.25">
      <c r="B245" s="170" t="s">
        <v>382</v>
      </c>
      <c r="C245" s="96" t="s">
        <v>747</v>
      </c>
      <c r="D245" s="93" t="s">
        <v>87</v>
      </c>
      <c r="E245" s="92">
        <v>1</v>
      </c>
      <c r="F245" s="92">
        <v>1</v>
      </c>
      <c r="G245" s="91">
        <v>0</v>
      </c>
      <c r="H245" s="107">
        <f t="shared" si="194"/>
        <v>0</v>
      </c>
      <c r="I245" s="168"/>
      <c r="J245" s="84"/>
      <c r="K245" s="95">
        <v>0</v>
      </c>
      <c r="L245" s="88">
        <f t="shared" si="195"/>
        <v>0</v>
      </c>
      <c r="M245" s="8"/>
      <c r="N245" s="29"/>
      <c r="O245" s="8"/>
      <c r="P245" s="220"/>
      <c r="Q245" s="220"/>
      <c r="R245" s="220"/>
      <c r="S245" s="8"/>
      <c r="T245" s="20"/>
      <c r="U245" s="21">
        <v>0</v>
      </c>
      <c r="V245" s="21">
        <v>0</v>
      </c>
      <c r="W245" s="21">
        <f t="shared" si="192"/>
        <v>0</v>
      </c>
      <c r="X245" s="22">
        <v>1</v>
      </c>
      <c r="Y245" s="23">
        <f t="shared" si="177"/>
        <v>0</v>
      </c>
      <c r="Z245" s="21">
        <f t="shared" si="193"/>
        <v>0</v>
      </c>
      <c r="AA245" s="21">
        <f t="shared" si="191"/>
        <v>0</v>
      </c>
      <c r="AC245" s="9"/>
      <c r="AD245" s="9" t="str">
        <f t="shared" si="181"/>
        <v>10.39</v>
      </c>
      <c r="AE245" s="27">
        <f t="shared" si="182"/>
        <v>0</v>
      </c>
      <c r="AF245" s="21">
        <f t="shared" si="183"/>
        <v>0</v>
      </c>
      <c r="AG245" s="21">
        <v>0</v>
      </c>
      <c r="AH245" s="21">
        <f t="shared" si="184"/>
        <v>0</v>
      </c>
      <c r="AI245" s="21">
        <f t="shared" si="185"/>
        <v>0</v>
      </c>
      <c r="AJ245" s="21">
        <f t="shared" si="186"/>
        <v>0</v>
      </c>
      <c r="AK245" s="9" t="s">
        <v>57</v>
      </c>
      <c r="AL245" s="9" t="s">
        <v>57</v>
      </c>
      <c r="AM245" s="22">
        <v>0</v>
      </c>
      <c r="AN245" s="23">
        <f t="shared" si="187"/>
        <v>0</v>
      </c>
      <c r="AO245" s="9"/>
      <c r="AP245" s="26">
        <v>0</v>
      </c>
      <c r="AQ245" s="9"/>
    </row>
    <row r="246" spans="2:43" ht="78.75" x14ac:dyDescent="0.25">
      <c r="B246" s="170" t="s">
        <v>383</v>
      </c>
      <c r="C246" s="96" t="s">
        <v>748</v>
      </c>
      <c r="D246" s="93" t="s">
        <v>87</v>
      </c>
      <c r="E246" s="92">
        <v>1</v>
      </c>
      <c r="F246" s="92">
        <v>1</v>
      </c>
      <c r="G246" s="91">
        <v>0</v>
      </c>
      <c r="H246" s="107">
        <f t="shared" si="194"/>
        <v>0</v>
      </c>
      <c r="I246" s="168"/>
      <c r="J246" s="84"/>
      <c r="K246" s="95">
        <v>0</v>
      </c>
      <c r="L246" s="88">
        <f t="shared" si="195"/>
        <v>0</v>
      </c>
      <c r="M246" s="8"/>
      <c r="N246" s="29"/>
      <c r="O246" s="8"/>
      <c r="P246" s="220"/>
      <c r="Q246" s="220"/>
      <c r="R246" s="220"/>
      <c r="S246" s="8"/>
      <c r="T246" s="20"/>
      <c r="U246" s="21">
        <v>0</v>
      </c>
      <c r="V246" s="21">
        <v>0</v>
      </c>
      <c r="W246" s="21">
        <f t="shared" si="192"/>
        <v>0</v>
      </c>
      <c r="X246" s="22">
        <v>1</v>
      </c>
      <c r="Y246" s="23">
        <f t="shared" si="177"/>
        <v>0</v>
      </c>
      <c r="Z246" s="21">
        <f t="shared" si="193"/>
        <v>0</v>
      </c>
      <c r="AA246" s="21">
        <f t="shared" si="191"/>
        <v>0</v>
      </c>
      <c r="AC246" s="9"/>
      <c r="AD246" s="9" t="str">
        <f t="shared" si="181"/>
        <v>10.40</v>
      </c>
      <c r="AE246" s="27">
        <f t="shared" si="182"/>
        <v>0</v>
      </c>
      <c r="AF246" s="21">
        <f t="shared" si="183"/>
        <v>0</v>
      </c>
      <c r="AG246" s="21">
        <v>0</v>
      </c>
      <c r="AH246" s="21">
        <f t="shared" si="184"/>
        <v>0</v>
      </c>
      <c r="AI246" s="21">
        <f t="shared" si="185"/>
        <v>0</v>
      </c>
      <c r="AJ246" s="21">
        <f t="shared" si="186"/>
        <v>0</v>
      </c>
      <c r="AK246" s="9" t="s">
        <v>57</v>
      </c>
      <c r="AL246" s="9" t="s">
        <v>57</v>
      </c>
      <c r="AM246" s="22">
        <v>0</v>
      </c>
      <c r="AN246" s="23">
        <f t="shared" si="187"/>
        <v>0</v>
      </c>
      <c r="AO246" s="9"/>
      <c r="AP246" s="26">
        <v>0</v>
      </c>
      <c r="AQ246" s="9"/>
    </row>
    <row r="247" spans="2:43" ht="94.5" x14ac:dyDescent="0.25">
      <c r="B247" s="170" t="s">
        <v>384</v>
      </c>
      <c r="C247" s="96" t="s">
        <v>749</v>
      </c>
      <c r="D247" s="93" t="s">
        <v>87</v>
      </c>
      <c r="E247" s="92">
        <v>1</v>
      </c>
      <c r="F247" s="92">
        <v>1</v>
      </c>
      <c r="G247" s="91">
        <v>0</v>
      </c>
      <c r="H247" s="107">
        <f t="shared" si="194"/>
        <v>0</v>
      </c>
      <c r="I247" s="168"/>
      <c r="J247" s="84"/>
      <c r="K247" s="95">
        <v>0</v>
      </c>
      <c r="L247" s="88">
        <f t="shared" si="195"/>
        <v>0</v>
      </c>
      <c r="M247" s="8"/>
      <c r="N247" s="29"/>
      <c r="O247" s="8"/>
      <c r="P247" s="220"/>
      <c r="Q247" s="220"/>
      <c r="R247" s="220"/>
      <c r="S247" s="8"/>
      <c r="T247" s="20"/>
      <c r="U247" s="21">
        <v>0</v>
      </c>
      <c r="V247" s="21">
        <v>0</v>
      </c>
      <c r="W247" s="21">
        <f t="shared" si="192"/>
        <v>0</v>
      </c>
      <c r="X247" s="22">
        <v>1</v>
      </c>
      <c r="Y247" s="23">
        <f t="shared" si="177"/>
        <v>0</v>
      </c>
      <c r="Z247" s="21">
        <f t="shared" si="193"/>
        <v>0</v>
      </c>
      <c r="AA247" s="21">
        <f t="shared" si="191"/>
        <v>0</v>
      </c>
      <c r="AC247" s="9"/>
      <c r="AD247" s="9" t="str">
        <f t="shared" si="181"/>
        <v>10.41</v>
      </c>
      <c r="AE247" s="27">
        <f t="shared" si="182"/>
        <v>0</v>
      </c>
      <c r="AF247" s="21">
        <f t="shared" si="183"/>
        <v>0</v>
      </c>
      <c r="AG247" s="21">
        <v>0</v>
      </c>
      <c r="AH247" s="21">
        <f t="shared" si="184"/>
        <v>0</v>
      </c>
      <c r="AI247" s="21">
        <f t="shared" si="185"/>
        <v>0</v>
      </c>
      <c r="AJ247" s="21">
        <f t="shared" si="186"/>
        <v>0</v>
      </c>
      <c r="AK247" s="9" t="s">
        <v>57</v>
      </c>
      <c r="AL247" s="9" t="s">
        <v>57</v>
      </c>
      <c r="AM247" s="22">
        <v>0</v>
      </c>
      <c r="AN247" s="23">
        <f t="shared" si="187"/>
        <v>0</v>
      </c>
      <c r="AO247" s="9"/>
      <c r="AP247" s="26">
        <v>0</v>
      </c>
      <c r="AQ247" s="9"/>
    </row>
    <row r="248" spans="2:43" ht="78.75" x14ac:dyDescent="0.25">
      <c r="B248" s="170" t="s">
        <v>385</v>
      </c>
      <c r="C248" s="96" t="s">
        <v>750</v>
      </c>
      <c r="D248" s="93" t="s">
        <v>87</v>
      </c>
      <c r="E248" s="92">
        <v>1</v>
      </c>
      <c r="F248" s="92">
        <v>1</v>
      </c>
      <c r="G248" s="91">
        <v>0</v>
      </c>
      <c r="H248" s="107">
        <f t="shared" si="194"/>
        <v>0</v>
      </c>
      <c r="I248" s="168"/>
      <c r="J248" s="84"/>
      <c r="K248" s="95">
        <v>0</v>
      </c>
      <c r="L248" s="88">
        <f t="shared" si="195"/>
        <v>0</v>
      </c>
      <c r="M248" s="8"/>
      <c r="N248" s="29"/>
      <c r="O248" s="8"/>
      <c r="P248" s="220"/>
      <c r="Q248" s="220"/>
      <c r="R248" s="220"/>
      <c r="S248" s="8"/>
      <c r="T248" s="20"/>
      <c r="U248" s="21">
        <v>0</v>
      </c>
      <c r="V248" s="21">
        <v>0</v>
      </c>
      <c r="W248" s="21">
        <f t="shared" si="192"/>
        <v>0</v>
      </c>
      <c r="X248" s="22">
        <v>1</v>
      </c>
      <c r="Y248" s="23">
        <f t="shared" si="177"/>
        <v>0</v>
      </c>
      <c r="Z248" s="21">
        <f t="shared" si="193"/>
        <v>0</v>
      </c>
      <c r="AA248" s="21">
        <f t="shared" si="191"/>
        <v>0</v>
      </c>
      <c r="AC248" s="9"/>
      <c r="AD248" s="9" t="str">
        <f t="shared" si="181"/>
        <v>10.42</v>
      </c>
      <c r="AE248" s="27">
        <f t="shared" si="182"/>
        <v>0</v>
      </c>
      <c r="AF248" s="21">
        <f t="shared" si="183"/>
        <v>0</v>
      </c>
      <c r="AG248" s="21">
        <v>0</v>
      </c>
      <c r="AH248" s="21">
        <f t="shared" si="184"/>
        <v>0</v>
      </c>
      <c r="AI248" s="21">
        <f t="shared" si="185"/>
        <v>0</v>
      </c>
      <c r="AJ248" s="21">
        <f t="shared" si="186"/>
        <v>0</v>
      </c>
      <c r="AK248" s="9" t="s">
        <v>57</v>
      </c>
      <c r="AL248" s="9" t="s">
        <v>57</v>
      </c>
      <c r="AM248" s="22">
        <v>0</v>
      </c>
      <c r="AN248" s="23">
        <f t="shared" si="187"/>
        <v>0</v>
      </c>
      <c r="AO248" s="9"/>
      <c r="AP248" s="26">
        <v>0</v>
      </c>
      <c r="AQ248" s="9"/>
    </row>
    <row r="249" spans="2:43" ht="78.75" x14ac:dyDescent="0.25">
      <c r="B249" s="170" t="s">
        <v>386</v>
      </c>
      <c r="C249" s="96" t="s">
        <v>751</v>
      </c>
      <c r="D249" s="93" t="s">
        <v>87</v>
      </c>
      <c r="E249" s="92">
        <v>1</v>
      </c>
      <c r="F249" s="92">
        <v>1</v>
      </c>
      <c r="G249" s="91">
        <v>0</v>
      </c>
      <c r="H249" s="107">
        <f t="shared" si="194"/>
        <v>0</v>
      </c>
      <c r="I249" s="168"/>
      <c r="J249" s="84"/>
      <c r="K249" s="95">
        <v>0</v>
      </c>
      <c r="L249" s="88">
        <f t="shared" si="195"/>
        <v>0</v>
      </c>
      <c r="M249" s="8"/>
      <c r="N249" s="29"/>
      <c r="O249" s="8"/>
      <c r="P249" s="220"/>
      <c r="Q249" s="220"/>
      <c r="R249" s="220"/>
      <c r="S249" s="8"/>
      <c r="T249" s="20"/>
      <c r="U249" s="21">
        <v>0</v>
      </c>
      <c r="V249" s="21">
        <v>0</v>
      </c>
      <c r="W249" s="21">
        <f t="shared" si="192"/>
        <v>0</v>
      </c>
      <c r="X249" s="22">
        <v>1</v>
      </c>
      <c r="Y249" s="23">
        <f t="shared" si="177"/>
        <v>0</v>
      </c>
      <c r="Z249" s="21">
        <f t="shared" si="193"/>
        <v>0</v>
      </c>
      <c r="AA249" s="21">
        <f t="shared" si="191"/>
        <v>0</v>
      </c>
      <c r="AC249" s="9"/>
      <c r="AD249" s="9" t="str">
        <f t="shared" si="181"/>
        <v>10.43</v>
      </c>
      <c r="AE249" s="27">
        <f t="shared" si="182"/>
        <v>0</v>
      </c>
      <c r="AF249" s="21">
        <f t="shared" si="183"/>
        <v>0</v>
      </c>
      <c r="AG249" s="21">
        <v>0</v>
      </c>
      <c r="AH249" s="21">
        <f t="shared" si="184"/>
        <v>0</v>
      </c>
      <c r="AI249" s="21">
        <f t="shared" si="185"/>
        <v>0</v>
      </c>
      <c r="AJ249" s="21">
        <f t="shared" si="186"/>
        <v>0</v>
      </c>
      <c r="AK249" s="9" t="s">
        <v>57</v>
      </c>
      <c r="AL249" s="9" t="s">
        <v>57</v>
      </c>
      <c r="AM249" s="22">
        <v>0</v>
      </c>
      <c r="AN249" s="23">
        <f t="shared" si="187"/>
        <v>0</v>
      </c>
      <c r="AO249" s="9"/>
      <c r="AP249" s="26">
        <v>0</v>
      </c>
      <c r="AQ249" s="9"/>
    </row>
    <row r="250" spans="2:43" ht="78.75" x14ac:dyDescent="0.25">
      <c r="B250" s="170" t="s">
        <v>387</v>
      </c>
      <c r="C250" s="96" t="s">
        <v>752</v>
      </c>
      <c r="D250" s="93" t="s">
        <v>87</v>
      </c>
      <c r="E250" s="92">
        <v>1</v>
      </c>
      <c r="F250" s="92">
        <v>1</v>
      </c>
      <c r="G250" s="91">
        <v>0</v>
      </c>
      <c r="H250" s="107">
        <f t="shared" si="194"/>
        <v>0</v>
      </c>
      <c r="I250" s="168"/>
      <c r="J250" s="84"/>
      <c r="K250" s="95">
        <v>0</v>
      </c>
      <c r="L250" s="88">
        <f t="shared" si="195"/>
        <v>0</v>
      </c>
      <c r="M250" s="8"/>
      <c r="N250" s="29"/>
      <c r="O250" s="8"/>
      <c r="P250" s="220"/>
      <c r="Q250" s="220"/>
      <c r="R250" s="220"/>
      <c r="S250" s="8"/>
      <c r="T250" s="20"/>
      <c r="U250" s="21">
        <v>0</v>
      </c>
      <c r="V250" s="21">
        <v>0</v>
      </c>
      <c r="W250" s="21">
        <f t="shared" si="192"/>
        <v>0</v>
      </c>
      <c r="X250" s="22">
        <v>1</v>
      </c>
      <c r="Y250" s="23">
        <f t="shared" si="177"/>
        <v>0</v>
      </c>
      <c r="Z250" s="21">
        <f t="shared" si="193"/>
        <v>0</v>
      </c>
      <c r="AA250" s="21">
        <f t="shared" si="191"/>
        <v>0</v>
      </c>
      <c r="AC250" s="9"/>
      <c r="AD250" s="9" t="str">
        <f t="shared" si="181"/>
        <v>10.44</v>
      </c>
      <c r="AE250" s="27">
        <f t="shared" si="182"/>
        <v>0</v>
      </c>
      <c r="AF250" s="21">
        <f t="shared" si="183"/>
        <v>0</v>
      </c>
      <c r="AG250" s="21">
        <v>0</v>
      </c>
      <c r="AH250" s="21">
        <f t="shared" si="184"/>
        <v>0</v>
      </c>
      <c r="AI250" s="21">
        <f t="shared" si="185"/>
        <v>0</v>
      </c>
      <c r="AJ250" s="21">
        <f t="shared" si="186"/>
        <v>0</v>
      </c>
      <c r="AK250" s="9" t="s">
        <v>57</v>
      </c>
      <c r="AL250" s="9" t="s">
        <v>57</v>
      </c>
      <c r="AM250" s="22">
        <v>0</v>
      </c>
      <c r="AN250" s="23">
        <f t="shared" si="187"/>
        <v>0</v>
      </c>
      <c r="AO250" s="9"/>
      <c r="AP250" s="26">
        <v>0</v>
      </c>
      <c r="AQ250" s="9"/>
    </row>
    <row r="251" spans="2:43" ht="78.75" x14ac:dyDescent="0.25">
      <c r="B251" s="170" t="s">
        <v>388</v>
      </c>
      <c r="C251" s="96" t="s">
        <v>753</v>
      </c>
      <c r="D251" s="93" t="s">
        <v>87</v>
      </c>
      <c r="E251" s="92">
        <v>1</v>
      </c>
      <c r="F251" s="92">
        <v>1</v>
      </c>
      <c r="G251" s="91">
        <v>0</v>
      </c>
      <c r="H251" s="107">
        <f t="shared" si="194"/>
        <v>0</v>
      </c>
      <c r="I251" s="168"/>
      <c r="J251" s="84"/>
      <c r="K251" s="95">
        <v>0</v>
      </c>
      <c r="L251" s="88">
        <f t="shared" si="195"/>
        <v>0</v>
      </c>
      <c r="M251" s="8"/>
      <c r="N251" s="29"/>
      <c r="O251" s="8"/>
      <c r="P251" s="220"/>
      <c r="Q251" s="220"/>
      <c r="R251" s="220"/>
      <c r="S251" s="8"/>
      <c r="T251" s="20"/>
      <c r="U251" s="21">
        <v>0</v>
      </c>
      <c r="V251" s="21">
        <v>0</v>
      </c>
      <c r="W251" s="21">
        <f t="shared" si="192"/>
        <v>0</v>
      </c>
      <c r="X251" s="22">
        <v>1</v>
      </c>
      <c r="Y251" s="23">
        <f t="shared" si="177"/>
        <v>0</v>
      </c>
      <c r="Z251" s="21">
        <f t="shared" si="193"/>
        <v>0</v>
      </c>
      <c r="AA251" s="21">
        <f t="shared" si="191"/>
        <v>0</v>
      </c>
      <c r="AC251" s="9"/>
      <c r="AD251" s="9" t="str">
        <f t="shared" si="181"/>
        <v>10.45</v>
      </c>
      <c r="AE251" s="27">
        <f t="shared" si="182"/>
        <v>0</v>
      </c>
      <c r="AF251" s="21">
        <f t="shared" si="183"/>
        <v>0</v>
      </c>
      <c r="AG251" s="21">
        <v>0</v>
      </c>
      <c r="AH251" s="21">
        <f t="shared" si="184"/>
        <v>0</v>
      </c>
      <c r="AI251" s="21">
        <f t="shared" si="185"/>
        <v>0</v>
      </c>
      <c r="AJ251" s="21">
        <f t="shared" si="186"/>
        <v>0</v>
      </c>
      <c r="AK251" s="9" t="s">
        <v>57</v>
      </c>
      <c r="AL251" s="9" t="s">
        <v>57</v>
      </c>
      <c r="AM251" s="22">
        <v>0</v>
      </c>
      <c r="AN251" s="23">
        <f t="shared" si="187"/>
        <v>0</v>
      </c>
      <c r="AO251" s="9"/>
      <c r="AP251" s="26">
        <v>0</v>
      </c>
      <c r="AQ251" s="9"/>
    </row>
    <row r="252" spans="2:43" ht="78.75" x14ac:dyDescent="0.25">
      <c r="B252" s="170" t="s">
        <v>389</v>
      </c>
      <c r="C252" s="96" t="s">
        <v>754</v>
      </c>
      <c r="D252" s="93" t="s">
        <v>87</v>
      </c>
      <c r="E252" s="92">
        <v>1</v>
      </c>
      <c r="F252" s="92">
        <v>1</v>
      </c>
      <c r="G252" s="91">
        <v>0</v>
      </c>
      <c r="H252" s="107">
        <f t="shared" si="194"/>
        <v>0</v>
      </c>
      <c r="I252" s="168"/>
      <c r="J252" s="84"/>
      <c r="K252" s="95">
        <v>0</v>
      </c>
      <c r="L252" s="88">
        <f t="shared" si="195"/>
        <v>0</v>
      </c>
      <c r="M252" s="8"/>
      <c r="N252" s="29"/>
      <c r="O252" s="8"/>
      <c r="P252" s="220"/>
      <c r="Q252" s="220"/>
      <c r="R252" s="220"/>
      <c r="S252" s="8"/>
      <c r="T252" s="20"/>
      <c r="U252" s="21">
        <v>0</v>
      </c>
      <c r="V252" s="21">
        <v>0</v>
      </c>
      <c r="W252" s="21">
        <f t="shared" si="192"/>
        <v>0</v>
      </c>
      <c r="X252" s="22">
        <v>1</v>
      </c>
      <c r="Y252" s="23">
        <f t="shared" si="177"/>
        <v>0</v>
      </c>
      <c r="Z252" s="21">
        <f t="shared" si="193"/>
        <v>0</v>
      </c>
      <c r="AA252" s="21">
        <f t="shared" si="191"/>
        <v>0</v>
      </c>
      <c r="AC252" s="9"/>
      <c r="AD252" s="9" t="str">
        <f t="shared" si="181"/>
        <v>10.46</v>
      </c>
      <c r="AE252" s="27">
        <f t="shared" si="182"/>
        <v>0</v>
      </c>
      <c r="AF252" s="21">
        <f t="shared" si="183"/>
        <v>0</v>
      </c>
      <c r="AG252" s="21">
        <v>0</v>
      </c>
      <c r="AH252" s="21">
        <f t="shared" si="184"/>
        <v>0</v>
      </c>
      <c r="AI252" s="21">
        <f t="shared" si="185"/>
        <v>0</v>
      </c>
      <c r="AJ252" s="21">
        <f t="shared" si="186"/>
        <v>0</v>
      </c>
      <c r="AK252" s="9" t="s">
        <v>57</v>
      </c>
      <c r="AL252" s="9" t="s">
        <v>57</v>
      </c>
      <c r="AM252" s="22">
        <v>0</v>
      </c>
      <c r="AN252" s="23">
        <f t="shared" si="187"/>
        <v>0</v>
      </c>
      <c r="AO252" s="9"/>
      <c r="AP252" s="26">
        <v>0</v>
      </c>
      <c r="AQ252" s="9"/>
    </row>
    <row r="253" spans="2:43" ht="78.75" x14ac:dyDescent="0.25">
      <c r="B253" s="170" t="s">
        <v>390</v>
      </c>
      <c r="C253" s="96" t="s">
        <v>755</v>
      </c>
      <c r="D253" s="93" t="s">
        <v>87</v>
      </c>
      <c r="E253" s="92">
        <v>1</v>
      </c>
      <c r="F253" s="92">
        <v>1</v>
      </c>
      <c r="G253" s="91">
        <v>0</v>
      </c>
      <c r="H253" s="107">
        <f t="shared" si="194"/>
        <v>0</v>
      </c>
      <c r="I253" s="168"/>
      <c r="J253" s="84"/>
      <c r="K253" s="95">
        <v>0</v>
      </c>
      <c r="L253" s="88">
        <f t="shared" si="195"/>
        <v>0</v>
      </c>
      <c r="M253" s="8"/>
      <c r="N253" s="29"/>
      <c r="O253" s="8"/>
      <c r="P253" s="220"/>
      <c r="Q253" s="220"/>
      <c r="R253" s="220"/>
      <c r="S253" s="8"/>
      <c r="T253" s="20"/>
      <c r="U253" s="21">
        <v>0</v>
      </c>
      <c r="V253" s="21">
        <v>0</v>
      </c>
      <c r="W253" s="21">
        <f t="shared" si="192"/>
        <v>0</v>
      </c>
      <c r="X253" s="22">
        <v>1</v>
      </c>
      <c r="Y253" s="23">
        <f t="shared" si="177"/>
        <v>0</v>
      </c>
      <c r="Z253" s="21">
        <f t="shared" si="193"/>
        <v>0</v>
      </c>
      <c r="AA253" s="21">
        <f t="shared" si="191"/>
        <v>0</v>
      </c>
      <c r="AC253" s="9"/>
      <c r="AD253" s="9" t="str">
        <f t="shared" si="181"/>
        <v>10.47</v>
      </c>
      <c r="AE253" s="27">
        <f t="shared" si="182"/>
        <v>0</v>
      </c>
      <c r="AF253" s="21">
        <f t="shared" si="183"/>
        <v>0</v>
      </c>
      <c r="AG253" s="21">
        <v>0</v>
      </c>
      <c r="AH253" s="21">
        <f t="shared" si="184"/>
        <v>0</v>
      </c>
      <c r="AI253" s="21">
        <f t="shared" si="185"/>
        <v>0</v>
      </c>
      <c r="AJ253" s="21">
        <f t="shared" si="186"/>
        <v>0</v>
      </c>
      <c r="AK253" s="9" t="s">
        <v>57</v>
      </c>
      <c r="AL253" s="9" t="s">
        <v>57</v>
      </c>
      <c r="AM253" s="22">
        <v>0</v>
      </c>
      <c r="AN253" s="23">
        <f t="shared" si="187"/>
        <v>0</v>
      </c>
      <c r="AO253" s="9"/>
      <c r="AP253" s="26">
        <v>0</v>
      </c>
      <c r="AQ253" s="9"/>
    </row>
    <row r="254" spans="2:43" ht="78.75" x14ac:dyDescent="0.25">
      <c r="B254" s="170" t="s">
        <v>391</v>
      </c>
      <c r="C254" s="96" t="s">
        <v>756</v>
      </c>
      <c r="D254" s="93" t="s">
        <v>87</v>
      </c>
      <c r="E254" s="92">
        <v>1</v>
      </c>
      <c r="F254" s="92">
        <v>1</v>
      </c>
      <c r="G254" s="91">
        <v>0</v>
      </c>
      <c r="H254" s="107">
        <f t="shared" si="194"/>
        <v>0</v>
      </c>
      <c r="I254" s="168"/>
      <c r="J254" s="84"/>
      <c r="K254" s="95">
        <v>0</v>
      </c>
      <c r="L254" s="88">
        <f t="shared" si="195"/>
        <v>0</v>
      </c>
      <c r="M254" s="8"/>
      <c r="N254" s="29"/>
      <c r="O254" s="8"/>
      <c r="P254" s="220"/>
      <c r="Q254" s="220"/>
      <c r="R254" s="220"/>
      <c r="S254" s="8"/>
      <c r="T254" s="20"/>
      <c r="U254" s="21">
        <v>0</v>
      </c>
      <c r="V254" s="21">
        <v>0</v>
      </c>
      <c r="W254" s="21">
        <f t="shared" si="192"/>
        <v>0</v>
      </c>
      <c r="X254" s="22">
        <v>1</v>
      </c>
      <c r="Y254" s="23">
        <f t="shared" ref="Y254:Y311" si="196">W254-(W254*X254)</f>
        <v>0</v>
      </c>
      <c r="Z254" s="21">
        <f t="shared" si="193"/>
        <v>0</v>
      </c>
      <c r="AA254" s="21">
        <f t="shared" si="191"/>
        <v>0</v>
      </c>
      <c r="AC254" s="9"/>
      <c r="AD254" s="9" t="str">
        <f t="shared" si="181"/>
        <v>10.48</v>
      </c>
      <c r="AE254" s="27">
        <f t="shared" si="182"/>
        <v>0</v>
      </c>
      <c r="AF254" s="21">
        <f t="shared" si="183"/>
        <v>0</v>
      </c>
      <c r="AG254" s="21">
        <v>0</v>
      </c>
      <c r="AH254" s="21">
        <f t="shared" si="184"/>
        <v>0</v>
      </c>
      <c r="AI254" s="21">
        <f t="shared" si="185"/>
        <v>0</v>
      </c>
      <c r="AJ254" s="21">
        <f t="shared" si="186"/>
        <v>0</v>
      </c>
      <c r="AK254" s="9" t="s">
        <v>57</v>
      </c>
      <c r="AL254" s="9" t="s">
        <v>57</v>
      </c>
      <c r="AM254" s="22">
        <v>0</v>
      </c>
      <c r="AN254" s="23">
        <f t="shared" si="187"/>
        <v>0</v>
      </c>
      <c r="AO254" s="9"/>
      <c r="AP254" s="26">
        <v>0</v>
      </c>
      <c r="AQ254" s="9"/>
    </row>
    <row r="255" spans="2:43" ht="78.75" x14ac:dyDescent="0.25">
      <c r="B255" s="170" t="s">
        <v>392</v>
      </c>
      <c r="C255" s="96" t="s">
        <v>757</v>
      </c>
      <c r="D255" s="93" t="s">
        <v>87</v>
      </c>
      <c r="E255" s="92">
        <v>1</v>
      </c>
      <c r="F255" s="92">
        <v>1</v>
      </c>
      <c r="G255" s="91">
        <v>0</v>
      </c>
      <c r="H255" s="107">
        <f t="shared" si="194"/>
        <v>0</v>
      </c>
      <c r="I255" s="168"/>
      <c r="J255" s="84"/>
      <c r="K255" s="95">
        <v>0</v>
      </c>
      <c r="L255" s="88">
        <f t="shared" si="195"/>
        <v>0</v>
      </c>
      <c r="M255" s="8"/>
      <c r="N255" s="29"/>
      <c r="O255" s="8"/>
      <c r="P255" s="220"/>
      <c r="Q255" s="220"/>
      <c r="R255" s="220"/>
      <c r="S255" s="8"/>
      <c r="T255" s="20"/>
      <c r="U255" s="21">
        <v>0</v>
      </c>
      <c r="V255" s="21">
        <v>0</v>
      </c>
      <c r="W255" s="21">
        <f t="shared" si="192"/>
        <v>0</v>
      </c>
      <c r="X255" s="22">
        <v>1</v>
      </c>
      <c r="Y255" s="23">
        <f t="shared" si="196"/>
        <v>0</v>
      </c>
      <c r="Z255" s="21">
        <f t="shared" si="193"/>
        <v>0</v>
      </c>
      <c r="AA255" s="21">
        <f t="shared" si="191"/>
        <v>0</v>
      </c>
      <c r="AC255" s="9"/>
      <c r="AD255" s="9" t="str">
        <f t="shared" si="181"/>
        <v>10.49</v>
      </c>
      <c r="AE255" s="27">
        <f t="shared" si="182"/>
        <v>0</v>
      </c>
      <c r="AF255" s="21">
        <f t="shared" si="183"/>
        <v>0</v>
      </c>
      <c r="AG255" s="21">
        <v>0</v>
      </c>
      <c r="AH255" s="21">
        <f t="shared" si="184"/>
        <v>0</v>
      </c>
      <c r="AI255" s="21">
        <f t="shared" si="185"/>
        <v>0</v>
      </c>
      <c r="AJ255" s="21">
        <f t="shared" si="186"/>
        <v>0</v>
      </c>
      <c r="AK255" s="9" t="s">
        <v>57</v>
      </c>
      <c r="AL255" s="9" t="s">
        <v>57</v>
      </c>
      <c r="AM255" s="22">
        <v>0</v>
      </c>
      <c r="AN255" s="23">
        <f t="shared" si="187"/>
        <v>0</v>
      </c>
      <c r="AO255" s="9"/>
      <c r="AP255" s="26">
        <v>0</v>
      </c>
      <c r="AQ255" s="9"/>
    </row>
    <row r="256" spans="2:43" ht="78.75" x14ac:dyDescent="0.25">
      <c r="B256" s="170" t="s">
        <v>393</v>
      </c>
      <c r="C256" s="96" t="s">
        <v>758</v>
      </c>
      <c r="D256" s="93" t="s">
        <v>87</v>
      </c>
      <c r="E256" s="92">
        <v>1</v>
      </c>
      <c r="F256" s="92">
        <v>1</v>
      </c>
      <c r="G256" s="91">
        <v>0</v>
      </c>
      <c r="H256" s="107">
        <f t="shared" si="194"/>
        <v>0</v>
      </c>
      <c r="I256" s="168"/>
      <c r="J256" s="84"/>
      <c r="K256" s="95">
        <v>0</v>
      </c>
      <c r="L256" s="88">
        <f t="shared" si="195"/>
        <v>0</v>
      </c>
      <c r="M256" s="8"/>
      <c r="N256" s="29"/>
      <c r="O256" s="8"/>
      <c r="P256" s="220"/>
      <c r="Q256" s="220"/>
      <c r="R256" s="220"/>
      <c r="S256" s="8"/>
      <c r="T256" s="20"/>
      <c r="U256" s="21">
        <v>0</v>
      </c>
      <c r="V256" s="21">
        <v>0</v>
      </c>
      <c r="W256" s="21">
        <f t="shared" si="192"/>
        <v>0</v>
      </c>
      <c r="X256" s="22">
        <v>1</v>
      </c>
      <c r="Y256" s="23">
        <f t="shared" si="196"/>
        <v>0</v>
      </c>
      <c r="Z256" s="21">
        <f t="shared" si="193"/>
        <v>0</v>
      </c>
      <c r="AA256" s="21">
        <f t="shared" si="191"/>
        <v>0</v>
      </c>
      <c r="AC256" s="9"/>
      <c r="AD256" s="9" t="str">
        <f t="shared" si="181"/>
        <v>10.50</v>
      </c>
      <c r="AE256" s="27">
        <f t="shared" si="182"/>
        <v>0</v>
      </c>
      <c r="AF256" s="21">
        <f t="shared" si="183"/>
        <v>0</v>
      </c>
      <c r="AG256" s="21">
        <v>0</v>
      </c>
      <c r="AH256" s="21">
        <f t="shared" si="184"/>
        <v>0</v>
      </c>
      <c r="AI256" s="21">
        <f t="shared" si="185"/>
        <v>0</v>
      </c>
      <c r="AJ256" s="21">
        <f t="shared" si="186"/>
        <v>0</v>
      </c>
      <c r="AK256" s="9" t="s">
        <v>57</v>
      </c>
      <c r="AL256" s="9" t="s">
        <v>57</v>
      </c>
      <c r="AM256" s="22">
        <v>0</v>
      </c>
      <c r="AN256" s="23">
        <f t="shared" si="187"/>
        <v>0</v>
      </c>
      <c r="AO256" s="9"/>
      <c r="AP256" s="26">
        <v>0</v>
      </c>
      <c r="AQ256" s="9"/>
    </row>
    <row r="257" spans="2:43" ht="78.75" x14ac:dyDescent="0.25">
      <c r="B257" s="170" t="s">
        <v>394</v>
      </c>
      <c r="C257" s="96" t="s">
        <v>759</v>
      </c>
      <c r="D257" s="93" t="s">
        <v>87</v>
      </c>
      <c r="E257" s="92">
        <v>1</v>
      </c>
      <c r="F257" s="92">
        <v>1</v>
      </c>
      <c r="G257" s="91">
        <v>0</v>
      </c>
      <c r="H257" s="107">
        <f t="shared" si="194"/>
        <v>0</v>
      </c>
      <c r="I257" s="168"/>
      <c r="J257" s="84"/>
      <c r="K257" s="95">
        <v>0</v>
      </c>
      <c r="L257" s="88">
        <f t="shared" si="195"/>
        <v>0</v>
      </c>
      <c r="M257" s="8"/>
      <c r="N257" s="29"/>
      <c r="O257" s="8"/>
      <c r="P257" s="220"/>
      <c r="Q257" s="220"/>
      <c r="R257" s="220"/>
      <c r="S257" s="8"/>
      <c r="T257" s="20"/>
      <c r="U257" s="21">
        <v>0</v>
      </c>
      <c r="V257" s="21">
        <v>0</v>
      </c>
      <c r="W257" s="21">
        <f t="shared" si="192"/>
        <v>0</v>
      </c>
      <c r="X257" s="22">
        <v>1</v>
      </c>
      <c r="Y257" s="23">
        <f t="shared" si="196"/>
        <v>0</v>
      </c>
      <c r="Z257" s="21">
        <f t="shared" si="193"/>
        <v>0</v>
      </c>
      <c r="AA257" s="21">
        <f t="shared" si="191"/>
        <v>0</v>
      </c>
      <c r="AC257" s="9"/>
      <c r="AD257" s="9" t="str">
        <f t="shared" si="181"/>
        <v>10.51</v>
      </c>
      <c r="AE257" s="27">
        <f t="shared" si="182"/>
        <v>0</v>
      </c>
      <c r="AF257" s="21">
        <f t="shared" si="183"/>
        <v>0</v>
      </c>
      <c r="AG257" s="21">
        <v>0</v>
      </c>
      <c r="AH257" s="21">
        <f t="shared" si="184"/>
        <v>0</v>
      </c>
      <c r="AI257" s="21">
        <f t="shared" si="185"/>
        <v>0</v>
      </c>
      <c r="AJ257" s="21">
        <f t="shared" si="186"/>
        <v>0</v>
      </c>
      <c r="AK257" s="9" t="s">
        <v>57</v>
      </c>
      <c r="AL257" s="9" t="s">
        <v>57</v>
      </c>
      <c r="AM257" s="22">
        <v>0</v>
      </c>
      <c r="AN257" s="23">
        <f t="shared" si="187"/>
        <v>0</v>
      </c>
      <c r="AO257" s="9"/>
      <c r="AP257" s="26">
        <v>0</v>
      </c>
      <c r="AQ257" s="9"/>
    </row>
    <row r="258" spans="2:43" ht="78.75" x14ac:dyDescent="0.25">
      <c r="B258" s="170" t="s">
        <v>395</v>
      </c>
      <c r="C258" s="96" t="s">
        <v>760</v>
      </c>
      <c r="D258" s="93" t="s">
        <v>87</v>
      </c>
      <c r="E258" s="92">
        <v>1</v>
      </c>
      <c r="F258" s="92">
        <v>1</v>
      </c>
      <c r="G258" s="91">
        <v>0</v>
      </c>
      <c r="H258" s="107">
        <f t="shared" si="194"/>
        <v>0</v>
      </c>
      <c r="I258" s="168"/>
      <c r="J258" s="84"/>
      <c r="K258" s="95">
        <v>0</v>
      </c>
      <c r="L258" s="88">
        <f t="shared" si="195"/>
        <v>0</v>
      </c>
      <c r="M258" s="8"/>
      <c r="N258" s="29"/>
      <c r="O258" s="8"/>
      <c r="P258" s="220"/>
      <c r="Q258" s="220"/>
      <c r="R258" s="220"/>
      <c r="S258" s="8"/>
      <c r="T258" s="20"/>
      <c r="U258" s="21">
        <v>0</v>
      </c>
      <c r="V258" s="21">
        <v>0</v>
      </c>
      <c r="W258" s="21">
        <f t="shared" si="192"/>
        <v>0</v>
      </c>
      <c r="X258" s="22">
        <v>1</v>
      </c>
      <c r="Y258" s="23">
        <f t="shared" si="196"/>
        <v>0</v>
      </c>
      <c r="Z258" s="21">
        <f t="shared" si="193"/>
        <v>0</v>
      </c>
      <c r="AA258" s="21">
        <f t="shared" si="191"/>
        <v>0</v>
      </c>
      <c r="AC258" s="9"/>
      <c r="AD258" s="9" t="str">
        <f t="shared" si="181"/>
        <v>10.52</v>
      </c>
      <c r="AE258" s="27">
        <f t="shared" si="182"/>
        <v>0</v>
      </c>
      <c r="AF258" s="21">
        <f t="shared" si="183"/>
        <v>0</v>
      </c>
      <c r="AG258" s="21">
        <v>0</v>
      </c>
      <c r="AH258" s="21">
        <f t="shared" si="184"/>
        <v>0</v>
      </c>
      <c r="AI258" s="21">
        <f t="shared" si="185"/>
        <v>0</v>
      </c>
      <c r="AJ258" s="21">
        <f t="shared" si="186"/>
        <v>0</v>
      </c>
      <c r="AK258" s="9" t="s">
        <v>57</v>
      </c>
      <c r="AL258" s="9" t="s">
        <v>57</v>
      </c>
      <c r="AM258" s="22">
        <v>0</v>
      </c>
      <c r="AN258" s="23">
        <f t="shared" si="187"/>
        <v>0</v>
      </c>
      <c r="AO258" s="9"/>
      <c r="AP258" s="26">
        <v>0</v>
      </c>
      <c r="AQ258" s="9"/>
    </row>
    <row r="259" spans="2:43" ht="78.75" x14ac:dyDescent="0.25">
      <c r="B259" s="170" t="s">
        <v>396</v>
      </c>
      <c r="C259" s="96" t="s">
        <v>761</v>
      </c>
      <c r="D259" s="93" t="s">
        <v>87</v>
      </c>
      <c r="E259" s="92">
        <v>1</v>
      </c>
      <c r="F259" s="92">
        <v>1</v>
      </c>
      <c r="G259" s="91">
        <v>0</v>
      </c>
      <c r="H259" s="107">
        <f t="shared" si="194"/>
        <v>0</v>
      </c>
      <c r="I259" s="168"/>
      <c r="J259" s="84"/>
      <c r="K259" s="95">
        <v>0</v>
      </c>
      <c r="L259" s="88">
        <f t="shared" si="195"/>
        <v>0</v>
      </c>
      <c r="M259" s="8"/>
      <c r="N259" s="29"/>
      <c r="O259" s="8"/>
      <c r="P259" s="220"/>
      <c r="Q259" s="220"/>
      <c r="R259" s="220"/>
      <c r="S259" s="8"/>
      <c r="T259" s="20"/>
      <c r="U259" s="21">
        <v>0</v>
      </c>
      <c r="V259" s="21">
        <v>0</v>
      </c>
      <c r="W259" s="21">
        <f t="shared" si="192"/>
        <v>0</v>
      </c>
      <c r="X259" s="22">
        <v>1</v>
      </c>
      <c r="Y259" s="23">
        <f t="shared" si="196"/>
        <v>0</v>
      </c>
      <c r="Z259" s="21">
        <f t="shared" si="193"/>
        <v>0</v>
      </c>
      <c r="AA259" s="21">
        <f t="shared" si="191"/>
        <v>0</v>
      </c>
      <c r="AC259" s="9"/>
      <c r="AD259" s="9" t="str">
        <f t="shared" si="181"/>
        <v>10.53</v>
      </c>
      <c r="AE259" s="27">
        <f t="shared" si="182"/>
        <v>0</v>
      </c>
      <c r="AF259" s="21">
        <f t="shared" si="183"/>
        <v>0</v>
      </c>
      <c r="AG259" s="21">
        <v>0</v>
      </c>
      <c r="AH259" s="21">
        <f t="shared" si="184"/>
        <v>0</v>
      </c>
      <c r="AI259" s="21">
        <f t="shared" si="185"/>
        <v>0</v>
      </c>
      <c r="AJ259" s="21">
        <f t="shared" si="186"/>
        <v>0</v>
      </c>
      <c r="AK259" s="9" t="s">
        <v>57</v>
      </c>
      <c r="AL259" s="9" t="s">
        <v>57</v>
      </c>
      <c r="AM259" s="22">
        <v>0</v>
      </c>
      <c r="AN259" s="23">
        <f t="shared" si="187"/>
        <v>0</v>
      </c>
      <c r="AO259" s="9"/>
      <c r="AP259" s="26">
        <v>0</v>
      </c>
      <c r="AQ259" s="9"/>
    </row>
    <row r="260" spans="2:43" ht="78.75" x14ac:dyDescent="0.25">
      <c r="B260" s="170" t="s">
        <v>397</v>
      </c>
      <c r="C260" s="96" t="s">
        <v>762</v>
      </c>
      <c r="D260" s="93" t="s">
        <v>87</v>
      </c>
      <c r="E260" s="92">
        <v>1</v>
      </c>
      <c r="F260" s="92">
        <v>1</v>
      </c>
      <c r="G260" s="91">
        <v>0</v>
      </c>
      <c r="H260" s="107">
        <f t="shared" si="194"/>
        <v>0</v>
      </c>
      <c r="I260" s="168"/>
      <c r="J260" s="84"/>
      <c r="K260" s="95">
        <v>0</v>
      </c>
      <c r="L260" s="88">
        <f t="shared" si="195"/>
        <v>0</v>
      </c>
      <c r="M260" s="8"/>
      <c r="N260" s="29"/>
      <c r="O260" s="8"/>
      <c r="P260" s="220"/>
      <c r="Q260" s="220"/>
      <c r="R260" s="220"/>
      <c r="S260" s="8"/>
      <c r="T260" s="20"/>
      <c r="U260" s="21">
        <v>0</v>
      </c>
      <c r="V260" s="21">
        <v>0</v>
      </c>
      <c r="W260" s="21">
        <f t="shared" si="192"/>
        <v>0</v>
      </c>
      <c r="X260" s="22">
        <v>1</v>
      </c>
      <c r="Y260" s="23">
        <f t="shared" si="196"/>
        <v>0</v>
      </c>
      <c r="Z260" s="21">
        <f t="shared" si="193"/>
        <v>0</v>
      </c>
      <c r="AA260" s="21">
        <f t="shared" si="191"/>
        <v>0</v>
      </c>
      <c r="AC260" s="9"/>
      <c r="AD260" s="9" t="str">
        <f t="shared" si="181"/>
        <v>10.54</v>
      </c>
      <c r="AE260" s="27">
        <f t="shared" si="182"/>
        <v>0</v>
      </c>
      <c r="AF260" s="21">
        <f t="shared" si="183"/>
        <v>0</v>
      </c>
      <c r="AG260" s="21">
        <v>0</v>
      </c>
      <c r="AH260" s="21">
        <f t="shared" si="184"/>
        <v>0</v>
      </c>
      <c r="AI260" s="21">
        <f t="shared" si="185"/>
        <v>0</v>
      </c>
      <c r="AJ260" s="21">
        <f t="shared" si="186"/>
        <v>0</v>
      </c>
      <c r="AK260" s="9" t="s">
        <v>57</v>
      </c>
      <c r="AL260" s="9" t="s">
        <v>57</v>
      </c>
      <c r="AM260" s="22">
        <v>0</v>
      </c>
      <c r="AN260" s="23">
        <f t="shared" si="187"/>
        <v>0</v>
      </c>
      <c r="AO260" s="9"/>
      <c r="AP260" s="26">
        <v>0</v>
      </c>
      <c r="AQ260" s="9"/>
    </row>
    <row r="261" spans="2:43" ht="78.75" x14ac:dyDescent="0.25">
      <c r="B261" s="170" t="s">
        <v>398</v>
      </c>
      <c r="C261" s="96" t="s">
        <v>763</v>
      </c>
      <c r="D261" s="93" t="s">
        <v>87</v>
      </c>
      <c r="E261" s="92">
        <v>1</v>
      </c>
      <c r="F261" s="92">
        <v>1</v>
      </c>
      <c r="G261" s="91">
        <v>0</v>
      </c>
      <c r="H261" s="107">
        <f t="shared" si="194"/>
        <v>0</v>
      </c>
      <c r="I261" s="168"/>
      <c r="J261" s="84"/>
      <c r="K261" s="95">
        <v>0</v>
      </c>
      <c r="L261" s="88">
        <f t="shared" si="195"/>
        <v>0</v>
      </c>
      <c r="M261" s="8"/>
      <c r="N261" s="29"/>
      <c r="O261" s="8"/>
      <c r="P261" s="220"/>
      <c r="Q261" s="220"/>
      <c r="R261" s="220"/>
      <c r="S261" s="8"/>
      <c r="T261" s="20"/>
      <c r="U261" s="21">
        <v>0</v>
      </c>
      <c r="V261" s="21">
        <v>0</v>
      </c>
      <c r="W261" s="21">
        <f t="shared" si="192"/>
        <v>0</v>
      </c>
      <c r="X261" s="22">
        <v>1</v>
      </c>
      <c r="Y261" s="23">
        <f t="shared" si="196"/>
        <v>0</v>
      </c>
      <c r="Z261" s="21">
        <f t="shared" si="193"/>
        <v>0</v>
      </c>
      <c r="AA261" s="21">
        <f t="shared" si="191"/>
        <v>0</v>
      </c>
      <c r="AC261" s="9"/>
      <c r="AD261" s="9" t="str">
        <f t="shared" si="181"/>
        <v>10.55</v>
      </c>
      <c r="AE261" s="27">
        <f t="shared" si="182"/>
        <v>0</v>
      </c>
      <c r="AF261" s="21">
        <f t="shared" si="183"/>
        <v>0</v>
      </c>
      <c r="AG261" s="21">
        <v>0</v>
      </c>
      <c r="AH261" s="21">
        <f t="shared" si="184"/>
        <v>0</v>
      </c>
      <c r="AI261" s="21">
        <f t="shared" si="185"/>
        <v>0</v>
      </c>
      <c r="AJ261" s="21">
        <f t="shared" si="186"/>
        <v>0</v>
      </c>
      <c r="AK261" s="9" t="s">
        <v>57</v>
      </c>
      <c r="AL261" s="9" t="s">
        <v>57</v>
      </c>
      <c r="AM261" s="22">
        <v>0</v>
      </c>
      <c r="AN261" s="23">
        <f t="shared" si="187"/>
        <v>0</v>
      </c>
      <c r="AO261" s="9"/>
      <c r="AP261" s="26">
        <v>0</v>
      </c>
      <c r="AQ261" s="9"/>
    </row>
    <row r="262" spans="2:43" ht="78.75" x14ac:dyDescent="0.25">
      <c r="B262" s="170" t="s">
        <v>399</v>
      </c>
      <c r="C262" s="96" t="s">
        <v>764</v>
      </c>
      <c r="D262" s="93" t="s">
        <v>87</v>
      </c>
      <c r="E262" s="92">
        <v>1</v>
      </c>
      <c r="F262" s="92">
        <v>1</v>
      </c>
      <c r="G262" s="91">
        <v>0</v>
      </c>
      <c r="H262" s="107">
        <f t="shared" si="194"/>
        <v>0</v>
      </c>
      <c r="I262" s="168"/>
      <c r="J262" s="84"/>
      <c r="K262" s="95">
        <v>0</v>
      </c>
      <c r="L262" s="88">
        <f t="shared" si="195"/>
        <v>0</v>
      </c>
      <c r="M262" s="8"/>
      <c r="N262" s="29"/>
      <c r="O262" s="8"/>
      <c r="P262" s="220"/>
      <c r="Q262" s="220"/>
      <c r="R262" s="220"/>
      <c r="S262" s="8"/>
      <c r="T262" s="20"/>
      <c r="U262" s="21">
        <v>0</v>
      </c>
      <c r="V262" s="21">
        <v>0</v>
      </c>
      <c r="W262" s="21">
        <f t="shared" si="192"/>
        <v>0</v>
      </c>
      <c r="X262" s="22">
        <v>1</v>
      </c>
      <c r="Y262" s="23">
        <f t="shared" si="196"/>
        <v>0</v>
      </c>
      <c r="Z262" s="21">
        <f t="shared" si="193"/>
        <v>0</v>
      </c>
      <c r="AA262" s="21">
        <f t="shared" si="191"/>
        <v>0</v>
      </c>
      <c r="AC262" s="9"/>
      <c r="AD262" s="9" t="str">
        <f t="shared" si="181"/>
        <v>10.56</v>
      </c>
      <c r="AE262" s="27">
        <f t="shared" si="182"/>
        <v>0</v>
      </c>
      <c r="AF262" s="21">
        <f t="shared" si="183"/>
        <v>0</v>
      </c>
      <c r="AG262" s="21">
        <v>0</v>
      </c>
      <c r="AH262" s="21">
        <f t="shared" si="184"/>
        <v>0</v>
      </c>
      <c r="AI262" s="21">
        <f t="shared" si="185"/>
        <v>0</v>
      </c>
      <c r="AJ262" s="21">
        <f t="shared" si="186"/>
        <v>0</v>
      </c>
      <c r="AK262" s="9" t="s">
        <v>57</v>
      </c>
      <c r="AL262" s="9" t="s">
        <v>57</v>
      </c>
      <c r="AM262" s="22">
        <v>0</v>
      </c>
      <c r="AN262" s="23">
        <f t="shared" si="187"/>
        <v>0</v>
      </c>
      <c r="AO262" s="9"/>
      <c r="AP262" s="26">
        <v>0</v>
      </c>
      <c r="AQ262" s="9"/>
    </row>
    <row r="263" spans="2:43" ht="78.75" x14ac:dyDescent="0.25">
      <c r="B263" s="170" t="s">
        <v>400</v>
      </c>
      <c r="C263" s="96" t="s">
        <v>765</v>
      </c>
      <c r="D263" s="93" t="s">
        <v>87</v>
      </c>
      <c r="E263" s="92">
        <v>1</v>
      </c>
      <c r="F263" s="92">
        <v>1</v>
      </c>
      <c r="G263" s="91">
        <v>0</v>
      </c>
      <c r="H263" s="107">
        <f t="shared" si="194"/>
        <v>0</v>
      </c>
      <c r="I263" s="168"/>
      <c r="J263" s="84"/>
      <c r="K263" s="95">
        <v>0</v>
      </c>
      <c r="L263" s="88">
        <f t="shared" si="195"/>
        <v>0</v>
      </c>
      <c r="M263" s="8"/>
      <c r="N263" s="29"/>
      <c r="O263" s="8"/>
      <c r="P263" s="220"/>
      <c r="Q263" s="220"/>
      <c r="R263" s="220"/>
      <c r="S263" s="8"/>
      <c r="T263" s="20"/>
      <c r="U263" s="21">
        <v>0</v>
      </c>
      <c r="V263" s="21">
        <v>0</v>
      </c>
      <c r="W263" s="21">
        <f t="shared" si="192"/>
        <v>0</v>
      </c>
      <c r="X263" s="22">
        <v>1</v>
      </c>
      <c r="Y263" s="23">
        <f t="shared" si="196"/>
        <v>0</v>
      </c>
      <c r="Z263" s="21">
        <f t="shared" si="193"/>
        <v>0</v>
      </c>
      <c r="AA263" s="21">
        <f t="shared" si="191"/>
        <v>0</v>
      </c>
      <c r="AC263" s="9"/>
      <c r="AD263" s="9" t="str">
        <f t="shared" si="181"/>
        <v>10.57</v>
      </c>
      <c r="AE263" s="27">
        <f t="shared" si="182"/>
        <v>0</v>
      </c>
      <c r="AF263" s="21">
        <f t="shared" si="183"/>
        <v>0</v>
      </c>
      <c r="AG263" s="21">
        <v>0</v>
      </c>
      <c r="AH263" s="21">
        <f t="shared" si="184"/>
        <v>0</v>
      </c>
      <c r="AI263" s="21">
        <f t="shared" si="185"/>
        <v>0</v>
      </c>
      <c r="AJ263" s="21">
        <f t="shared" si="186"/>
        <v>0</v>
      </c>
      <c r="AK263" s="9" t="s">
        <v>57</v>
      </c>
      <c r="AL263" s="9" t="s">
        <v>57</v>
      </c>
      <c r="AM263" s="22">
        <v>0</v>
      </c>
      <c r="AN263" s="23">
        <f t="shared" si="187"/>
        <v>0</v>
      </c>
      <c r="AO263" s="9"/>
      <c r="AP263" s="26">
        <v>0</v>
      </c>
      <c r="AQ263" s="9"/>
    </row>
    <row r="264" spans="2:43" ht="78.75" x14ac:dyDescent="0.25">
      <c r="B264" s="170" t="s">
        <v>401</v>
      </c>
      <c r="C264" s="96" t="s">
        <v>766</v>
      </c>
      <c r="D264" s="93" t="s">
        <v>87</v>
      </c>
      <c r="E264" s="92">
        <v>1</v>
      </c>
      <c r="F264" s="92">
        <v>1</v>
      </c>
      <c r="G264" s="91">
        <v>0</v>
      </c>
      <c r="H264" s="107">
        <f t="shared" si="194"/>
        <v>0</v>
      </c>
      <c r="I264" s="168"/>
      <c r="J264" s="84"/>
      <c r="K264" s="95">
        <v>0</v>
      </c>
      <c r="L264" s="88">
        <f t="shared" si="195"/>
        <v>0</v>
      </c>
      <c r="M264" s="8"/>
      <c r="N264" s="29"/>
      <c r="O264" s="8"/>
      <c r="P264" s="220"/>
      <c r="Q264" s="220"/>
      <c r="R264" s="220"/>
      <c r="S264" s="8"/>
      <c r="T264" s="20"/>
      <c r="U264" s="21">
        <v>0</v>
      </c>
      <c r="V264" s="21">
        <v>0</v>
      </c>
      <c r="W264" s="21">
        <f t="shared" si="192"/>
        <v>0</v>
      </c>
      <c r="X264" s="22">
        <v>1</v>
      </c>
      <c r="Y264" s="23">
        <f t="shared" si="196"/>
        <v>0</v>
      </c>
      <c r="Z264" s="21">
        <f t="shared" si="193"/>
        <v>0</v>
      </c>
      <c r="AA264" s="21">
        <f t="shared" si="191"/>
        <v>0</v>
      </c>
      <c r="AC264" s="9"/>
      <c r="AD264" s="9" t="str">
        <f t="shared" si="181"/>
        <v>10.58</v>
      </c>
      <c r="AE264" s="27">
        <f t="shared" si="182"/>
        <v>0</v>
      </c>
      <c r="AF264" s="21">
        <f t="shared" si="183"/>
        <v>0</v>
      </c>
      <c r="AG264" s="21">
        <v>0</v>
      </c>
      <c r="AH264" s="21">
        <f t="shared" si="184"/>
        <v>0</v>
      </c>
      <c r="AI264" s="21">
        <f t="shared" si="185"/>
        <v>0</v>
      </c>
      <c r="AJ264" s="21">
        <f t="shared" si="186"/>
        <v>0</v>
      </c>
      <c r="AK264" s="9" t="s">
        <v>57</v>
      </c>
      <c r="AL264" s="9" t="s">
        <v>57</v>
      </c>
      <c r="AM264" s="22">
        <v>0</v>
      </c>
      <c r="AN264" s="23">
        <f t="shared" si="187"/>
        <v>0</v>
      </c>
      <c r="AO264" s="9"/>
      <c r="AP264" s="26">
        <v>0</v>
      </c>
      <c r="AQ264" s="9"/>
    </row>
    <row r="265" spans="2:43" ht="78.75" x14ac:dyDescent="0.25">
      <c r="B265" s="170" t="s">
        <v>402</v>
      </c>
      <c r="C265" s="96" t="s">
        <v>767</v>
      </c>
      <c r="D265" s="93" t="s">
        <v>87</v>
      </c>
      <c r="E265" s="92">
        <v>1</v>
      </c>
      <c r="F265" s="92">
        <v>1</v>
      </c>
      <c r="G265" s="91">
        <v>0</v>
      </c>
      <c r="H265" s="107">
        <f t="shared" si="194"/>
        <v>0</v>
      </c>
      <c r="I265" s="168"/>
      <c r="J265" s="84"/>
      <c r="K265" s="95">
        <v>0</v>
      </c>
      <c r="L265" s="88">
        <f t="shared" si="195"/>
        <v>0</v>
      </c>
      <c r="M265" s="8"/>
      <c r="N265" s="29"/>
      <c r="O265" s="8"/>
      <c r="P265" s="220"/>
      <c r="Q265" s="220"/>
      <c r="R265" s="220"/>
      <c r="S265" s="8"/>
      <c r="T265" s="20"/>
      <c r="U265" s="21">
        <v>0</v>
      </c>
      <c r="V265" s="21">
        <v>0</v>
      </c>
      <c r="W265" s="21">
        <f t="shared" si="192"/>
        <v>0</v>
      </c>
      <c r="X265" s="22">
        <v>1</v>
      </c>
      <c r="Y265" s="23">
        <f t="shared" si="196"/>
        <v>0</v>
      </c>
      <c r="Z265" s="21">
        <f t="shared" si="193"/>
        <v>0</v>
      </c>
      <c r="AA265" s="21">
        <f t="shared" si="191"/>
        <v>0</v>
      </c>
      <c r="AC265" s="9"/>
      <c r="AD265" s="9" t="str">
        <f t="shared" si="181"/>
        <v>10.59</v>
      </c>
      <c r="AE265" s="27">
        <f t="shared" si="182"/>
        <v>0</v>
      </c>
      <c r="AF265" s="21">
        <f t="shared" si="183"/>
        <v>0</v>
      </c>
      <c r="AG265" s="21">
        <v>0</v>
      </c>
      <c r="AH265" s="21">
        <f t="shared" si="184"/>
        <v>0</v>
      </c>
      <c r="AI265" s="21">
        <f t="shared" si="185"/>
        <v>0</v>
      </c>
      <c r="AJ265" s="21">
        <f t="shared" si="186"/>
        <v>0</v>
      </c>
      <c r="AK265" s="9" t="s">
        <v>57</v>
      </c>
      <c r="AL265" s="9" t="s">
        <v>57</v>
      </c>
      <c r="AM265" s="22">
        <v>0</v>
      </c>
      <c r="AN265" s="23">
        <f t="shared" si="187"/>
        <v>0</v>
      </c>
      <c r="AO265" s="9"/>
      <c r="AP265" s="26">
        <v>0</v>
      </c>
      <c r="AQ265" s="9"/>
    </row>
    <row r="266" spans="2:43" ht="78.75" x14ac:dyDescent="0.25">
      <c r="B266" s="170" t="s">
        <v>403</v>
      </c>
      <c r="C266" s="96" t="s">
        <v>768</v>
      </c>
      <c r="D266" s="93" t="s">
        <v>87</v>
      </c>
      <c r="E266" s="92">
        <v>1</v>
      </c>
      <c r="F266" s="92">
        <v>1</v>
      </c>
      <c r="G266" s="91">
        <v>0</v>
      </c>
      <c r="H266" s="107">
        <f t="shared" si="194"/>
        <v>0</v>
      </c>
      <c r="I266" s="168"/>
      <c r="J266" s="84"/>
      <c r="K266" s="95">
        <v>0</v>
      </c>
      <c r="L266" s="88">
        <f t="shared" si="195"/>
        <v>0</v>
      </c>
      <c r="M266" s="8"/>
      <c r="N266" s="29"/>
      <c r="O266" s="8"/>
      <c r="P266" s="220"/>
      <c r="Q266" s="220"/>
      <c r="R266" s="220"/>
      <c r="S266" s="8"/>
      <c r="T266" s="20"/>
      <c r="U266" s="21">
        <v>0</v>
      </c>
      <c r="V266" s="21">
        <v>0</v>
      </c>
      <c r="W266" s="21">
        <f t="shared" si="192"/>
        <v>0</v>
      </c>
      <c r="X266" s="22">
        <v>1</v>
      </c>
      <c r="Y266" s="23">
        <f t="shared" si="196"/>
        <v>0</v>
      </c>
      <c r="Z266" s="21">
        <f t="shared" si="193"/>
        <v>0</v>
      </c>
      <c r="AA266" s="21">
        <f t="shared" si="191"/>
        <v>0</v>
      </c>
      <c r="AC266" s="9"/>
      <c r="AD266" s="9" t="str">
        <f t="shared" si="181"/>
        <v>10.60</v>
      </c>
      <c r="AE266" s="27">
        <f t="shared" si="182"/>
        <v>0</v>
      </c>
      <c r="AF266" s="21">
        <f t="shared" si="183"/>
        <v>0</v>
      </c>
      <c r="AG266" s="21">
        <v>0</v>
      </c>
      <c r="AH266" s="21">
        <f t="shared" si="184"/>
        <v>0</v>
      </c>
      <c r="AI266" s="21">
        <f t="shared" si="185"/>
        <v>0</v>
      </c>
      <c r="AJ266" s="21">
        <f t="shared" si="186"/>
        <v>0</v>
      </c>
      <c r="AK266" s="9" t="s">
        <v>57</v>
      </c>
      <c r="AL266" s="9" t="s">
        <v>57</v>
      </c>
      <c r="AM266" s="22">
        <v>0</v>
      </c>
      <c r="AN266" s="23">
        <f t="shared" si="187"/>
        <v>0</v>
      </c>
      <c r="AO266" s="9"/>
      <c r="AP266" s="26">
        <v>0</v>
      </c>
      <c r="AQ266" s="9"/>
    </row>
    <row r="267" spans="2:43" ht="78.75" x14ac:dyDescent="0.25">
      <c r="B267" s="170" t="s">
        <v>404</v>
      </c>
      <c r="C267" s="96" t="s">
        <v>769</v>
      </c>
      <c r="D267" s="93" t="s">
        <v>87</v>
      </c>
      <c r="E267" s="92">
        <v>1</v>
      </c>
      <c r="F267" s="92">
        <v>1</v>
      </c>
      <c r="G267" s="91">
        <v>0</v>
      </c>
      <c r="H267" s="107">
        <f t="shared" si="194"/>
        <v>0</v>
      </c>
      <c r="I267" s="168"/>
      <c r="J267" s="84"/>
      <c r="K267" s="95">
        <v>0</v>
      </c>
      <c r="L267" s="88">
        <f t="shared" si="195"/>
        <v>0</v>
      </c>
      <c r="M267" s="8"/>
      <c r="N267" s="29"/>
      <c r="O267" s="8"/>
      <c r="P267" s="220"/>
      <c r="Q267" s="220"/>
      <c r="R267" s="220"/>
      <c r="S267" s="8"/>
      <c r="T267" s="20"/>
      <c r="U267" s="21">
        <v>0</v>
      </c>
      <c r="V267" s="21">
        <v>0</v>
      </c>
      <c r="W267" s="21">
        <f t="shared" si="192"/>
        <v>0</v>
      </c>
      <c r="X267" s="22">
        <v>1</v>
      </c>
      <c r="Y267" s="23">
        <f t="shared" si="196"/>
        <v>0</v>
      </c>
      <c r="Z267" s="21">
        <f t="shared" si="193"/>
        <v>0</v>
      </c>
      <c r="AA267" s="21">
        <f t="shared" si="191"/>
        <v>0</v>
      </c>
      <c r="AC267" s="9"/>
      <c r="AD267" s="9" t="str">
        <f t="shared" si="181"/>
        <v>10.61</v>
      </c>
      <c r="AE267" s="27">
        <f t="shared" si="182"/>
        <v>0</v>
      </c>
      <c r="AF267" s="21">
        <f t="shared" si="183"/>
        <v>0</v>
      </c>
      <c r="AG267" s="21">
        <v>0</v>
      </c>
      <c r="AH267" s="21">
        <f t="shared" si="184"/>
        <v>0</v>
      </c>
      <c r="AI267" s="21">
        <f t="shared" si="185"/>
        <v>0</v>
      </c>
      <c r="AJ267" s="21">
        <f t="shared" si="186"/>
        <v>0</v>
      </c>
      <c r="AK267" s="9" t="s">
        <v>57</v>
      </c>
      <c r="AL267" s="9" t="s">
        <v>57</v>
      </c>
      <c r="AM267" s="22">
        <v>0</v>
      </c>
      <c r="AN267" s="23">
        <f t="shared" si="187"/>
        <v>0</v>
      </c>
      <c r="AO267" s="9"/>
      <c r="AP267" s="26">
        <v>0</v>
      </c>
      <c r="AQ267" s="9"/>
    </row>
    <row r="268" spans="2:43" ht="94.5" x14ac:dyDescent="0.25">
      <c r="B268" s="170" t="s">
        <v>405</v>
      </c>
      <c r="C268" s="96" t="s">
        <v>770</v>
      </c>
      <c r="D268" s="93" t="s">
        <v>87</v>
      </c>
      <c r="E268" s="92">
        <v>1</v>
      </c>
      <c r="F268" s="92">
        <v>1</v>
      </c>
      <c r="G268" s="91">
        <v>0</v>
      </c>
      <c r="H268" s="107">
        <f t="shared" si="194"/>
        <v>0</v>
      </c>
      <c r="I268" s="168"/>
      <c r="J268" s="84"/>
      <c r="K268" s="95">
        <v>0</v>
      </c>
      <c r="L268" s="88">
        <f t="shared" si="195"/>
        <v>0</v>
      </c>
      <c r="M268" s="8"/>
      <c r="N268" s="29"/>
      <c r="O268" s="8"/>
      <c r="P268" s="220"/>
      <c r="Q268" s="220"/>
      <c r="R268" s="220"/>
      <c r="S268" s="8"/>
      <c r="T268" s="20"/>
      <c r="U268" s="21">
        <v>0</v>
      </c>
      <c r="V268" s="21">
        <v>0</v>
      </c>
      <c r="W268" s="21">
        <f t="shared" si="192"/>
        <v>0</v>
      </c>
      <c r="X268" s="22">
        <v>1</v>
      </c>
      <c r="Y268" s="23">
        <f t="shared" si="196"/>
        <v>0</v>
      </c>
      <c r="Z268" s="21">
        <f t="shared" si="193"/>
        <v>0</v>
      </c>
      <c r="AA268" s="21">
        <f t="shared" si="191"/>
        <v>0</v>
      </c>
      <c r="AC268" s="9"/>
      <c r="AD268" s="9" t="str">
        <f t="shared" si="181"/>
        <v>10.62</v>
      </c>
      <c r="AE268" s="27">
        <f t="shared" si="182"/>
        <v>0</v>
      </c>
      <c r="AF268" s="21">
        <f t="shared" si="183"/>
        <v>0</v>
      </c>
      <c r="AG268" s="21">
        <v>0</v>
      </c>
      <c r="AH268" s="21">
        <f t="shared" si="184"/>
        <v>0</v>
      </c>
      <c r="AI268" s="21">
        <f t="shared" si="185"/>
        <v>0</v>
      </c>
      <c r="AJ268" s="21">
        <f t="shared" si="186"/>
        <v>0</v>
      </c>
      <c r="AK268" s="9" t="s">
        <v>57</v>
      </c>
      <c r="AL268" s="9" t="s">
        <v>57</v>
      </c>
      <c r="AM268" s="22">
        <v>0</v>
      </c>
      <c r="AN268" s="23">
        <f t="shared" si="187"/>
        <v>0</v>
      </c>
      <c r="AO268" s="9"/>
      <c r="AP268" s="26">
        <v>0</v>
      </c>
      <c r="AQ268" s="9"/>
    </row>
    <row r="269" spans="2:43" ht="78.75" x14ac:dyDescent="0.25">
      <c r="B269" s="170" t="s">
        <v>406</v>
      </c>
      <c r="C269" s="96" t="s">
        <v>771</v>
      </c>
      <c r="D269" s="93" t="s">
        <v>87</v>
      </c>
      <c r="E269" s="92">
        <v>1</v>
      </c>
      <c r="F269" s="92">
        <v>1</v>
      </c>
      <c r="G269" s="91">
        <v>0</v>
      </c>
      <c r="H269" s="107">
        <f t="shared" ref="H269" si="197">E269*F269*G269</f>
        <v>0</v>
      </c>
      <c r="I269" s="168"/>
      <c r="J269" s="84"/>
      <c r="K269" s="95">
        <v>0</v>
      </c>
      <c r="L269" s="88">
        <f t="shared" ref="L269" si="198">H269</f>
        <v>0</v>
      </c>
      <c r="M269" s="8"/>
      <c r="N269" s="29"/>
      <c r="O269" s="8"/>
      <c r="P269" s="220"/>
      <c r="Q269" s="220"/>
      <c r="R269" s="220"/>
      <c r="S269" s="8"/>
      <c r="T269" s="20"/>
      <c r="U269" s="21">
        <v>0</v>
      </c>
      <c r="V269" s="21">
        <v>0</v>
      </c>
      <c r="W269" s="21">
        <f t="shared" si="192"/>
        <v>0</v>
      </c>
      <c r="X269" s="22">
        <v>1</v>
      </c>
      <c r="Y269" s="23">
        <f t="shared" si="196"/>
        <v>0</v>
      </c>
      <c r="Z269" s="21">
        <f t="shared" si="193"/>
        <v>0</v>
      </c>
      <c r="AA269" s="21">
        <f t="shared" si="191"/>
        <v>0</v>
      </c>
      <c r="AC269" s="9"/>
      <c r="AD269" s="9" t="str">
        <f t="shared" si="181"/>
        <v>10.63</v>
      </c>
      <c r="AE269" s="27">
        <f t="shared" si="182"/>
        <v>0</v>
      </c>
      <c r="AF269" s="21">
        <f t="shared" si="183"/>
        <v>0</v>
      </c>
      <c r="AG269" s="21">
        <v>0</v>
      </c>
      <c r="AH269" s="21">
        <f t="shared" si="184"/>
        <v>0</v>
      </c>
      <c r="AI269" s="21">
        <f t="shared" si="185"/>
        <v>0</v>
      </c>
      <c r="AJ269" s="21">
        <f t="shared" si="186"/>
        <v>0</v>
      </c>
      <c r="AK269" s="9" t="s">
        <v>57</v>
      </c>
      <c r="AL269" s="9" t="s">
        <v>57</v>
      </c>
      <c r="AM269" s="22">
        <v>0</v>
      </c>
      <c r="AN269" s="23">
        <f t="shared" si="187"/>
        <v>0</v>
      </c>
      <c r="AO269" s="9"/>
      <c r="AP269" s="26">
        <v>0</v>
      </c>
      <c r="AQ269" s="9"/>
    </row>
    <row r="270" spans="2:43" ht="78.75" x14ac:dyDescent="0.25">
      <c r="B270" s="170" t="s">
        <v>407</v>
      </c>
      <c r="C270" s="96" t="s">
        <v>772</v>
      </c>
      <c r="D270" s="93" t="s">
        <v>87</v>
      </c>
      <c r="E270" s="92">
        <v>1</v>
      </c>
      <c r="F270" s="92">
        <v>1</v>
      </c>
      <c r="G270" s="91">
        <v>0</v>
      </c>
      <c r="H270" s="107">
        <f t="shared" si="194"/>
        <v>0</v>
      </c>
      <c r="I270" s="168"/>
      <c r="J270" s="84"/>
      <c r="K270" s="95">
        <v>0</v>
      </c>
      <c r="L270" s="88">
        <f t="shared" si="195"/>
        <v>0</v>
      </c>
      <c r="M270" s="8"/>
      <c r="N270" s="29"/>
      <c r="O270" s="8"/>
      <c r="P270" s="220"/>
      <c r="Q270" s="220"/>
      <c r="R270" s="220"/>
      <c r="S270" s="8"/>
      <c r="T270" s="20"/>
      <c r="U270" s="21">
        <v>0</v>
      </c>
      <c r="V270" s="21">
        <v>0</v>
      </c>
      <c r="W270" s="21">
        <f t="shared" si="192"/>
        <v>0</v>
      </c>
      <c r="X270" s="22">
        <v>1</v>
      </c>
      <c r="Y270" s="23">
        <f t="shared" si="196"/>
        <v>0</v>
      </c>
      <c r="Z270" s="21">
        <f t="shared" si="193"/>
        <v>0</v>
      </c>
      <c r="AA270" s="21">
        <f t="shared" si="191"/>
        <v>0</v>
      </c>
      <c r="AC270" s="9"/>
      <c r="AD270" s="9" t="str">
        <f t="shared" ref="AD270" si="199">B270</f>
        <v>10.64</v>
      </c>
      <c r="AE270" s="27">
        <f t="shared" ref="AE270" si="200">T270</f>
        <v>0</v>
      </c>
      <c r="AF270" s="21">
        <f t="shared" ref="AF270" si="201">U270</f>
        <v>0</v>
      </c>
      <c r="AG270" s="21">
        <v>0</v>
      </c>
      <c r="AH270" s="21">
        <f t="shared" ref="AH270" si="202">H270-AF270</f>
        <v>0</v>
      </c>
      <c r="AI270" s="21">
        <f t="shared" ref="AI270" si="203">AF270*10%</f>
        <v>0</v>
      </c>
      <c r="AJ270" s="21">
        <f t="shared" ref="AJ270" si="204">AN270+AI270</f>
        <v>0</v>
      </c>
      <c r="AK270" s="9" t="s">
        <v>57</v>
      </c>
      <c r="AL270" s="9" t="s">
        <v>57</v>
      </c>
      <c r="AM270" s="22">
        <v>0</v>
      </c>
      <c r="AN270" s="23">
        <f t="shared" ref="AN270" si="205">(AH270-(AH270*AM270))</f>
        <v>0</v>
      </c>
      <c r="AO270" s="9"/>
      <c r="AP270" s="26">
        <v>0</v>
      </c>
      <c r="AQ270" s="9"/>
    </row>
    <row r="271" spans="2:43" ht="38.25" x14ac:dyDescent="0.25">
      <c r="B271" s="165">
        <v>11</v>
      </c>
      <c r="C271" s="87" t="s">
        <v>50</v>
      </c>
      <c r="D271" s="87"/>
      <c r="E271" s="87"/>
      <c r="F271" s="87"/>
      <c r="G271" s="87"/>
      <c r="H271" s="87"/>
      <c r="I271" s="166">
        <f>SUM(H272:H312)</f>
        <v>0</v>
      </c>
      <c r="J271" s="84"/>
      <c r="K271" s="99" t="s">
        <v>75</v>
      </c>
      <c r="L271" s="98" t="str">
        <f>L$15</f>
        <v>30 DIAS</v>
      </c>
      <c r="M271" s="8"/>
      <c r="N271" s="29"/>
      <c r="O271" s="8"/>
      <c r="P271" s="218" t="s">
        <v>506</v>
      </c>
      <c r="Q271" s="218" t="s">
        <v>507</v>
      </c>
      <c r="R271" s="218" t="s">
        <v>508</v>
      </c>
      <c r="S271" s="8"/>
      <c r="T271" s="144" t="s">
        <v>22</v>
      </c>
      <c r="U271" s="145" t="s">
        <v>23</v>
      </c>
      <c r="V271" s="146" t="s">
        <v>523</v>
      </c>
      <c r="W271" s="146" t="s">
        <v>24</v>
      </c>
      <c r="X271" s="333" t="s">
        <v>68</v>
      </c>
      <c r="Y271" s="334"/>
      <c r="Z271" s="147" t="s">
        <v>25</v>
      </c>
      <c r="AA271" s="147" t="s">
        <v>26</v>
      </c>
      <c r="AB271" s="148"/>
      <c r="AC271" s="149" t="s">
        <v>16</v>
      </c>
      <c r="AD271" s="149" t="s">
        <v>17</v>
      </c>
      <c r="AE271" s="150" t="s">
        <v>22</v>
      </c>
      <c r="AF271" s="151" t="s">
        <v>23</v>
      </c>
      <c r="AG271" s="146" t="s">
        <v>523</v>
      </c>
      <c r="AH271" s="152" t="s">
        <v>24</v>
      </c>
      <c r="AI271" s="153" t="s">
        <v>25</v>
      </c>
      <c r="AJ271" s="153" t="s">
        <v>26</v>
      </c>
      <c r="AK271" s="149" t="s">
        <v>18</v>
      </c>
      <c r="AL271" s="149" t="s">
        <v>67</v>
      </c>
      <c r="AM271" s="333" t="s">
        <v>68</v>
      </c>
      <c r="AN271" s="334"/>
      <c r="AO271" s="149" t="s">
        <v>19</v>
      </c>
      <c r="AP271" s="149" t="s">
        <v>20</v>
      </c>
      <c r="AQ271" s="154" t="s">
        <v>21</v>
      </c>
    </row>
    <row r="272" spans="2:43" ht="94.5" x14ac:dyDescent="0.25">
      <c r="B272" s="167" t="s">
        <v>442</v>
      </c>
      <c r="C272" s="96" t="s">
        <v>773</v>
      </c>
      <c r="D272" s="93" t="s">
        <v>87</v>
      </c>
      <c r="E272" s="106">
        <v>1</v>
      </c>
      <c r="F272" s="106">
        <v>1</v>
      </c>
      <c r="G272" s="105">
        <v>0</v>
      </c>
      <c r="H272" s="90">
        <f t="shared" ref="H272:H306" si="206">E272*F272*G272</f>
        <v>0</v>
      </c>
      <c r="I272" s="168"/>
      <c r="J272" s="84"/>
      <c r="K272" s="95">
        <f t="shared" ref="K272" si="207">H272</f>
        <v>0</v>
      </c>
      <c r="L272" s="88">
        <v>0</v>
      </c>
      <c r="M272" s="8"/>
      <c r="N272" s="29"/>
      <c r="O272" s="8"/>
      <c r="P272" s="220"/>
      <c r="Q272" s="220"/>
      <c r="R272" s="220"/>
      <c r="S272" s="8"/>
      <c r="T272" s="20"/>
      <c r="U272" s="21">
        <v>0</v>
      </c>
      <c r="V272" s="21">
        <v>0</v>
      </c>
      <c r="W272" s="21">
        <f t="shared" si="192"/>
        <v>0</v>
      </c>
      <c r="X272" s="22">
        <v>1</v>
      </c>
      <c r="Y272" s="23">
        <f t="shared" si="196"/>
        <v>0</v>
      </c>
      <c r="Z272" s="21">
        <f t="shared" ref="Z272:Z312" si="208">U272*10%</f>
        <v>0</v>
      </c>
      <c r="AA272" s="21">
        <f t="shared" si="191"/>
        <v>0</v>
      </c>
      <c r="AC272" s="9"/>
      <c r="AD272" s="9" t="str">
        <f t="shared" ref="AD272:AD312" si="209">B272</f>
        <v>11.1</v>
      </c>
      <c r="AE272" s="27">
        <f t="shared" ref="AE272:AE312" si="210">T272</f>
        <v>0</v>
      </c>
      <c r="AF272" s="21">
        <f t="shared" ref="AF272:AF312" si="211">U272</f>
        <v>0</v>
      </c>
      <c r="AG272" s="21">
        <v>0</v>
      </c>
      <c r="AH272" s="21">
        <f t="shared" ref="AH272:AH312" si="212">H272-AF272</f>
        <v>0</v>
      </c>
      <c r="AI272" s="21">
        <f t="shared" ref="AI272:AI312" si="213">AF272*10%</f>
        <v>0</v>
      </c>
      <c r="AJ272" s="21">
        <f t="shared" ref="AJ272:AJ312" si="214">AN272+AI272</f>
        <v>0</v>
      </c>
      <c r="AK272" s="9" t="s">
        <v>57</v>
      </c>
      <c r="AL272" s="9" t="s">
        <v>57</v>
      </c>
      <c r="AM272" s="22">
        <v>0</v>
      </c>
      <c r="AN272" s="23">
        <f t="shared" ref="AN272:AN312" si="215">(AH272-(AH272*AM272))</f>
        <v>0</v>
      </c>
      <c r="AO272" s="9"/>
      <c r="AP272" s="26">
        <v>0</v>
      </c>
      <c r="AQ272" s="9"/>
    </row>
    <row r="273" spans="2:43" ht="94.5" x14ac:dyDescent="0.25">
      <c r="B273" s="167" t="s">
        <v>443</v>
      </c>
      <c r="C273" s="96" t="s">
        <v>774</v>
      </c>
      <c r="D273" s="93" t="s">
        <v>87</v>
      </c>
      <c r="E273" s="106">
        <v>1</v>
      </c>
      <c r="F273" s="106">
        <v>1</v>
      </c>
      <c r="G273" s="105">
        <v>0</v>
      </c>
      <c r="H273" s="90">
        <f t="shared" si="206"/>
        <v>0</v>
      </c>
      <c r="I273" s="168"/>
      <c r="J273" s="84"/>
      <c r="K273" s="95">
        <f t="shared" ref="K273:K312" si="216">H273</f>
        <v>0</v>
      </c>
      <c r="L273" s="88">
        <v>0</v>
      </c>
      <c r="M273" s="8"/>
      <c r="N273" s="29"/>
      <c r="O273" s="8"/>
      <c r="P273" s="220"/>
      <c r="Q273" s="220"/>
      <c r="R273" s="220"/>
      <c r="S273" s="8"/>
      <c r="T273" s="20"/>
      <c r="U273" s="21">
        <v>0</v>
      </c>
      <c r="V273" s="21">
        <v>0</v>
      </c>
      <c r="W273" s="21">
        <f t="shared" si="192"/>
        <v>0</v>
      </c>
      <c r="X273" s="22">
        <v>1</v>
      </c>
      <c r="Y273" s="23">
        <f t="shared" si="196"/>
        <v>0</v>
      </c>
      <c r="Z273" s="21">
        <f t="shared" si="208"/>
        <v>0</v>
      </c>
      <c r="AA273" s="21">
        <f t="shared" si="191"/>
        <v>0</v>
      </c>
      <c r="AC273" s="9"/>
      <c r="AD273" s="9" t="str">
        <f t="shared" si="209"/>
        <v>11.2</v>
      </c>
      <c r="AE273" s="27">
        <f t="shared" si="210"/>
        <v>0</v>
      </c>
      <c r="AF273" s="21">
        <f t="shared" si="211"/>
        <v>0</v>
      </c>
      <c r="AG273" s="21">
        <v>0</v>
      </c>
      <c r="AH273" s="21">
        <f t="shared" si="212"/>
        <v>0</v>
      </c>
      <c r="AI273" s="21">
        <f t="shared" si="213"/>
        <v>0</v>
      </c>
      <c r="AJ273" s="21">
        <f t="shared" si="214"/>
        <v>0</v>
      </c>
      <c r="AK273" s="9" t="s">
        <v>57</v>
      </c>
      <c r="AL273" s="9" t="s">
        <v>57</v>
      </c>
      <c r="AM273" s="22">
        <v>0</v>
      </c>
      <c r="AN273" s="23">
        <f t="shared" si="215"/>
        <v>0</v>
      </c>
      <c r="AO273" s="9"/>
      <c r="AP273" s="26">
        <v>0</v>
      </c>
      <c r="AQ273" s="9"/>
    </row>
    <row r="274" spans="2:43" ht="94.5" x14ac:dyDescent="0.25">
      <c r="B274" s="167" t="s">
        <v>444</v>
      </c>
      <c r="C274" s="96" t="s">
        <v>775</v>
      </c>
      <c r="D274" s="93" t="s">
        <v>87</v>
      </c>
      <c r="E274" s="106">
        <v>1</v>
      </c>
      <c r="F274" s="106">
        <v>1</v>
      </c>
      <c r="G274" s="105">
        <v>0</v>
      </c>
      <c r="H274" s="90">
        <f t="shared" si="206"/>
        <v>0</v>
      </c>
      <c r="I274" s="168"/>
      <c r="J274" s="84"/>
      <c r="K274" s="95">
        <f t="shared" si="216"/>
        <v>0</v>
      </c>
      <c r="L274" s="88">
        <v>0</v>
      </c>
      <c r="M274" s="8"/>
      <c r="N274" s="29"/>
      <c r="O274" s="8"/>
      <c r="P274" s="220"/>
      <c r="Q274" s="220"/>
      <c r="R274" s="220"/>
      <c r="S274" s="8"/>
      <c r="T274" s="20"/>
      <c r="U274" s="21">
        <v>0</v>
      </c>
      <c r="V274" s="21">
        <v>0</v>
      </c>
      <c r="W274" s="21">
        <f t="shared" si="192"/>
        <v>0</v>
      </c>
      <c r="X274" s="22">
        <v>1</v>
      </c>
      <c r="Y274" s="23">
        <f t="shared" si="196"/>
        <v>0</v>
      </c>
      <c r="Z274" s="21">
        <f t="shared" si="208"/>
        <v>0</v>
      </c>
      <c r="AA274" s="21">
        <f t="shared" si="191"/>
        <v>0</v>
      </c>
      <c r="AC274" s="9"/>
      <c r="AD274" s="9" t="str">
        <f t="shared" si="209"/>
        <v>11.3</v>
      </c>
      <c r="AE274" s="27">
        <f t="shared" si="210"/>
        <v>0</v>
      </c>
      <c r="AF274" s="21">
        <f t="shared" si="211"/>
        <v>0</v>
      </c>
      <c r="AG274" s="21">
        <v>0</v>
      </c>
      <c r="AH274" s="21">
        <f t="shared" si="212"/>
        <v>0</v>
      </c>
      <c r="AI274" s="21">
        <f t="shared" si="213"/>
        <v>0</v>
      </c>
      <c r="AJ274" s="21">
        <f t="shared" si="214"/>
        <v>0</v>
      </c>
      <c r="AK274" s="9" t="s">
        <v>57</v>
      </c>
      <c r="AL274" s="9" t="s">
        <v>57</v>
      </c>
      <c r="AM274" s="22">
        <v>0</v>
      </c>
      <c r="AN274" s="23">
        <f t="shared" si="215"/>
        <v>0</v>
      </c>
      <c r="AO274" s="9"/>
      <c r="AP274" s="26">
        <v>0</v>
      </c>
      <c r="AQ274" s="9"/>
    </row>
    <row r="275" spans="2:43" ht="94.5" x14ac:dyDescent="0.25">
      <c r="B275" s="167" t="s">
        <v>445</v>
      </c>
      <c r="C275" s="96" t="s">
        <v>776</v>
      </c>
      <c r="D275" s="93" t="s">
        <v>87</v>
      </c>
      <c r="E275" s="106">
        <v>1</v>
      </c>
      <c r="F275" s="106">
        <v>1</v>
      </c>
      <c r="G275" s="105">
        <v>0</v>
      </c>
      <c r="H275" s="90">
        <f t="shared" si="206"/>
        <v>0</v>
      </c>
      <c r="I275" s="168"/>
      <c r="J275" s="84"/>
      <c r="K275" s="95">
        <f t="shared" si="216"/>
        <v>0</v>
      </c>
      <c r="L275" s="88">
        <v>0</v>
      </c>
      <c r="M275" s="8"/>
      <c r="N275" s="29"/>
      <c r="O275" s="8"/>
      <c r="P275" s="220"/>
      <c r="Q275" s="220"/>
      <c r="R275" s="220"/>
      <c r="S275" s="8"/>
      <c r="T275" s="20"/>
      <c r="U275" s="21">
        <v>0</v>
      </c>
      <c r="V275" s="21">
        <v>0</v>
      </c>
      <c r="W275" s="21">
        <f t="shared" si="192"/>
        <v>0</v>
      </c>
      <c r="X275" s="22">
        <v>1</v>
      </c>
      <c r="Y275" s="23">
        <f t="shared" si="196"/>
        <v>0</v>
      </c>
      <c r="Z275" s="21">
        <f t="shared" si="208"/>
        <v>0</v>
      </c>
      <c r="AA275" s="21">
        <f t="shared" si="191"/>
        <v>0</v>
      </c>
      <c r="AC275" s="9"/>
      <c r="AD275" s="9" t="str">
        <f t="shared" si="209"/>
        <v>11.4</v>
      </c>
      <c r="AE275" s="27">
        <f t="shared" si="210"/>
        <v>0</v>
      </c>
      <c r="AF275" s="21">
        <f t="shared" si="211"/>
        <v>0</v>
      </c>
      <c r="AG275" s="21">
        <v>0</v>
      </c>
      <c r="AH275" s="21">
        <f t="shared" si="212"/>
        <v>0</v>
      </c>
      <c r="AI275" s="21">
        <f t="shared" si="213"/>
        <v>0</v>
      </c>
      <c r="AJ275" s="21">
        <f t="shared" si="214"/>
        <v>0</v>
      </c>
      <c r="AK275" s="9" t="s">
        <v>57</v>
      </c>
      <c r="AL275" s="9" t="s">
        <v>57</v>
      </c>
      <c r="AM275" s="22">
        <v>0</v>
      </c>
      <c r="AN275" s="23">
        <f t="shared" si="215"/>
        <v>0</v>
      </c>
      <c r="AO275" s="9"/>
      <c r="AP275" s="26">
        <v>0</v>
      </c>
      <c r="AQ275" s="9"/>
    </row>
    <row r="276" spans="2:43" ht="78.75" x14ac:dyDescent="0.25">
      <c r="B276" s="167" t="s">
        <v>446</v>
      </c>
      <c r="C276" s="96" t="s">
        <v>777</v>
      </c>
      <c r="D276" s="93" t="s">
        <v>87</v>
      </c>
      <c r="E276" s="106">
        <v>1</v>
      </c>
      <c r="F276" s="106">
        <v>1</v>
      </c>
      <c r="G276" s="105">
        <v>0</v>
      </c>
      <c r="H276" s="90">
        <f t="shared" si="206"/>
        <v>0</v>
      </c>
      <c r="I276" s="168"/>
      <c r="J276" s="84"/>
      <c r="K276" s="95">
        <f t="shared" si="216"/>
        <v>0</v>
      </c>
      <c r="L276" s="88">
        <v>0</v>
      </c>
      <c r="M276" s="8"/>
      <c r="N276" s="29"/>
      <c r="O276" s="8"/>
      <c r="P276" s="220"/>
      <c r="Q276" s="220"/>
      <c r="R276" s="220"/>
      <c r="S276" s="8"/>
      <c r="T276" s="20"/>
      <c r="U276" s="21">
        <v>0</v>
      </c>
      <c r="V276" s="21">
        <v>0</v>
      </c>
      <c r="W276" s="21">
        <f t="shared" si="192"/>
        <v>0</v>
      </c>
      <c r="X276" s="22">
        <v>1</v>
      </c>
      <c r="Y276" s="23">
        <f t="shared" si="196"/>
        <v>0</v>
      </c>
      <c r="Z276" s="21">
        <f t="shared" si="208"/>
        <v>0</v>
      </c>
      <c r="AA276" s="21">
        <f t="shared" si="191"/>
        <v>0</v>
      </c>
      <c r="AC276" s="9"/>
      <c r="AD276" s="9" t="str">
        <f t="shared" si="209"/>
        <v>11.5</v>
      </c>
      <c r="AE276" s="27">
        <f t="shared" si="210"/>
        <v>0</v>
      </c>
      <c r="AF276" s="21">
        <f t="shared" si="211"/>
        <v>0</v>
      </c>
      <c r="AG276" s="21">
        <v>0</v>
      </c>
      <c r="AH276" s="21">
        <f t="shared" si="212"/>
        <v>0</v>
      </c>
      <c r="AI276" s="21">
        <f t="shared" si="213"/>
        <v>0</v>
      </c>
      <c r="AJ276" s="21">
        <f t="shared" si="214"/>
        <v>0</v>
      </c>
      <c r="AK276" s="9" t="s">
        <v>57</v>
      </c>
      <c r="AL276" s="9" t="s">
        <v>57</v>
      </c>
      <c r="AM276" s="22">
        <v>0</v>
      </c>
      <c r="AN276" s="23">
        <f t="shared" si="215"/>
        <v>0</v>
      </c>
      <c r="AO276" s="9"/>
      <c r="AP276" s="26">
        <v>0</v>
      </c>
      <c r="AQ276" s="9"/>
    </row>
    <row r="277" spans="2:43" ht="78.75" x14ac:dyDescent="0.25">
      <c r="B277" s="167" t="s">
        <v>447</v>
      </c>
      <c r="C277" s="96" t="s">
        <v>778</v>
      </c>
      <c r="D277" s="93" t="s">
        <v>87</v>
      </c>
      <c r="E277" s="106">
        <v>1</v>
      </c>
      <c r="F277" s="106">
        <v>1</v>
      </c>
      <c r="G277" s="105">
        <v>0</v>
      </c>
      <c r="H277" s="90">
        <f t="shared" si="206"/>
        <v>0</v>
      </c>
      <c r="I277" s="168"/>
      <c r="J277" s="84"/>
      <c r="K277" s="95">
        <f t="shared" si="216"/>
        <v>0</v>
      </c>
      <c r="L277" s="88">
        <v>0</v>
      </c>
      <c r="M277" s="8"/>
      <c r="N277" s="29"/>
      <c r="O277" s="8"/>
      <c r="P277" s="220"/>
      <c r="Q277" s="220"/>
      <c r="R277" s="220"/>
      <c r="S277" s="8"/>
      <c r="T277" s="20"/>
      <c r="U277" s="21">
        <v>0</v>
      </c>
      <c r="V277" s="21">
        <v>0</v>
      </c>
      <c r="W277" s="21">
        <f t="shared" si="192"/>
        <v>0</v>
      </c>
      <c r="X277" s="22">
        <v>1</v>
      </c>
      <c r="Y277" s="23">
        <f t="shared" si="196"/>
        <v>0</v>
      </c>
      <c r="Z277" s="21">
        <f t="shared" si="208"/>
        <v>0</v>
      </c>
      <c r="AA277" s="21">
        <f t="shared" si="191"/>
        <v>0</v>
      </c>
      <c r="AC277" s="9"/>
      <c r="AD277" s="9" t="str">
        <f t="shared" si="209"/>
        <v>11.6</v>
      </c>
      <c r="AE277" s="27">
        <f t="shared" si="210"/>
        <v>0</v>
      </c>
      <c r="AF277" s="21">
        <f t="shared" si="211"/>
        <v>0</v>
      </c>
      <c r="AG277" s="21">
        <v>0</v>
      </c>
      <c r="AH277" s="21">
        <f t="shared" si="212"/>
        <v>0</v>
      </c>
      <c r="AI277" s="21">
        <f t="shared" si="213"/>
        <v>0</v>
      </c>
      <c r="AJ277" s="21">
        <f t="shared" si="214"/>
        <v>0</v>
      </c>
      <c r="AK277" s="9" t="s">
        <v>57</v>
      </c>
      <c r="AL277" s="9" t="s">
        <v>57</v>
      </c>
      <c r="AM277" s="22">
        <v>0</v>
      </c>
      <c r="AN277" s="23">
        <f t="shared" si="215"/>
        <v>0</v>
      </c>
      <c r="AO277" s="9"/>
      <c r="AP277" s="26">
        <v>0</v>
      </c>
      <c r="AQ277" s="9"/>
    </row>
    <row r="278" spans="2:43" ht="78.75" x14ac:dyDescent="0.25">
      <c r="B278" s="167" t="s">
        <v>448</v>
      </c>
      <c r="C278" s="96" t="s">
        <v>779</v>
      </c>
      <c r="D278" s="93" t="s">
        <v>87</v>
      </c>
      <c r="E278" s="106">
        <v>1</v>
      </c>
      <c r="F278" s="106">
        <v>1</v>
      </c>
      <c r="G278" s="105">
        <v>0</v>
      </c>
      <c r="H278" s="90">
        <f t="shared" si="206"/>
        <v>0</v>
      </c>
      <c r="I278" s="168"/>
      <c r="J278" s="84"/>
      <c r="K278" s="95">
        <f t="shared" si="216"/>
        <v>0</v>
      </c>
      <c r="L278" s="88">
        <v>0</v>
      </c>
      <c r="M278" s="8"/>
      <c r="N278" s="29"/>
      <c r="O278" s="8"/>
      <c r="P278" s="220"/>
      <c r="Q278" s="220"/>
      <c r="R278" s="220"/>
      <c r="S278" s="8"/>
      <c r="T278" s="20"/>
      <c r="U278" s="21">
        <v>0</v>
      </c>
      <c r="V278" s="21">
        <v>0</v>
      </c>
      <c r="W278" s="21">
        <f t="shared" si="192"/>
        <v>0</v>
      </c>
      <c r="X278" s="22">
        <v>1</v>
      </c>
      <c r="Y278" s="23">
        <f t="shared" si="196"/>
        <v>0</v>
      </c>
      <c r="Z278" s="21">
        <f t="shared" si="208"/>
        <v>0</v>
      </c>
      <c r="AA278" s="21">
        <f t="shared" si="191"/>
        <v>0</v>
      </c>
      <c r="AC278" s="9"/>
      <c r="AD278" s="9" t="str">
        <f t="shared" si="209"/>
        <v>11.7</v>
      </c>
      <c r="AE278" s="27">
        <f t="shared" si="210"/>
        <v>0</v>
      </c>
      <c r="AF278" s="21">
        <f t="shared" si="211"/>
        <v>0</v>
      </c>
      <c r="AG278" s="21">
        <v>0</v>
      </c>
      <c r="AH278" s="21">
        <f t="shared" si="212"/>
        <v>0</v>
      </c>
      <c r="AI278" s="21">
        <f t="shared" si="213"/>
        <v>0</v>
      </c>
      <c r="AJ278" s="21">
        <f t="shared" si="214"/>
        <v>0</v>
      </c>
      <c r="AK278" s="9" t="s">
        <v>57</v>
      </c>
      <c r="AL278" s="9" t="s">
        <v>57</v>
      </c>
      <c r="AM278" s="22">
        <v>0</v>
      </c>
      <c r="AN278" s="23">
        <f t="shared" si="215"/>
        <v>0</v>
      </c>
      <c r="AO278" s="9"/>
      <c r="AP278" s="26">
        <v>0</v>
      </c>
      <c r="AQ278" s="9"/>
    </row>
    <row r="279" spans="2:43" ht="78.75" x14ac:dyDescent="0.25">
      <c r="B279" s="167" t="s">
        <v>449</v>
      </c>
      <c r="C279" s="96" t="s">
        <v>780</v>
      </c>
      <c r="D279" s="93" t="s">
        <v>87</v>
      </c>
      <c r="E279" s="106">
        <v>1</v>
      </c>
      <c r="F279" s="106">
        <v>1</v>
      </c>
      <c r="G279" s="105">
        <v>0</v>
      </c>
      <c r="H279" s="90">
        <f t="shared" si="206"/>
        <v>0</v>
      </c>
      <c r="I279" s="168"/>
      <c r="J279" s="84"/>
      <c r="K279" s="95">
        <f t="shared" si="216"/>
        <v>0</v>
      </c>
      <c r="L279" s="88">
        <v>0</v>
      </c>
      <c r="M279" s="8"/>
      <c r="N279" s="29"/>
      <c r="O279" s="8"/>
      <c r="P279" s="220"/>
      <c r="Q279" s="220"/>
      <c r="R279" s="220"/>
      <c r="S279" s="8"/>
      <c r="T279" s="20"/>
      <c r="U279" s="21">
        <v>0</v>
      </c>
      <c r="V279" s="21">
        <v>0</v>
      </c>
      <c r="W279" s="21">
        <f t="shared" si="192"/>
        <v>0</v>
      </c>
      <c r="X279" s="22">
        <v>1</v>
      </c>
      <c r="Y279" s="23">
        <f t="shared" si="196"/>
        <v>0</v>
      </c>
      <c r="Z279" s="21">
        <f t="shared" si="208"/>
        <v>0</v>
      </c>
      <c r="AA279" s="21">
        <f t="shared" si="191"/>
        <v>0</v>
      </c>
      <c r="AC279" s="9"/>
      <c r="AD279" s="9" t="str">
        <f t="shared" si="209"/>
        <v>11.8</v>
      </c>
      <c r="AE279" s="27">
        <f t="shared" si="210"/>
        <v>0</v>
      </c>
      <c r="AF279" s="21">
        <f t="shared" si="211"/>
        <v>0</v>
      </c>
      <c r="AG279" s="21">
        <v>0</v>
      </c>
      <c r="AH279" s="21">
        <f t="shared" si="212"/>
        <v>0</v>
      </c>
      <c r="AI279" s="21">
        <f t="shared" si="213"/>
        <v>0</v>
      </c>
      <c r="AJ279" s="21">
        <f t="shared" si="214"/>
        <v>0</v>
      </c>
      <c r="AK279" s="9" t="s">
        <v>57</v>
      </c>
      <c r="AL279" s="9" t="s">
        <v>57</v>
      </c>
      <c r="AM279" s="22">
        <v>0</v>
      </c>
      <c r="AN279" s="23">
        <f t="shared" si="215"/>
        <v>0</v>
      </c>
      <c r="AO279" s="9"/>
      <c r="AP279" s="26">
        <v>0</v>
      </c>
      <c r="AQ279" s="9"/>
    </row>
    <row r="280" spans="2:43" ht="78.75" x14ac:dyDescent="0.25">
      <c r="B280" s="167" t="s">
        <v>450</v>
      </c>
      <c r="C280" s="96" t="s">
        <v>781</v>
      </c>
      <c r="D280" s="93" t="s">
        <v>87</v>
      </c>
      <c r="E280" s="106">
        <v>1</v>
      </c>
      <c r="F280" s="106">
        <v>1</v>
      </c>
      <c r="G280" s="105">
        <v>0</v>
      </c>
      <c r="H280" s="90">
        <f t="shared" si="206"/>
        <v>0</v>
      </c>
      <c r="I280" s="168"/>
      <c r="J280" s="84"/>
      <c r="K280" s="95">
        <f t="shared" si="216"/>
        <v>0</v>
      </c>
      <c r="L280" s="88">
        <v>0</v>
      </c>
      <c r="M280" s="8"/>
      <c r="N280" s="29"/>
      <c r="O280" s="8"/>
      <c r="P280" s="220"/>
      <c r="Q280" s="220"/>
      <c r="R280" s="220"/>
      <c r="S280" s="8"/>
      <c r="T280" s="20"/>
      <c r="U280" s="21">
        <v>0</v>
      </c>
      <c r="V280" s="21">
        <v>0</v>
      </c>
      <c r="W280" s="21">
        <f t="shared" si="192"/>
        <v>0</v>
      </c>
      <c r="X280" s="22">
        <v>1</v>
      </c>
      <c r="Y280" s="23">
        <f t="shared" si="196"/>
        <v>0</v>
      </c>
      <c r="Z280" s="21">
        <f t="shared" si="208"/>
        <v>0</v>
      </c>
      <c r="AA280" s="21">
        <f t="shared" si="191"/>
        <v>0</v>
      </c>
      <c r="AC280" s="9"/>
      <c r="AD280" s="9" t="str">
        <f t="shared" si="209"/>
        <v>11.9</v>
      </c>
      <c r="AE280" s="27">
        <f t="shared" si="210"/>
        <v>0</v>
      </c>
      <c r="AF280" s="21">
        <f t="shared" si="211"/>
        <v>0</v>
      </c>
      <c r="AG280" s="21">
        <v>0</v>
      </c>
      <c r="AH280" s="21">
        <f t="shared" si="212"/>
        <v>0</v>
      </c>
      <c r="AI280" s="21">
        <f t="shared" si="213"/>
        <v>0</v>
      </c>
      <c r="AJ280" s="21">
        <f t="shared" si="214"/>
        <v>0</v>
      </c>
      <c r="AK280" s="9" t="s">
        <v>57</v>
      </c>
      <c r="AL280" s="9" t="s">
        <v>57</v>
      </c>
      <c r="AM280" s="22">
        <v>0</v>
      </c>
      <c r="AN280" s="23">
        <f t="shared" si="215"/>
        <v>0</v>
      </c>
      <c r="AO280" s="9"/>
      <c r="AP280" s="26">
        <v>0</v>
      </c>
      <c r="AQ280" s="9"/>
    </row>
    <row r="281" spans="2:43" ht="78.75" x14ac:dyDescent="0.25">
      <c r="B281" s="167" t="s">
        <v>451</v>
      </c>
      <c r="C281" s="96" t="s">
        <v>782</v>
      </c>
      <c r="D281" s="93" t="s">
        <v>87</v>
      </c>
      <c r="E281" s="106">
        <v>1</v>
      </c>
      <c r="F281" s="106">
        <v>1</v>
      </c>
      <c r="G281" s="105">
        <v>0</v>
      </c>
      <c r="H281" s="90">
        <f t="shared" si="206"/>
        <v>0</v>
      </c>
      <c r="I281" s="168"/>
      <c r="J281" s="84"/>
      <c r="K281" s="95">
        <f t="shared" si="216"/>
        <v>0</v>
      </c>
      <c r="L281" s="88">
        <v>0</v>
      </c>
      <c r="M281" s="8"/>
      <c r="N281" s="29"/>
      <c r="O281" s="8"/>
      <c r="P281" s="220"/>
      <c r="Q281" s="220"/>
      <c r="R281" s="220"/>
      <c r="S281" s="8"/>
      <c r="T281" s="20"/>
      <c r="U281" s="21">
        <v>0</v>
      </c>
      <c r="V281" s="21">
        <v>0</v>
      </c>
      <c r="W281" s="21">
        <f t="shared" si="192"/>
        <v>0</v>
      </c>
      <c r="X281" s="22">
        <v>1</v>
      </c>
      <c r="Y281" s="23">
        <f t="shared" si="196"/>
        <v>0</v>
      </c>
      <c r="Z281" s="21">
        <f t="shared" si="208"/>
        <v>0</v>
      </c>
      <c r="AA281" s="21">
        <f t="shared" si="191"/>
        <v>0</v>
      </c>
      <c r="AC281" s="9"/>
      <c r="AD281" s="9" t="str">
        <f t="shared" si="209"/>
        <v>11.10</v>
      </c>
      <c r="AE281" s="27">
        <f t="shared" si="210"/>
        <v>0</v>
      </c>
      <c r="AF281" s="21">
        <f t="shared" si="211"/>
        <v>0</v>
      </c>
      <c r="AG281" s="21">
        <v>0</v>
      </c>
      <c r="AH281" s="21">
        <f t="shared" si="212"/>
        <v>0</v>
      </c>
      <c r="AI281" s="21">
        <f t="shared" si="213"/>
        <v>0</v>
      </c>
      <c r="AJ281" s="21">
        <f t="shared" si="214"/>
        <v>0</v>
      </c>
      <c r="AK281" s="9" t="s">
        <v>57</v>
      </c>
      <c r="AL281" s="9" t="s">
        <v>57</v>
      </c>
      <c r="AM281" s="22">
        <v>0</v>
      </c>
      <c r="AN281" s="23">
        <f t="shared" si="215"/>
        <v>0</v>
      </c>
      <c r="AO281" s="9"/>
      <c r="AP281" s="26">
        <v>0</v>
      </c>
      <c r="AQ281" s="9"/>
    </row>
    <row r="282" spans="2:43" ht="94.5" x14ac:dyDescent="0.25">
      <c r="B282" s="167" t="s">
        <v>452</v>
      </c>
      <c r="C282" s="96" t="s">
        <v>783</v>
      </c>
      <c r="D282" s="93" t="s">
        <v>87</v>
      </c>
      <c r="E282" s="106">
        <v>1</v>
      </c>
      <c r="F282" s="106">
        <v>1</v>
      </c>
      <c r="G282" s="105">
        <v>0</v>
      </c>
      <c r="H282" s="90">
        <f t="shared" si="206"/>
        <v>0</v>
      </c>
      <c r="I282" s="168"/>
      <c r="J282" s="84"/>
      <c r="K282" s="95">
        <f t="shared" si="216"/>
        <v>0</v>
      </c>
      <c r="L282" s="88">
        <v>0</v>
      </c>
      <c r="M282" s="8"/>
      <c r="N282" s="29"/>
      <c r="O282" s="8"/>
      <c r="P282" s="220"/>
      <c r="Q282" s="220"/>
      <c r="R282" s="220"/>
      <c r="S282" s="8"/>
      <c r="T282" s="20"/>
      <c r="U282" s="21">
        <v>0</v>
      </c>
      <c r="V282" s="21">
        <v>0</v>
      </c>
      <c r="W282" s="21">
        <f t="shared" si="192"/>
        <v>0</v>
      </c>
      <c r="X282" s="22">
        <v>1</v>
      </c>
      <c r="Y282" s="23">
        <f t="shared" si="196"/>
        <v>0</v>
      </c>
      <c r="Z282" s="21">
        <f t="shared" si="208"/>
        <v>0</v>
      </c>
      <c r="AA282" s="21">
        <f t="shared" si="191"/>
        <v>0</v>
      </c>
      <c r="AC282" s="9"/>
      <c r="AD282" s="9" t="str">
        <f t="shared" si="209"/>
        <v>11.11</v>
      </c>
      <c r="AE282" s="27">
        <f t="shared" si="210"/>
        <v>0</v>
      </c>
      <c r="AF282" s="21">
        <f t="shared" si="211"/>
        <v>0</v>
      </c>
      <c r="AG282" s="21">
        <v>0</v>
      </c>
      <c r="AH282" s="21">
        <f t="shared" si="212"/>
        <v>0</v>
      </c>
      <c r="AI282" s="21">
        <f t="shared" si="213"/>
        <v>0</v>
      </c>
      <c r="AJ282" s="21">
        <f t="shared" si="214"/>
        <v>0</v>
      </c>
      <c r="AK282" s="9" t="s">
        <v>57</v>
      </c>
      <c r="AL282" s="9" t="s">
        <v>57</v>
      </c>
      <c r="AM282" s="22">
        <v>0</v>
      </c>
      <c r="AN282" s="23">
        <f t="shared" si="215"/>
        <v>0</v>
      </c>
      <c r="AO282" s="9"/>
      <c r="AP282" s="26">
        <v>0</v>
      </c>
      <c r="AQ282" s="9"/>
    </row>
    <row r="283" spans="2:43" ht="47.25" x14ac:dyDescent="0.25">
      <c r="B283" s="167" t="s">
        <v>453</v>
      </c>
      <c r="C283" s="96" t="s">
        <v>784</v>
      </c>
      <c r="D283" s="93" t="s">
        <v>87</v>
      </c>
      <c r="E283" s="106">
        <v>1</v>
      </c>
      <c r="F283" s="106">
        <v>1</v>
      </c>
      <c r="G283" s="105">
        <v>0</v>
      </c>
      <c r="H283" s="90">
        <f t="shared" si="206"/>
        <v>0</v>
      </c>
      <c r="I283" s="168"/>
      <c r="J283" s="84"/>
      <c r="K283" s="95">
        <f t="shared" si="216"/>
        <v>0</v>
      </c>
      <c r="L283" s="88">
        <v>0</v>
      </c>
      <c r="M283" s="8"/>
      <c r="N283" s="29"/>
      <c r="O283" s="8"/>
      <c r="P283" s="220"/>
      <c r="Q283" s="220"/>
      <c r="R283" s="220"/>
      <c r="S283" s="8"/>
      <c r="T283" s="20"/>
      <c r="U283" s="21">
        <v>0</v>
      </c>
      <c r="V283" s="21">
        <v>0</v>
      </c>
      <c r="W283" s="21">
        <f t="shared" si="192"/>
        <v>0</v>
      </c>
      <c r="X283" s="22">
        <v>1</v>
      </c>
      <c r="Y283" s="23">
        <f t="shared" si="196"/>
        <v>0</v>
      </c>
      <c r="Z283" s="21">
        <f t="shared" si="208"/>
        <v>0</v>
      </c>
      <c r="AA283" s="21">
        <f t="shared" si="191"/>
        <v>0</v>
      </c>
      <c r="AC283" s="9"/>
      <c r="AD283" s="9" t="str">
        <f t="shared" si="209"/>
        <v>11.12</v>
      </c>
      <c r="AE283" s="27">
        <f t="shared" si="210"/>
        <v>0</v>
      </c>
      <c r="AF283" s="21">
        <f t="shared" si="211"/>
        <v>0</v>
      </c>
      <c r="AG283" s="21">
        <v>0</v>
      </c>
      <c r="AH283" s="21">
        <f t="shared" si="212"/>
        <v>0</v>
      </c>
      <c r="AI283" s="21">
        <f t="shared" si="213"/>
        <v>0</v>
      </c>
      <c r="AJ283" s="21">
        <f t="shared" si="214"/>
        <v>0</v>
      </c>
      <c r="AK283" s="9" t="s">
        <v>57</v>
      </c>
      <c r="AL283" s="9" t="s">
        <v>57</v>
      </c>
      <c r="AM283" s="22">
        <v>0</v>
      </c>
      <c r="AN283" s="23">
        <f t="shared" si="215"/>
        <v>0</v>
      </c>
      <c r="AO283" s="9"/>
      <c r="AP283" s="26">
        <v>0</v>
      </c>
      <c r="AQ283" s="9"/>
    </row>
    <row r="284" spans="2:43" ht="47.25" x14ac:dyDescent="0.25">
      <c r="B284" s="167" t="s">
        <v>454</v>
      </c>
      <c r="C284" s="96" t="s">
        <v>785</v>
      </c>
      <c r="D284" s="93" t="s">
        <v>87</v>
      </c>
      <c r="E284" s="106">
        <v>1</v>
      </c>
      <c r="F284" s="106">
        <v>1</v>
      </c>
      <c r="G284" s="105">
        <v>0</v>
      </c>
      <c r="H284" s="90">
        <f t="shared" si="206"/>
        <v>0</v>
      </c>
      <c r="I284" s="168"/>
      <c r="J284" s="84"/>
      <c r="K284" s="95">
        <f t="shared" si="216"/>
        <v>0</v>
      </c>
      <c r="L284" s="88">
        <v>0</v>
      </c>
      <c r="M284" s="8"/>
      <c r="N284" s="29"/>
      <c r="O284" s="8"/>
      <c r="P284" s="220"/>
      <c r="Q284" s="220"/>
      <c r="R284" s="220"/>
      <c r="S284" s="8"/>
      <c r="T284" s="20"/>
      <c r="U284" s="21">
        <v>0</v>
      </c>
      <c r="V284" s="21">
        <v>0</v>
      </c>
      <c r="W284" s="21">
        <f t="shared" si="192"/>
        <v>0</v>
      </c>
      <c r="X284" s="22">
        <v>1</v>
      </c>
      <c r="Y284" s="23">
        <f t="shared" si="196"/>
        <v>0</v>
      </c>
      <c r="Z284" s="21">
        <f t="shared" si="208"/>
        <v>0</v>
      </c>
      <c r="AA284" s="21">
        <f t="shared" si="191"/>
        <v>0</v>
      </c>
      <c r="AC284" s="9"/>
      <c r="AD284" s="9" t="str">
        <f t="shared" si="209"/>
        <v>11.13</v>
      </c>
      <c r="AE284" s="27">
        <f t="shared" si="210"/>
        <v>0</v>
      </c>
      <c r="AF284" s="21">
        <f t="shared" si="211"/>
        <v>0</v>
      </c>
      <c r="AG284" s="21">
        <v>0</v>
      </c>
      <c r="AH284" s="21">
        <f t="shared" si="212"/>
        <v>0</v>
      </c>
      <c r="AI284" s="21">
        <f t="shared" si="213"/>
        <v>0</v>
      </c>
      <c r="AJ284" s="21">
        <f t="shared" si="214"/>
        <v>0</v>
      </c>
      <c r="AK284" s="9" t="s">
        <v>57</v>
      </c>
      <c r="AL284" s="9" t="s">
        <v>57</v>
      </c>
      <c r="AM284" s="22">
        <v>0</v>
      </c>
      <c r="AN284" s="23">
        <f t="shared" si="215"/>
        <v>0</v>
      </c>
      <c r="AO284" s="9"/>
      <c r="AP284" s="26">
        <v>0</v>
      </c>
      <c r="AQ284" s="9"/>
    </row>
    <row r="285" spans="2:43" ht="47.25" x14ac:dyDescent="0.25">
      <c r="B285" s="167" t="s">
        <v>455</v>
      </c>
      <c r="C285" s="96" t="s">
        <v>786</v>
      </c>
      <c r="D285" s="93" t="s">
        <v>87</v>
      </c>
      <c r="E285" s="106">
        <v>1</v>
      </c>
      <c r="F285" s="106">
        <v>1</v>
      </c>
      <c r="G285" s="105">
        <v>0</v>
      </c>
      <c r="H285" s="90">
        <f t="shared" si="206"/>
        <v>0</v>
      </c>
      <c r="I285" s="168"/>
      <c r="J285" s="84"/>
      <c r="K285" s="95">
        <f t="shared" si="216"/>
        <v>0</v>
      </c>
      <c r="L285" s="88">
        <v>0</v>
      </c>
      <c r="M285" s="8"/>
      <c r="N285" s="29"/>
      <c r="O285" s="8"/>
      <c r="P285" s="220"/>
      <c r="Q285" s="220"/>
      <c r="R285" s="220"/>
      <c r="S285" s="8"/>
      <c r="T285" s="20"/>
      <c r="U285" s="21">
        <v>0</v>
      </c>
      <c r="V285" s="21">
        <v>0</v>
      </c>
      <c r="W285" s="21">
        <f t="shared" si="192"/>
        <v>0</v>
      </c>
      <c r="X285" s="22">
        <v>1</v>
      </c>
      <c r="Y285" s="23">
        <f t="shared" si="196"/>
        <v>0</v>
      </c>
      <c r="Z285" s="21">
        <f t="shared" si="208"/>
        <v>0</v>
      </c>
      <c r="AA285" s="21">
        <f t="shared" si="191"/>
        <v>0</v>
      </c>
      <c r="AC285" s="9"/>
      <c r="AD285" s="9" t="str">
        <f t="shared" si="209"/>
        <v>11.14</v>
      </c>
      <c r="AE285" s="27">
        <f t="shared" si="210"/>
        <v>0</v>
      </c>
      <c r="AF285" s="21">
        <f t="shared" si="211"/>
        <v>0</v>
      </c>
      <c r="AG285" s="21">
        <v>0</v>
      </c>
      <c r="AH285" s="21">
        <f t="shared" si="212"/>
        <v>0</v>
      </c>
      <c r="AI285" s="21">
        <f t="shared" si="213"/>
        <v>0</v>
      </c>
      <c r="AJ285" s="21">
        <f t="shared" si="214"/>
        <v>0</v>
      </c>
      <c r="AK285" s="9" t="s">
        <v>57</v>
      </c>
      <c r="AL285" s="9" t="s">
        <v>57</v>
      </c>
      <c r="AM285" s="22">
        <v>0</v>
      </c>
      <c r="AN285" s="23">
        <f t="shared" si="215"/>
        <v>0</v>
      </c>
      <c r="AO285" s="9"/>
      <c r="AP285" s="26">
        <v>0</v>
      </c>
      <c r="AQ285" s="9"/>
    </row>
    <row r="286" spans="2:43" ht="110.25" x14ac:dyDescent="0.25">
      <c r="B286" s="167" t="s">
        <v>456</v>
      </c>
      <c r="C286" s="96" t="s">
        <v>787</v>
      </c>
      <c r="D286" s="93" t="s">
        <v>87</v>
      </c>
      <c r="E286" s="106">
        <v>1</v>
      </c>
      <c r="F286" s="106">
        <v>1</v>
      </c>
      <c r="G286" s="105">
        <v>0</v>
      </c>
      <c r="H286" s="90">
        <f t="shared" ref="H286" si="217">E286*F286*G286</f>
        <v>0</v>
      </c>
      <c r="I286" s="168"/>
      <c r="J286" s="84"/>
      <c r="K286" s="95">
        <f t="shared" si="216"/>
        <v>0</v>
      </c>
      <c r="L286" s="88">
        <v>0</v>
      </c>
      <c r="M286" s="8"/>
      <c r="N286" s="29"/>
      <c r="O286" s="8"/>
      <c r="P286" s="220"/>
      <c r="Q286" s="220"/>
      <c r="R286" s="220"/>
      <c r="S286" s="8"/>
      <c r="T286" s="20"/>
      <c r="U286" s="21">
        <v>0</v>
      </c>
      <c r="V286" s="21">
        <v>0</v>
      </c>
      <c r="W286" s="21">
        <f t="shared" si="192"/>
        <v>0</v>
      </c>
      <c r="X286" s="22">
        <v>1</v>
      </c>
      <c r="Y286" s="23">
        <f t="shared" si="196"/>
        <v>0</v>
      </c>
      <c r="Z286" s="21">
        <f t="shared" si="208"/>
        <v>0</v>
      </c>
      <c r="AA286" s="21">
        <f t="shared" si="191"/>
        <v>0</v>
      </c>
      <c r="AC286" s="9"/>
      <c r="AD286" s="9" t="str">
        <f t="shared" si="209"/>
        <v>11.15</v>
      </c>
      <c r="AE286" s="27">
        <f t="shared" si="210"/>
        <v>0</v>
      </c>
      <c r="AF286" s="21">
        <f t="shared" si="211"/>
        <v>0</v>
      </c>
      <c r="AG286" s="21">
        <v>0</v>
      </c>
      <c r="AH286" s="21">
        <f t="shared" si="212"/>
        <v>0</v>
      </c>
      <c r="AI286" s="21">
        <f t="shared" si="213"/>
        <v>0</v>
      </c>
      <c r="AJ286" s="21">
        <f t="shared" si="214"/>
        <v>0</v>
      </c>
      <c r="AK286" s="9" t="s">
        <v>57</v>
      </c>
      <c r="AL286" s="9" t="s">
        <v>57</v>
      </c>
      <c r="AM286" s="22">
        <v>0</v>
      </c>
      <c r="AN286" s="23">
        <f t="shared" si="215"/>
        <v>0</v>
      </c>
      <c r="AO286" s="9"/>
      <c r="AP286" s="26">
        <v>0</v>
      </c>
      <c r="AQ286" s="9"/>
    </row>
    <row r="287" spans="2:43" ht="78.75" x14ac:dyDescent="0.25">
      <c r="B287" s="167" t="s">
        <v>457</v>
      </c>
      <c r="C287" s="96" t="s">
        <v>788</v>
      </c>
      <c r="D287" s="93" t="s">
        <v>87</v>
      </c>
      <c r="E287" s="106">
        <v>1</v>
      </c>
      <c r="F287" s="106">
        <v>1</v>
      </c>
      <c r="G287" s="105">
        <v>0</v>
      </c>
      <c r="H287" s="90">
        <f t="shared" si="206"/>
        <v>0</v>
      </c>
      <c r="I287" s="168"/>
      <c r="J287" s="84"/>
      <c r="K287" s="95">
        <f t="shared" si="216"/>
        <v>0</v>
      </c>
      <c r="L287" s="88">
        <v>0</v>
      </c>
      <c r="M287" s="8"/>
      <c r="N287" s="29"/>
      <c r="O287" s="8"/>
      <c r="P287" s="220"/>
      <c r="Q287" s="220"/>
      <c r="R287" s="220"/>
      <c r="S287" s="8"/>
      <c r="T287" s="20"/>
      <c r="U287" s="21">
        <v>0</v>
      </c>
      <c r="V287" s="21">
        <v>0</v>
      </c>
      <c r="W287" s="21">
        <f t="shared" si="192"/>
        <v>0</v>
      </c>
      <c r="X287" s="22">
        <v>1</v>
      </c>
      <c r="Y287" s="23">
        <f t="shared" si="196"/>
        <v>0</v>
      </c>
      <c r="Z287" s="21">
        <f t="shared" si="208"/>
        <v>0</v>
      </c>
      <c r="AA287" s="21">
        <f t="shared" si="191"/>
        <v>0</v>
      </c>
      <c r="AC287" s="9"/>
      <c r="AD287" s="9" t="str">
        <f t="shared" si="209"/>
        <v>11.16</v>
      </c>
      <c r="AE287" s="27">
        <f t="shared" si="210"/>
        <v>0</v>
      </c>
      <c r="AF287" s="21">
        <f t="shared" si="211"/>
        <v>0</v>
      </c>
      <c r="AG287" s="21">
        <v>0</v>
      </c>
      <c r="AH287" s="21">
        <f t="shared" si="212"/>
        <v>0</v>
      </c>
      <c r="AI287" s="21">
        <f t="shared" si="213"/>
        <v>0</v>
      </c>
      <c r="AJ287" s="21">
        <f t="shared" si="214"/>
        <v>0</v>
      </c>
      <c r="AK287" s="9" t="s">
        <v>57</v>
      </c>
      <c r="AL287" s="9" t="s">
        <v>57</v>
      </c>
      <c r="AM287" s="22">
        <v>0</v>
      </c>
      <c r="AN287" s="23">
        <f t="shared" si="215"/>
        <v>0</v>
      </c>
      <c r="AO287" s="9"/>
      <c r="AP287" s="26">
        <v>0</v>
      </c>
      <c r="AQ287" s="9"/>
    </row>
    <row r="288" spans="2:43" ht="47.25" x14ac:dyDescent="0.25">
      <c r="B288" s="167" t="s">
        <v>458</v>
      </c>
      <c r="C288" s="96" t="s">
        <v>789</v>
      </c>
      <c r="D288" s="93" t="s">
        <v>87</v>
      </c>
      <c r="E288" s="106">
        <v>1</v>
      </c>
      <c r="F288" s="106">
        <v>1</v>
      </c>
      <c r="G288" s="105">
        <v>0</v>
      </c>
      <c r="H288" s="90">
        <f t="shared" ref="H288" si="218">E288*F288*G288</f>
        <v>0</v>
      </c>
      <c r="I288" s="168"/>
      <c r="J288" s="84"/>
      <c r="K288" s="95">
        <f t="shared" si="216"/>
        <v>0</v>
      </c>
      <c r="L288" s="88">
        <v>0</v>
      </c>
      <c r="M288" s="8"/>
      <c r="N288" s="29"/>
      <c r="O288" s="8"/>
      <c r="P288" s="220"/>
      <c r="Q288" s="220"/>
      <c r="R288" s="220"/>
      <c r="S288" s="8"/>
      <c r="T288" s="20"/>
      <c r="U288" s="21">
        <v>0</v>
      </c>
      <c r="V288" s="21">
        <v>0</v>
      </c>
      <c r="W288" s="21">
        <f t="shared" si="192"/>
        <v>0</v>
      </c>
      <c r="X288" s="22">
        <v>1</v>
      </c>
      <c r="Y288" s="23">
        <f t="shared" si="196"/>
        <v>0</v>
      </c>
      <c r="Z288" s="21">
        <f t="shared" si="208"/>
        <v>0</v>
      </c>
      <c r="AA288" s="21">
        <f t="shared" ref="AA288:AA351" si="219">(W288+Z288)-Y288</f>
        <v>0</v>
      </c>
      <c r="AC288" s="9"/>
      <c r="AD288" s="9" t="str">
        <f t="shared" si="209"/>
        <v>11.17</v>
      </c>
      <c r="AE288" s="27">
        <f t="shared" si="210"/>
        <v>0</v>
      </c>
      <c r="AF288" s="21">
        <f t="shared" si="211"/>
        <v>0</v>
      </c>
      <c r="AG288" s="21">
        <v>0</v>
      </c>
      <c r="AH288" s="21">
        <f t="shared" si="212"/>
        <v>0</v>
      </c>
      <c r="AI288" s="21">
        <f t="shared" si="213"/>
        <v>0</v>
      </c>
      <c r="AJ288" s="21">
        <f t="shared" si="214"/>
        <v>0</v>
      </c>
      <c r="AK288" s="9" t="s">
        <v>57</v>
      </c>
      <c r="AL288" s="9" t="s">
        <v>57</v>
      </c>
      <c r="AM288" s="22">
        <v>0</v>
      </c>
      <c r="AN288" s="23">
        <f t="shared" si="215"/>
        <v>0</v>
      </c>
      <c r="AO288" s="9"/>
      <c r="AP288" s="26">
        <v>0</v>
      </c>
      <c r="AQ288" s="9"/>
    </row>
    <row r="289" spans="2:43" ht="110.25" x14ac:dyDescent="0.25">
      <c r="B289" s="167" t="s">
        <v>459</v>
      </c>
      <c r="C289" s="96" t="s">
        <v>790</v>
      </c>
      <c r="D289" s="93" t="s">
        <v>87</v>
      </c>
      <c r="E289" s="106">
        <v>1</v>
      </c>
      <c r="F289" s="106">
        <v>1</v>
      </c>
      <c r="G289" s="105">
        <v>0</v>
      </c>
      <c r="H289" s="90">
        <f t="shared" si="206"/>
        <v>0</v>
      </c>
      <c r="I289" s="168"/>
      <c r="J289" s="84"/>
      <c r="K289" s="95">
        <f t="shared" si="216"/>
        <v>0</v>
      </c>
      <c r="L289" s="88">
        <v>0</v>
      </c>
      <c r="M289" s="8"/>
      <c r="N289" s="29"/>
      <c r="O289" s="8"/>
      <c r="P289" s="220"/>
      <c r="Q289" s="220"/>
      <c r="R289" s="220"/>
      <c r="S289" s="8"/>
      <c r="T289" s="20"/>
      <c r="U289" s="21">
        <v>0</v>
      </c>
      <c r="V289" s="21">
        <v>0</v>
      </c>
      <c r="W289" s="21">
        <f t="shared" si="192"/>
        <v>0</v>
      </c>
      <c r="X289" s="22">
        <v>1</v>
      </c>
      <c r="Y289" s="23">
        <f t="shared" si="196"/>
        <v>0</v>
      </c>
      <c r="Z289" s="21">
        <f t="shared" si="208"/>
        <v>0</v>
      </c>
      <c r="AA289" s="21">
        <f t="shared" si="219"/>
        <v>0</v>
      </c>
      <c r="AC289" s="9"/>
      <c r="AD289" s="9" t="str">
        <f t="shared" si="209"/>
        <v>11.18</v>
      </c>
      <c r="AE289" s="27">
        <f t="shared" si="210"/>
        <v>0</v>
      </c>
      <c r="AF289" s="21">
        <f t="shared" si="211"/>
        <v>0</v>
      </c>
      <c r="AG289" s="21">
        <v>0</v>
      </c>
      <c r="AH289" s="21">
        <f t="shared" si="212"/>
        <v>0</v>
      </c>
      <c r="AI289" s="21">
        <f t="shared" si="213"/>
        <v>0</v>
      </c>
      <c r="AJ289" s="21">
        <f t="shared" si="214"/>
        <v>0</v>
      </c>
      <c r="AK289" s="9" t="s">
        <v>57</v>
      </c>
      <c r="AL289" s="9" t="s">
        <v>57</v>
      </c>
      <c r="AM289" s="22">
        <v>0</v>
      </c>
      <c r="AN289" s="23">
        <f t="shared" si="215"/>
        <v>0</v>
      </c>
      <c r="AO289" s="9"/>
      <c r="AP289" s="26">
        <v>0</v>
      </c>
      <c r="AQ289" s="9"/>
    </row>
    <row r="290" spans="2:43" ht="110.25" x14ac:dyDescent="0.25">
      <c r="B290" s="167" t="s">
        <v>460</v>
      </c>
      <c r="C290" s="96" t="s">
        <v>791</v>
      </c>
      <c r="D290" s="93" t="s">
        <v>87</v>
      </c>
      <c r="E290" s="106">
        <v>1</v>
      </c>
      <c r="F290" s="106">
        <v>1</v>
      </c>
      <c r="G290" s="105">
        <v>0</v>
      </c>
      <c r="H290" s="90">
        <f t="shared" ref="H290" si="220">E290*F290*G290</f>
        <v>0</v>
      </c>
      <c r="I290" s="168"/>
      <c r="J290" s="84"/>
      <c r="K290" s="95">
        <f t="shared" si="216"/>
        <v>0</v>
      </c>
      <c r="L290" s="88">
        <v>0</v>
      </c>
      <c r="M290" s="8"/>
      <c r="N290" s="29"/>
      <c r="O290" s="8"/>
      <c r="P290" s="220"/>
      <c r="Q290" s="220"/>
      <c r="R290" s="220"/>
      <c r="S290" s="8"/>
      <c r="T290" s="20"/>
      <c r="U290" s="21">
        <v>0</v>
      </c>
      <c r="V290" s="21">
        <v>0</v>
      </c>
      <c r="W290" s="21">
        <f t="shared" ref="W290:W353" si="221">(H290-U290)-V290</f>
        <v>0</v>
      </c>
      <c r="X290" s="22">
        <v>1</v>
      </c>
      <c r="Y290" s="23">
        <f t="shared" si="196"/>
        <v>0</v>
      </c>
      <c r="Z290" s="21">
        <f t="shared" si="208"/>
        <v>0</v>
      </c>
      <c r="AA290" s="21">
        <f t="shared" si="219"/>
        <v>0</v>
      </c>
      <c r="AC290" s="9"/>
      <c r="AD290" s="9" t="str">
        <f t="shared" si="209"/>
        <v>11.19</v>
      </c>
      <c r="AE290" s="27">
        <f t="shared" si="210"/>
        <v>0</v>
      </c>
      <c r="AF290" s="21">
        <f t="shared" si="211"/>
        <v>0</v>
      </c>
      <c r="AG290" s="21">
        <v>0</v>
      </c>
      <c r="AH290" s="21">
        <f t="shared" si="212"/>
        <v>0</v>
      </c>
      <c r="AI290" s="21">
        <f t="shared" si="213"/>
        <v>0</v>
      </c>
      <c r="AJ290" s="21">
        <f t="shared" si="214"/>
        <v>0</v>
      </c>
      <c r="AK290" s="9" t="s">
        <v>57</v>
      </c>
      <c r="AL290" s="9" t="s">
        <v>57</v>
      </c>
      <c r="AM290" s="22">
        <v>0</v>
      </c>
      <c r="AN290" s="23">
        <f t="shared" si="215"/>
        <v>0</v>
      </c>
      <c r="AO290" s="9"/>
      <c r="AP290" s="26">
        <v>0</v>
      </c>
      <c r="AQ290" s="9"/>
    </row>
    <row r="291" spans="2:43" ht="78.75" x14ac:dyDescent="0.25">
      <c r="B291" s="167" t="s">
        <v>461</v>
      </c>
      <c r="C291" s="96" t="s">
        <v>792</v>
      </c>
      <c r="D291" s="93" t="s">
        <v>87</v>
      </c>
      <c r="E291" s="106">
        <v>1</v>
      </c>
      <c r="F291" s="106">
        <v>1</v>
      </c>
      <c r="G291" s="105">
        <v>0</v>
      </c>
      <c r="H291" s="90">
        <f t="shared" si="206"/>
        <v>0</v>
      </c>
      <c r="I291" s="168"/>
      <c r="J291" s="84"/>
      <c r="K291" s="95">
        <f t="shared" si="216"/>
        <v>0</v>
      </c>
      <c r="L291" s="88">
        <v>0</v>
      </c>
      <c r="M291" s="8"/>
      <c r="N291" s="29"/>
      <c r="O291" s="8"/>
      <c r="P291" s="220"/>
      <c r="Q291" s="220"/>
      <c r="R291" s="220"/>
      <c r="S291" s="8"/>
      <c r="T291" s="20"/>
      <c r="U291" s="21">
        <v>0</v>
      </c>
      <c r="V291" s="21">
        <v>0</v>
      </c>
      <c r="W291" s="21">
        <f t="shared" si="221"/>
        <v>0</v>
      </c>
      <c r="X291" s="22">
        <v>1</v>
      </c>
      <c r="Y291" s="23">
        <f t="shared" si="196"/>
        <v>0</v>
      </c>
      <c r="Z291" s="21">
        <f t="shared" si="208"/>
        <v>0</v>
      </c>
      <c r="AA291" s="21">
        <f t="shared" si="219"/>
        <v>0</v>
      </c>
      <c r="AC291" s="9"/>
      <c r="AD291" s="9" t="str">
        <f t="shared" si="209"/>
        <v>11.20</v>
      </c>
      <c r="AE291" s="27">
        <f t="shared" si="210"/>
        <v>0</v>
      </c>
      <c r="AF291" s="21">
        <f t="shared" si="211"/>
        <v>0</v>
      </c>
      <c r="AG291" s="21">
        <v>0</v>
      </c>
      <c r="AH291" s="21">
        <f t="shared" si="212"/>
        <v>0</v>
      </c>
      <c r="AI291" s="21">
        <f t="shared" si="213"/>
        <v>0</v>
      </c>
      <c r="AJ291" s="21">
        <f t="shared" si="214"/>
        <v>0</v>
      </c>
      <c r="AK291" s="9" t="s">
        <v>57</v>
      </c>
      <c r="AL291" s="9" t="s">
        <v>57</v>
      </c>
      <c r="AM291" s="22">
        <v>0</v>
      </c>
      <c r="AN291" s="23">
        <f t="shared" si="215"/>
        <v>0</v>
      </c>
      <c r="AO291" s="9"/>
      <c r="AP291" s="26">
        <v>0</v>
      </c>
      <c r="AQ291" s="9"/>
    </row>
    <row r="292" spans="2:43" ht="47.25" x14ac:dyDescent="0.25">
      <c r="B292" s="167" t="s">
        <v>462</v>
      </c>
      <c r="C292" s="96" t="s">
        <v>793</v>
      </c>
      <c r="D292" s="93" t="s">
        <v>87</v>
      </c>
      <c r="E292" s="106">
        <v>1</v>
      </c>
      <c r="F292" s="106">
        <v>1</v>
      </c>
      <c r="G292" s="105">
        <v>0</v>
      </c>
      <c r="H292" s="90">
        <f t="shared" si="206"/>
        <v>0</v>
      </c>
      <c r="I292" s="168"/>
      <c r="J292" s="84"/>
      <c r="K292" s="95">
        <f t="shared" si="216"/>
        <v>0</v>
      </c>
      <c r="L292" s="88">
        <v>0</v>
      </c>
      <c r="M292" s="8"/>
      <c r="N292" s="29"/>
      <c r="O292" s="8"/>
      <c r="P292" s="220"/>
      <c r="Q292" s="220"/>
      <c r="R292" s="220"/>
      <c r="S292" s="8"/>
      <c r="T292" s="20"/>
      <c r="U292" s="21">
        <v>0</v>
      </c>
      <c r="V292" s="21">
        <v>0</v>
      </c>
      <c r="W292" s="21">
        <f t="shared" si="221"/>
        <v>0</v>
      </c>
      <c r="X292" s="22">
        <v>1</v>
      </c>
      <c r="Y292" s="23">
        <f t="shared" si="196"/>
        <v>0</v>
      </c>
      <c r="Z292" s="21">
        <f t="shared" si="208"/>
        <v>0</v>
      </c>
      <c r="AA292" s="21">
        <f t="shared" si="219"/>
        <v>0</v>
      </c>
      <c r="AC292" s="9"/>
      <c r="AD292" s="9" t="str">
        <f t="shared" si="209"/>
        <v>11.21</v>
      </c>
      <c r="AE292" s="27">
        <f t="shared" si="210"/>
        <v>0</v>
      </c>
      <c r="AF292" s="21">
        <f t="shared" si="211"/>
        <v>0</v>
      </c>
      <c r="AG292" s="21">
        <v>0</v>
      </c>
      <c r="AH292" s="21">
        <f t="shared" si="212"/>
        <v>0</v>
      </c>
      <c r="AI292" s="21">
        <f t="shared" si="213"/>
        <v>0</v>
      </c>
      <c r="AJ292" s="21">
        <f t="shared" si="214"/>
        <v>0</v>
      </c>
      <c r="AK292" s="9" t="s">
        <v>57</v>
      </c>
      <c r="AL292" s="9" t="s">
        <v>57</v>
      </c>
      <c r="AM292" s="22">
        <v>0</v>
      </c>
      <c r="AN292" s="23">
        <f t="shared" si="215"/>
        <v>0</v>
      </c>
      <c r="AO292" s="9"/>
      <c r="AP292" s="26">
        <v>0</v>
      </c>
      <c r="AQ292" s="9"/>
    </row>
    <row r="293" spans="2:43" ht="78.75" x14ac:dyDescent="0.25">
      <c r="B293" s="167" t="s">
        <v>463</v>
      </c>
      <c r="C293" s="96" t="s">
        <v>794</v>
      </c>
      <c r="D293" s="93" t="s">
        <v>87</v>
      </c>
      <c r="E293" s="106">
        <v>1</v>
      </c>
      <c r="F293" s="106">
        <v>1</v>
      </c>
      <c r="G293" s="105">
        <v>0</v>
      </c>
      <c r="H293" s="90">
        <f t="shared" si="206"/>
        <v>0</v>
      </c>
      <c r="I293" s="168"/>
      <c r="J293" s="84"/>
      <c r="K293" s="95">
        <f t="shared" si="216"/>
        <v>0</v>
      </c>
      <c r="L293" s="88">
        <v>0</v>
      </c>
      <c r="M293" s="8"/>
      <c r="N293" s="29"/>
      <c r="O293" s="8"/>
      <c r="P293" s="220"/>
      <c r="Q293" s="220"/>
      <c r="R293" s="220"/>
      <c r="S293" s="8"/>
      <c r="T293" s="20"/>
      <c r="U293" s="21">
        <v>0</v>
      </c>
      <c r="V293" s="21">
        <v>0</v>
      </c>
      <c r="W293" s="21">
        <f t="shared" si="221"/>
        <v>0</v>
      </c>
      <c r="X293" s="22">
        <v>1</v>
      </c>
      <c r="Y293" s="23">
        <f t="shared" si="196"/>
        <v>0</v>
      </c>
      <c r="Z293" s="21">
        <f t="shared" si="208"/>
        <v>0</v>
      </c>
      <c r="AA293" s="21">
        <f t="shared" si="219"/>
        <v>0</v>
      </c>
      <c r="AC293" s="9"/>
      <c r="AD293" s="9" t="str">
        <f t="shared" si="209"/>
        <v>11.22</v>
      </c>
      <c r="AE293" s="27">
        <f t="shared" si="210"/>
        <v>0</v>
      </c>
      <c r="AF293" s="21">
        <f t="shared" si="211"/>
        <v>0</v>
      </c>
      <c r="AG293" s="21">
        <v>0</v>
      </c>
      <c r="AH293" s="21">
        <f t="shared" si="212"/>
        <v>0</v>
      </c>
      <c r="AI293" s="21">
        <f t="shared" si="213"/>
        <v>0</v>
      </c>
      <c r="AJ293" s="21">
        <f t="shared" si="214"/>
        <v>0</v>
      </c>
      <c r="AK293" s="9" t="s">
        <v>57</v>
      </c>
      <c r="AL293" s="9" t="s">
        <v>57</v>
      </c>
      <c r="AM293" s="22">
        <v>0</v>
      </c>
      <c r="AN293" s="23">
        <f t="shared" si="215"/>
        <v>0</v>
      </c>
      <c r="AO293" s="9"/>
      <c r="AP293" s="26">
        <v>0</v>
      </c>
      <c r="AQ293" s="9"/>
    </row>
    <row r="294" spans="2:43" ht="63" x14ac:dyDescent="0.25">
      <c r="B294" s="167" t="s">
        <v>464</v>
      </c>
      <c r="C294" s="96" t="s">
        <v>799</v>
      </c>
      <c r="D294" s="93" t="s">
        <v>87</v>
      </c>
      <c r="E294" s="106">
        <v>1</v>
      </c>
      <c r="F294" s="106">
        <v>1</v>
      </c>
      <c r="G294" s="105">
        <v>0</v>
      </c>
      <c r="H294" s="90">
        <f t="shared" si="206"/>
        <v>0</v>
      </c>
      <c r="I294" s="168"/>
      <c r="J294" s="84"/>
      <c r="K294" s="95">
        <f t="shared" si="216"/>
        <v>0</v>
      </c>
      <c r="L294" s="88">
        <v>0</v>
      </c>
      <c r="M294" s="8"/>
      <c r="N294" s="29"/>
      <c r="O294" s="8"/>
      <c r="P294" s="220"/>
      <c r="Q294" s="220"/>
      <c r="R294" s="220"/>
      <c r="S294" s="8"/>
      <c r="T294" s="20"/>
      <c r="U294" s="21">
        <v>0</v>
      </c>
      <c r="V294" s="21">
        <v>0</v>
      </c>
      <c r="W294" s="21">
        <f t="shared" si="221"/>
        <v>0</v>
      </c>
      <c r="X294" s="22">
        <v>1</v>
      </c>
      <c r="Y294" s="23">
        <f t="shared" si="196"/>
        <v>0</v>
      </c>
      <c r="Z294" s="21">
        <f t="shared" si="208"/>
        <v>0</v>
      </c>
      <c r="AA294" s="21">
        <f t="shared" si="219"/>
        <v>0</v>
      </c>
      <c r="AC294" s="9"/>
      <c r="AD294" s="9" t="str">
        <f t="shared" si="209"/>
        <v>11.23</v>
      </c>
      <c r="AE294" s="27">
        <f t="shared" si="210"/>
        <v>0</v>
      </c>
      <c r="AF294" s="21">
        <f t="shared" si="211"/>
        <v>0</v>
      </c>
      <c r="AG294" s="21">
        <v>0</v>
      </c>
      <c r="AH294" s="21">
        <f t="shared" si="212"/>
        <v>0</v>
      </c>
      <c r="AI294" s="21">
        <f t="shared" si="213"/>
        <v>0</v>
      </c>
      <c r="AJ294" s="21">
        <f t="shared" si="214"/>
        <v>0</v>
      </c>
      <c r="AK294" s="9" t="s">
        <v>57</v>
      </c>
      <c r="AL294" s="9" t="s">
        <v>57</v>
      </c>
      <c r="AM294" s="22">
        <v>0</v>
      </c>
      <c r="AN294" s="23">
        <f t="shared" si="215"/>
        <v>0</v>
      </c>
      <c r="AO294" s="9"/>
      <c r="AP294" s="26">
        <v>0</v>
      </c>
      <c r="AQ294" s="9"/>
    </row>
    <row r="295" spans="2:43" ht="63" x14ac:dyDescent="0.25">
      <c r="B295" s="167" t="s">
        <v>465</v>
      </c>
      <c r="C295" s="96" t="s">
        <v>798</v>
      </c>
      <c r="D295" s="93" t="s">
        <v>87</v>
      </c>
      <c r="E295" s="106">
        <v>1</v>
      </c>
      <c r="F295" s="106">
        <v>1</v>
      </c>
      <c r="G295" s="105">
        <v>0</v>
      </c>
      <c r="H295" s="90">
        <f t="shared" si="206"/>
        <v>0</v>
      </c>
      <c r="I295" s="168"/>
      <c r="J295" s="84"/>
      <c r="K295" s="95">
        <f t="shared" si="216"/>
        <v>0</v>
      </c>
      <c r="L295" s="88">
        <v>0</v>
      </c>
      <c r="M295" s="8"/>
      <c r="N295" s="29"/>
      <c r="O295" s="8"/>
      <c r="P295" s="220"/>
      <c r="Q295" s="220"/>
      <c r="R295" s="220"/>
      <c r="S295" s="8"/>
      <c r="T295" s="20"/>
      <c r="U295" s="21">
        <v>0</v>
      </c>
      <c r="V295" s="21">
        <v>0</v>
      </c>
      <c r="W295" s="21">
        <f t="shared" si="221"/>
        <v>0</v>
      </c>
      <c r="X295" s="22">
        <v>1</v>
      </c>
      <c r="Y295" s="23">
        <f t="shared" si="196"/>
        <v>0</v>
      </c>
      <c r="Z295" s="21">
        <f t="shared" si="208"/>
        <v>0</v>
      </c>
      <c r="AA295" s="21">
        <f t="shared" si="219"/>
        <v>0</v>
      </c>
      <c r="AC295" s="9"/>
      <c r="AD295" s="9" t="str">
        <f t="shared" si="209"/>
        <v>11.24</v>
      </c>
      <c r="AE295" s="27">
        <f t="shared" si="210"/>
        <v>0</v>
      </c>
      <c r="AF295" s="21">
        <f t="shared" si="211"/>
        <v>0</v>
      </c>
      <c r="AG295" s="21">
        <v>0</v>
      </c>
      <c r="AH295" s="21">
        <f t="shared" si="212"/>
        <v>0</v>
      </c>
      <c r="AI295" s="21">
        <f t="shared" si="213"/>
        <v>0</v>
      </c>
      <c r="AJ295" s="21">
        <f t="shared" si="214"/>
        <v>0</v>
      </c>
      <c r="AK295" s="9" t="s">
        <v>57</v>
      </c>
      <c r="AL295" s="9" t="s">
        <v>57</v>
      </c>
      <c r="AM295" s="22">
        <v>0</v>
      </c>
      <c r="AN295" s="23">
        <f t="shared" si="215"/>
        <v>0</v>
      </c>
      <c r="AO295" s="9"/>
      <c r="AP295" s="26">
        <v>0</v>
      </c>
      <c r="AQ295" s="9"/>
    </row>
    <row r="296" spans="2:43" ht="63" x14ac:dyDescent="0.25">
      <c r="B296" s="167" t="s">
        <v>466</v>
      </c>
      <c r="C296" s="96" t="s">
        <v>797</v>
      </c>
      <c r="D296" s="93" t="s">
        <v>87</v>
      </c>
      <c r="E296" s="106">
        <v>1</v>
      </c>
      <c r="F296" s="106">
        <v>1</v>
      </c>
      <c r="G296" s="105">
        <v>0</v>
      </c>
      <c r="H296" s="90">
        <f t="shared" si="206"/>
        <v>0</v>
      </c>
      <c r="I296" s="168"/>
      <c r="J296" s="84"/>
      <c r="K296" s="95">
        <f t="shared" si="216"/>
        <v>0</v>
      </c>
      <c r="L296" s="88">
        <v>0</v>
      </c>
      <c r="M296" s="8"/>
      <c r="N296" s="29"/>
      <c r="O296" s="8"/>
      <c r="P296" s="220"/>
      <c r="Q296" s="220"/>
      <c r="R296" s="220"/>
      <c r="S296" s="8"/>
      <c r="T296" s="20"/>
      <c r="U296" s="21">
        <v>0</v>
      </c>
      <c r="V296" s="21">
        <v>0</v>
      </c>
      <c r="W296" s="21">
        <f t="shared" si="221"/>
        <v>0</v>
      </c>
      <c r="X296" s="22">
        <v>1</v>
      </c>
      <c r="Y296" s="23">
        <f t="shared" si="196"/>
        <v>0</v>
      </c>
      <c r="Z296" s="21">
        <f t="shared" si="208"/>
        <v>0</v>
      </c>
      <c r="AA296" s="21">
        <f t="shared" si="219"/>
        <v>0</v>
      </c>
      <c r="AC296" s="9"/>
      <c r="AD296" s="9" t="str">
        <f t="shared" si="209"/>
        <v>11.25</v>
      </c>
      <c r="AE296" s="27">
        <f t="shared" si="210"/>
        <v>0</v>
      </c>
      <c r="AF296" s="21">
        <f t="shared" si="211"/>
        <v>0</v>
      </c>
      <c r="AG296" s="21">
        <v>0</v>
      </c>
      <c r="AH296" s="21">
        <f t="shared" si="212"/>
        <v>0</v>
      </c>
      <c r="AI296" s="21">
        <f t="shared" si="213"/>
        <v>0</v>
      </c>
      <c r="AJ296" s="21">
        <f t="shared" si="214"/>
        <v>0</v>
      </c>
      <c r="AK296" s="9" t="s">
        <v>57</v>
      </c>
      <c r="AL296" s="9" t="s">
        <v>57</v>
      </c>
      <c r="AM296" s="22">
        <v>0</v>
      </c>
      <c r="AN296" s="23">
        <f t="shared" si="215"/>
        <v>0</v>
      </c>
      <c r="AO296" s="9"/>
      <c r="AP296" s="26">
        <v>0</v>
      </c>
      <c r="AQ296" s="9"/>
    </row>
    <row r="297" spans="2:43" ht="63" x14ac:dyDescent="0.25">
      <c r="B297" s="167" t="s">
        <v>467</v>
      </c>
      <c r="C297" s="96" t="s">
        <v>796</v>
      </c>
      <c r="D297" s="93" t="s">
        <v>87</v>
      </c>
      <c r="E297" s="106">
        <v>1</v>
      </c>
      <c r="F297" s="106">
        <v>1</v>
      </c>
      <c r="G297" s="105">
        <v>0</v>
      </c>
      <c r="H297" s="90">
        <f t="shared" si="206"/>
        <v>0</v>
      </c>
      <c r="I297" s="168"/>
      <c r="J297" s="84"/>
      <c r="K297" s="95">
        <f t="shared" si="216"/>
        <v>0</v>
      </c>
      <c r="L297" s="88">
        <v>0</v>
      </c>
      <c r="M297" s="8"/>
      <c r="N297" s="29"/>
      <c r="O297" s="8"/>
      <c r="P297" s="220"/>
      <c r="Q297" s="220"/>
      <c r="R297" s="220"/>
      <c r="S297" s="8"/>
      <c r="T297" s="20"/>
      <c r="U297" s="21">
        <v>0</v>
      </c>
      <c r="V297" s="21">
        <v>0</v>
      </c>
      <c r="W297" s="21">
        <f t="shared" si="221"/>
        <v>0</v>
      </c>
      <c r="X297" s="22">
        <v>1</v>
      </c>
      <c r="Y297" s="23">
        <f t="shared" si="196"/>
        <v>0</v>
      </c>
      <c r="Z297" s="21">
        <f t="shared" si="208"/>
        <v>0</v>
      </c>
      <c r="AA297" s="21">
        <f t="shared" si="219"/>
        <v>0</v>
      </c>
      <c r="AC297" s="9"/>
      <c r="AD297" s="9" t="str">
        <f t="shared" si="209"/>
        <v>11.26</v>
      </c>
      <c r="AE297" s="27">
        <f t="shared" si="210"/>
        <v>0</v>
      </c>
      <c r="AF297" s="21">
        <f t="shared" si="211"/>
        <v>0</v>
      </c>
      <c r="AG297" s="21">
        <v>0</v>
      </c>
      <c r="AH297" s="21">
        <f t="shared" si="212"/>
        <v>0</v>
      </c>
      <c r="AI297" s="21">
        <f t="shared" si="213"/>
        <v>0</v>
      </c>
      <c r="AJ297" s="21">
        <f t="shared" si="214"/>
        <v>0</v>
      </c>
      <c r="AK297" s="9" t="s">
        <v>57</v>
      </c>
      <c r="AL297" s="9" t="s">
        <v>57</v>
      </c>
      <c r="AM297" s="22">
        <v>0</v>
      </c>
      <c r="AN297" s="23">
        <f t="shared" si="215"/>
        <v>0</v>
      </c>
      <c r="AO297" s="9"/>
      <c r="AP297" s="26">
        <v>0</v>
      </c>
      <c r="AQ297" s="9"/>
    </row>
    <row r="298" spans="2:43" ht="63" x14ac:dyDescent="0.25">
      <c r="B298" s="167" t="s">
        <v>468</v>
      </c>
      <c r="C298" s="96" t="s">
        <v>795</v>
      </c>
      <c r="D298" s="93" t="s">
        <v>87</v>
      </c>
      <c r="E298" s="106">
        <v>1</v>
      </c>
      <c r="F298" s="106">
        <v>1</v>
      </c>
      <c r="G298" s="105">
        <v>0</v>
      </c>
      <c r="H298" s="90">
        <f t="shared" si="206"/>
        <v>0</v>
      </c>
      <c r="I298" s="168"/>
      <c r="J298" s="84"/>
      <c r="K298" s="95">
        <f t="shared" si="216"/>
        <v>0</v>
      </c>
      <c r="L298" s="88">
        <v>0</v>
      </c>
      <c r="M298" s="8"/>
      <c r="N298" s="29"/>
      <c r="O298" s="8"/>
      <c r="P298" s="220"/>
      <c r="Q298" s="220"/>
      <c r="R298" s="220"/>
      <c r="S298" s="8"/>
      <c r="T298" s="20"/>
      <c r="U298" s="21">
        <v>0</v>
      </c>
      <c r="V298" s="21">
        <v>0</v>
      </c>
      <c r="W298" s="21">
        <f t="shared" si="221"/>
        <v>0</v>
      </c>
      <c r="X298" s="22">
        <v>1</v>
      </c>
      <c r="Y298" s="23">
        <f t="shared" si="196"/>
        <v>0</v>
      </c>
      <c r="Z298" s="21">
        <f t="shared" si="208"/>
        <v>0</v>
      </c>
      <c r="AA298" s="21">
        <f t="shared" si="219"/>
        <v>0</v>
      </c>
      <c r="AC298" s="9"/>
      <c r="AD298" s="9" t="str">
        <f t="shared" si="209"/>
        <v>11.27</v>
      </c>
      <c r="AE298" s="27">
        <f t="shared" si="210"/>
        <v>0</v>
      </c>
      <c r="AF298" s="21">
        <f t="shared" si="211"/>
        <v>0</v>
      </c>
      <c r="AG298" s="21">
        <v>0</v>
      </c>
      <c r="AH298" s="21">
        <f t="shared" si="212"/>
        <v>0</v>
      </c>
      <c r="AI298" s="21">
        <f t="shared" si="213"/>
        <v>0</v>
      </c>
      <c r="AJ298" s="21">
        <f t="shared" si="214"/>
        <v>0</v>
      </c>
      <c r="AK298" s="9" t="s">
        <v>57</v>
      </c>
      <c r="AL298" s="9" t="s">
        <v>57</v>
      </c>
      <c r="AM298" s="22">
        <v>0</v>
      </c>
      <c r="AN298" s="23">
        <f t="shared" si="215"/>
        <v>0</v>
      </c>
      <c r="AO298" s="9"/>
      <c r="AP298" s="26">
        <v>0</v>
      </c>
      <c r="AQ298" s="9"/>
    </row>
    <row r="299" spans="2:43" ht="94.5" x14ac:dyDescent="0.25">
      <c r="B299" s="167" t="s">
        <v>469</v>
      </c>
      <c r="C299" s="96" t="s">
        <v>800</v>
      </c>
      <c r="D299" s="93" t="s">
        <v>87</v>
      </c>
      <c r="E299" s="106">
        <v>1</v>
      </c>
      <c r="F299" s="106">
        <v>1</v>
      </c>
      <c r="G299" s="105">
        <v>0</v>
      </c>
      <c r="H299" s="90">
        <f t="shared" si="206"/>
        <v>0</v>
      </c>
      <c r="I299" s="168"/>
      <c r="J299" s="84"/>
      <c r="K299" s="95">
        <f t="shared" si="216"/>
        <v>0</v>
      </c>
      <c r="L299" s="88">
        <v>0</v>
      </c>
      <c r="M299" s="8"/>
      <c r="N299" s="29"/>
      <c r="O299" s="8"/>
      <c r="P299" s="220"/>
      <c r="Q299" s="220"/>
      <c r="R299" s="220"/>
      <c r="S299" s="8"/>
      <c r="T299" s="20"/>
      <c r="U299" s="21">
        <v>0</v>
      </c>
      <c r="V299" s="21">
        <v>0</v>
      </c>
      <c r="W299" s="21">
        <f t="shared" si="221"/>
        <v>0</v>
      </c>
      <c r="X299" s="22">
        <v>1</v>
      </c>
      <c r="Y299" s="23">
        <f t="shared" si="196"/>
        <v>0</v>
      </c>
      <c r="Z299" s="21">
        <f t="shared" si="208"/>
        <v>0</v>
      </c>
      <c r="AA299" s="21">
        <f t="shared" si="219"/>
        <v>0</v>
      </c>
      <c r="AC299" s="9"/>
      <c r="AD299" s="9" t="str">
        <f t="shared" si="209"/>
        <v>11.28</v>
      </c>
      <c r="AE299" s="27">
        <f t="shared" si="210"/>
        <v>0</v>
      </c>
      <c r="AF299" s="21">
        <f t="shared" si="211"/>
        <v>0</v>
      </c>
      <c r="AG299" s="21">
        <v>0</v>
      </c>
      <c r="AH299" s="21">
        <f t="shared" si="212"/>
        <v>0</v>
      </c>
      <c r="AI299" s="21">
        <f t="shared" si="213"/>
        <v>0</v>
      </c>
      <c r="AJ299" s="21">
        <f t="shared" si="214"/>
        <v>0</v>
      </c>
      <c r="AK299" s="9" t="s">
        <v>57</v>
      </c>
      <c r="AL299" s="9" t="s">
        <v>57</v>
      </c>
      <c r="AM299" s="22">
        <v>0</v>
      </c>
      <c r="AN299" s="23">
        <f t="shared" si="215"/>
        <v>0</v>
      </c>
      <c r="AO299" s="9"/>
      <c r="AP299" s="26">
        <v>0</v>
      </c>
      <c r="AQ299" s="9"/>
    </row>
    <row r="300" spans="2:43" ht="110.25" x14ac:dyDescent="0.25">
      <c r="B300" s="167" t="s">
        <v>470</v>
      </c>
      <c r="C300" s="96" t="s">
        <v>801</v>
      </c>
      <c r="D300" s="93" t="s">
        <v>87</v>
      </c>
      <c r="E300" s="106">
        <v>1</v>
      </c>
      <c r="F300" s="106">
        <v>1</v>
      </c>
      <c r="G300" s="105">
        <v>0</v>
      </c>
      <c r="H300" s="90">
        <f t="shared" si="206"/>
        <v>0</v>
      </c>
      <c r="I300" s="168"/>
      <c r="J300" s="84"/>
      <c r="K300" s="95">
        <f t="shared" si="216"/>
        <v>0</v>
      </c>
      <c r="L300" s="88">
        <v>0</v>
      </c>
      <c r="M300" s="8"/>
      <c r="N300" s="29"/>
      <c r="O300" s="8"/>
      <c r="P300" s="220"/>
      <c r="Q300" s="220"/>
      <c r="R300" s="220"/>
      <c r="S300" s="8"/>
      <c r="T300" s="20"/>
      <c r="U300" s="21">
        <v>0</v>
      </c>
      <c r="V300" s="21">
        <v>0</v>
      </c>
      <c r="W300" s="21">
        <f t="shared" si="221"/>
        <v>0</v>
      </c>
      <c r="X300" s="22">
        <v>1</v>
      </c>
      <c r="Y300" s="23">
        <f t="shared" si="196"/>
        <v>0</v>
      </c>
      <c r="Z300" s="21">
        <f t="shared" si="208"/>
        <v>0</v>
      </c>
      <c r="AA300" s="21">
        <f t="shared" si="219"/>
        <v>0</v>
      </c>
      <c r="AC300" s="9"/>
      <c r="AD300" s="9" t="str">
        <f t="shared" si="209"/>
        <v>11.29</v>
      </c>
      <c r="AE300" s="27">
        <f t="shared" si="210"/>
        <v>0</v>
      </c>
      <c r="AF300" s="21">
        <f t="shared" si="211"/>
        <v>0</v>
      </c>
      <c r="AG300" s="21">
        <v>0</v>
      </c>
      <c r="AH300" s="21">
        <f t="shared" si="212"/>
        <v>0</v>
      </c>
      <c r="AI300" s="21">
        <f t="shared" si="213"/>
        <v>0</v>
      </c>
      <c r="AJ300" s="21">
        <f t="shared" si="214"/>
        <v>0</v>
      </c>
      <c r="AK300" s="9" t="s">
        <v>57</v>
      </c>
      <c r="AL300" s="9" t="s">
        <v>57</v>
      </c>
      <c r="AM300" s="22">
        <v>0</v>
      </c>
      <c r="AN300" s="23">
        <f t="shared" si="215"/>
        <v>0</v>
      </c>
      <c r="AO300" s="9"/>
      <c r="AP300" s="26">
        <v>0</v>
      </c>
      <c r="AQ300" s="9"/>
    </row>
    <row r="301" spans="2:43" ht="63" x14ac:dyDescent="0.25">
      <c r="B301" s="167" t="s">
        <v>471</v>
      </c>
      <c r="C301" s="96" t="s">
        <v>802</v>
      </c>
      <c r="D301" s="93" t="s">
        <v>87</v>
      </c>
      <c r="E301" s="106">
        <v>1</v>
      </c>
      <c r="F301" s="106">
        <v>1</v>
      </c>
      <c r="G301" s="105">
        <v>0</v>
      </c>
      <c r="H301" s="90">
        <f t="shared" si="206"/>
        <v>0</v>
      </c>
      <c r="I301" s="168"/>
      <c r="J301" s="84"/>
      <c r="K301" s="95">
        <f t="shared" si="216"/>
        <v>0</v>
      </c>
      <c r="L301" s="88">
        <v>0</v>
      </c>
      <c r="M301" s="8"/>
      <c r="N301" s="29"/>
      <c r="O301" s="8"/>
      <c r="P301" s="220"/>
      <c r="Q301" s="220"/>
      <c r="R301" s="220"/>
      <c r="S301" s="8"/>
      <c r="T301" s="20"/>
      <c r="U301" s="21">
        <v>0</v>
      </c>
      <c r="V301" s="21">
        <v>0</v>
      </c>
      <c r="W301" s="21">
        <f t="shared" si="221"/>
        <v>0</v>
      </c>
      <c r="X301" s="22">
        <v>1</v>
      </c>
      <c r="Y301" s="23">
        <f t="shared" si="196"/>
        <v>0</v>
      </c>
      <c r="Z301" s="21">
        <f t="shared" si="208"/>
        <v>0</v>
      </c>
      <c r="AA301" s="21">
        <f t="shared" si="219"/>
        <v>0</v>
      </c>
      <c r="AC301" s="9"/>
      <c r="AD301" s="9" t="str">
        <f t="shared" si="209"/>
        <v>11.30</v>
      </c>
      <c r="AE301" s="27">
        <f t="shared" si="210"/>
        <v>0</v>
      </c>
      <c r="AF301" s="21">
        <f t="shared" si="211"/>
        <v>0</v>
      </c>
      <c r="AG301" s="21">
        <v>0</v>
      </c>
      <c r="AH301" s="21">
        <f t="shared" si="212"/>
        <v>0</v>
      </c>
      <c r="AI301" s="21">
        <f t="shared" si="213"/>
        <v>0</v>
      </c>
      <c r="AJ301" s="21">
        <f t="shared" si="214"/>
        <v>0</v>
      </c>
      <c r="AK301" s="9" t="s">
        <v>57</v>
      </c>
      <c r="AL301" s="9" t="s">
        <v>57</v>
      </c>
      <c r="AM301" s="22">
        <v>0</v>
      </c>
      <c r="AN301" s="23">
        <f t="shared" si="215"/>
        <v>0</v>
      </c>
      <c r="AO301" s="9"/>
      <c r="AP301" s="26">
        <v>0</v>
      </c>
      <c r="AQ301" s="9"/>
    </row>
    <row r="302" spans="2:43" ht="110.25" x14ac:dyDescent="0.25">
      <c r="B302" s="167" t="s">
        <v>472</v>
      </c>
      <c r="C302" s="96" t="s">
        <v>803</v>
      </c>
      <c r="D302" s="93" t="s">
        <v>87</v>
      </c>
      <c r="E302" s="106">
        <v>1</v>
      </c>
      <c r="F302" s="106">
        <v>1</v>
      </c>
      <c r="G302" s="105">
        <v>0</v>
      </c>
      <c r="H302" s="90">
        <f t="shared" si="206"/>
        <v>0</v>
      </c>
      <c r="I302" s="168"/>
      <c r="J302" s="84"/>
      <c r="K302" s="95">
        <f t="shared" si="216"/>
        <v>0</v>
      </c>
      <c r="L302" s="88">
        <v>0</v>
      </c>
      <c r="M302" s="8"/>
      <c r="N302" s="29"/>
      <c r="O302" s="8"/>
      <c r="P302" s="220"/>
      <c r="Q302" s="220"/>
      <c r="R302" s="220"/>
      <c r="S302" s="8"/>
      <c r="T302" s="20"/>
      <c r="U302" s="21">
        <v>0</v>
      </c>
      <c r="V302" s="21">
        <v>0</v>
      </c>
      <c r="W302" s="21">
        <f t="shared" si="221"/>
        <v>0</v>
      </c>
      <c r="X302" s="22">
        <v>1</v>
      </c>
      <c r="Y302" s="23">
        <f t="shared" si="196"/>
        <v>0</v>
      </c>
      <c r="Z302" s="21">
        <f t="shared" si="208"/>
        <v>0</v>
      </c>
      <c r="AA302" s="21">
        <f t="shared" si="219"/>
        <v>0</v>
      </c>
      <c r="AC302" s="9"/>
      <c r="AD302" s="9" t="str">
        <f t="shared" si="209"/>
        <v>11.31</v>
      </c>
      <c r="AE302" s="27">
        <f t="shared" si="210"/>
        <v>0</v>
      </c>
      <c r="AF302" s="21">
        <f t="shared" si="211"/>
        <v>0</v>
      </c>
      <c r="AG302" s="21">
        <v>0</v>
      </c>
      <c r="AH302" s="21">
        <f t="shared" si="212"/>
        <v>0</v>
      </c>
      <c r="AI302" s="21">
        <f t="shared" si="213"/>
        <v>0</v>
      </c>
      <c r="AJ302" s="21">
        <f t="shared" si="214"/>
        <v>0</v>
      </c>
      <c r="AK302" s="9" t="s">
        <v>57</v>
      </c>
      <c r="AL302" s="9" t="s">
        <v>57</v>
      </c>
      <c r="AM302" s="22">
        <v>0</v>
      </c>
      <c r="AN302" s="23">
        <f t="shared" si="215"/>
        <v>0</v>
      </c>
      <c r="AO302" s="9"/>
      <c r="AP302" s="26">
        <v>0</v>
      </c>
      <c r="AQ302" s="9"/>
    </row>
    <row r="303" spans="2:43" ht="94.5" x14ac:dyDescent="0.25">
      <c r="B303" s="167" t="s">
        <v>473</v>
      </c>
      <c r="C303" s="96" t="s">
        <v>804</v>
      </c>
      <c r="D303" s="93" t="s">
        <v>87</v>
      </c>
      <c r="E303" s="106">
        <v>1</v>
      </c>
      <c r="F303" s="106">
        <v>1</v>
      </c>
      <c r="G303" s="105">
        <v>0</v>
      </c>
      <c r="H303" s="90">
        <f t="shared" si="206"/>
        <v>0</v>
      </c>
      <c r="I303" s="168"/>
      <c r="J303" s="84"/>
      <c r="K303" s="95">
        <f t="shared" si="216"/>
        <v>0</v>
      </c>
      <c r="L303" s="88">
        <v>0</v>
      </c>
      <c r="M303" s="8"/>
      <c r="N303" s="29"/>
      <c r="O303" s="8"/>
      <c r="P303" s="220"/>
      <c r="Q303" s="220"/>
      <c r="R303" s="220"/>
      <c r="S303" s="8"/>
      <c r="T303" s="20"/>
      <c r="U303" s="21">
        <v>0</v>
      </c>
      <c r="V303" s="21">
        <v>0</v>
      </c>
      <c r="W303" s="21">
        <f t="shared" si="221"/>
        <v>0</v>
      </c>
      <c r="X303" s="22">
        <v>1</v>
      </c>
      <c r="Y303" s="23">
        <f t="shared" si="196"/>
        <v>0</v>
      </c>
      <c r="Z303" s="21">
        <f t="shared" si="208"/>
        <v>0</v>
      </c>
      <c r="AA303" s="21">
        <f t="shared" si="219"/>
        <v>0</v>
      </c>
      <c r="AC303" s="9"/>
      <c r="AD303" s="9" t="str">
        <f t="shared" si="209"/>
        <v>11.32</v>
      </c>
      <c r="AE303" s="27">
        <f t="shared" si="210"/>
        <v>0</v>
      </c>
      <c r="AF303" s="21">
        <f t="shared" si="211"/>
        <v>0</v>
      </c>
      <c r="AG303" s="21">
        <v>0</v>
      </c>
      <c r="AH303" s="21">
        <f t="shared" si="212"/>
        <v>0</v>
      </c>
      <c r="AI303" s="21">
        <f t="shared" si="213"/>
        <v>0</v>
      </c>
      <c r="AJ303" s="21">
        <f t="shared" si="214"/>
        <v>0</v>
      </c>
      <c r="AK303" s="9" t="s">
        <v>57</v>
      </c>
      <c r="AL303" s="9" t="s">
        <v>57</v>
      </c>
      <c r="AM303" s="22">
        <v>0</v>
      </c>
      <c r="AN303" s="23">
        <f t="shared" si="215"/>
        <v>0</v>
      </c>
      <c r="AO303" s="9"/>
      <c r="AP303" s="26">
        <v>0</v>
      </c>
      <c r="AQ303" s="9"/>
    </row>
    <row r="304" spans="2:43" ht="110.25" x14ac:dyDescent="0.25">
      <c r="B304" s="167" t="s">
        <v>474</v>
      </c>
      <c r="C304" s="96" t="s">
        <v>805</v>
      </c>
      <c r="D304" s="93" t="s">
        <v>87</v>
      </c>
      <c r="E304" s="106">
        <v>1</v>
      </c>
      <c r="F304" s="106">
        <v>1</v>
      </c>
      <c r="G304" s="105">
        <v>0</v>
      </c>
      <c r="H304" s="90">
        <f t="shared" si="206"/>
        <v>0</v>
      </c>
      <c r="I304" s="168"/>
      <c r="J304" s="84"/>
      <c r="K304" s="95">
        <f t="shared" si="216"/>
        <v>0</v>
      </c>
      <c r="L304" s="88">
        <v>0</v>
      </c>
      <c r="M304" s="8"/>
      <c r="N304" s="29"/>
      <c r="O304" s="8"/>
      <c r="P304" s="220"/>
      <c r="Q304" s="220"/>
      <c r="R304" s="220"/>
      <c r="S304" s="8"/>
      <c r="T304" s="20"/>
      <c r="U304" s="21">
        <v>0</v>
      </c>
      <c r="V304" s="21">
        <v>0</v>
      </c>
      <c r="W304" s="21">
        <f t="shared" si="221"/>
        <v>0</v>
      </c>
      <c r="X304" s="22">
        <v>1</v>
      </c>
      <c r="Y304" s="23">
        <f t="shared" si="196"/>
        <v>0</v>
      </c>
      <c r="Z304" s="21">
        <f t="shared" si="208"/>
        <v>0</v>
      </c>
      <c r="AA304" s="21">
        <f t="shared" si="219"/>
        <v>0</v>
      </c>
      <c r="AC304" s="9"/>
      <c r="AD304" s="9" t="str">
        <f t="shared" si="209"/>
        <v>11.33</v>
      </c>
      <c r="AE304" s="27">
        <f t="shared" si="210"/>
        <v>0</v>
      </c>
      <c r="AF304" s="21">
        <f t="shared" si="211"/>
        <v>0</v>
      </c>
      <c r="AG304" s="21">
        <v>0</v>
      </c>
      <c r="AH304" s="21">
        <f t="shared" si="212"/>
        <v>0</v>
      </c>
      <c r="AI304" s="21">
        <f t="shared" si="213"/>
        <v>0</v>
      </c>
      <c r="AJ304" s="21">
        <f t="shared" si="214"/>
        <v>0</v>
      </c>
      <c r="AK304" s="9" t="s">
        <v>57</v>
      </c>
      <c r="AL304" s="9" t="s">
        <v>57</v>
      </c>
      <c r="AM304" s="22">
        <v>0</v>
      </c>
      <c r="AN304" s="23">
        <f t="shared" si="215"/>
        <v>0</v>
      </c>
      <c r="AO304" s="9"/>
      <c r="AP304" s="26">
        <v>0</v>
      </c>
      <c r="AQ304" s="9"/>
    </row>
    <row r="305" spans="2:43" ht="47.25" x14ac:dyDescent="0.25">
      <c r="B305" s="167" t="s">
        <v>475</v>
      </c>
      <c r="C305" s="96" t="s">
        <v>806</v>
      </c>
      <c r="D305" s="93" t="s">
        <v>87</v>
      </c>
      <c r="E305" s="106">
        <v>1</v>
      </c>
      <c r="F305" s="106">
        <v>1</v>
      </c>
      <c r="G305" s="105">
        <v>0</v>
      </c>
      <c r="H305" s="90">
        <f t="shared" si="206"/>
        <v>0</v>
      </c>
      <c r="I305" s="168"/>
      <c r="J305" s="84"/>
      <c r="K305" s="95">
        <f t="shared" si="216"/>
        <v>0</v>
      </c>
      <c r="L305" s="88">
        <v>0</v>
      </c>
      <c r="M305" s="8"/>
      <c r="N305" s="29"/>
      <c r="O305" s="8"/>
      <c r="P305" s="220"/>
      <c r="Q305" s="220"/>
      <c r="R305" s="220"/>
      <c r="S305" s="8"/>
      <c r="T305" s="20"/>
      <c r="U305" s="21">
        <v>0</v>
      </c>
      <c r="V305" s="21">
        <v>0</v>
      </c>
      <c r="W305" s="21">
        <f t="shared" si="221"/>
        <v>0</v>
      </c>
      <c r="X305" s="22">
        <v>1</v>
      </c>
      <c r="Y305" s="23">
        <f t="shared" si="196"/>
        <v>0</v>
      </c>
      <c r="Z305" s="21">
        <f t="shared" si="208"/>
        <v>0</v>
      </c>
      <c r="AA305" s="21">
        <f t="shared" si="219"/>
        <v>0</v>
      </c>
      <c r="AC305" s="9"/>
      <c r="AD305" s="9" t="str">
        <f t="shared" si="209"/>
        <v>11.34</v>
      </c>
      <c r="AE305" s="27">
        <f t="shared" si="210"/>
        <v>0</v>
      </c>
      <c r="AF305" s="21">
        <f t="shared" si="211"/>
        <v>0</v>
      </c>
      <c r="AG305" s="21">
        <v>0</v>
      </c>
      <c r="AH305" s="21">
        <f t="shared" si="212"/>
        <v>0</v>
      </c>
      <c r="AI305" s="21">
        <f t="shared" si="213"/>
        <v>0</v>
      </c>
      <c r="AJ305" s="21">
        <f t="shared" si="214"/>
        <v>0</v>
      </c>
      <c r="AK305" s="9" t="s">
        <v>57</v>
      </c>
      <c r="AL305" s="9" t="s">
        <v>57</v>
      </c>
      <c r="AM305" s="22">
        <v>0</v>
      </c>
      <c r="AN305" s="23">
        <f t="shared" si="215"/>
        <v>0</v>
      </c>
      <c r="AO305" s="9"/>
      <c r="AP305" s="26">
        <v>0</v>
      </c>
      <c r="AQ305" s="9"/>
    </row>
    <row r="306" spans="2:43" ht="94.5" x14ac:dyDescent="0.25">
      <c r="B306" s="167" t="s">
        <v>476</v>
      </c>
      <c r="C306" s="96" t="s">
        <v>807</v>
      </c>
      <c r="D306" s="93" t="s">
        <v>87</v>
      </c>
      <c r="E306" s="106">
        <v>1</v>
      </c>
      <c r="F306" s="106">
        <v>1</v>
      </c>
      <c r="G306" s="105">
        <v>0</v>
      </c>
      <c r="H306" s="90">
        <f t="shared" si="206"/>
        <v>0</v>
      </c>
      <c r="I306" s="168"/>
      <c r="J306" s="84"/>
      <c r="K306" s="95">
        <f t="shared" si="216"/>
        <v>0</v>
      </c>
      <c r="L306" s="88">
        <v>0</v>
      </c>
      <c r="M306" s="8"/>
      <c r="N306" s="29"/>
      <c r="O306" s="8"/>
      <c r="P306" s="220"/>
      <c r="Q306" s="220"/>
      <c r="R306" s="220"/>
      <c r="S306" s="8"/>
      <c r="T306" s="20"/>
      <c r="U306" s="21">
        <v>0</v>
      </c>
      <c r="V306" s="21">
        <v>0</v>
      </c>
      <c r="W306" s="21">
        <f t="shared" si="221"/>
        <v>0</v>
      </c>
      <c r="X306" s="22">
        <v>1</v>
      </c>
      <c r="Y306" s="23">
        <f t="shared" si="196"/>
        <v>0</v>
      </c>
      <c r="Z306" s="21">
        <f t="shared" si="208"/>
        <v>0</v>
      </c>
      <c r="AA306" s="21">
        <f t="shared" si="219"/>
        <v>0</v>
      </c>
      <c r="AC306" s="9"/>
      <c r="AD306" s="9" t="str">
        <f t="shared" si="209"/>
        <v>11.35</v>
      </c>
      <c r="AE306" s="27">
        <f t="shared" si="210"/>
        <v>0</v>
      </c>
      <c r="AF306" s="21">
        <f t="shared" si="211"/>
        <v>0</v>
      </c>
      <c r="AG306" s="21">
        <v>0</v>
      </c>
      <c r="AH306" s="21">
        <f t="shared" si="212"/>
        <v>0</v>
      </c>
      <c r="AI306" s="21">
        <f t="shared" si="213"/>
        <v>0</v>
      </c>
      <c r="AJ306" s="21">
        <f t="shared" si="214"/>
        <v>0</v>
      </c>
      <c r="AK306" s="9" t="s">
        <v>57</v>
      </c>
      <c r="AL306" s="9" t="s">
        <v>57</v>
      </c>
      <c r="AM306" s="22">
        <v>0</v>
      </c>
      <c r="AN306" s="23">
        <f t="shared" si="215"/>
        <v>0</v>
      </c>
      <c r="AO306" s="9"/>
      <c r="AP306" s="26">
        <v>0</v>
      </c>
      <c r="AQ306" s="9"/>
    </row>
    <row r="307" spans="2:43" ht="78.75" x14ac:dyDescent="0.25">
      <c r="B307" s="167" t="s">
        <v>477</v>
      </c>
      <c r="C307" s="96" t="s">
        <v>808</v>
      </c>
      <c r="D307" s="93" t="s">
        <v>87</v>
      </c>
      <c r="E307" s="123">
        <f>GRADE!N$96</f>
        <v>0</v>
      </c>
      <c r="F307" s="123">
        <v>1</v>
      </c>
      <c r="G307" s="122">
        <v>0</v>
      </c>
      <c r="H307" s="109">
        <f t="shared" ref="H307:H312" si="222">E307*F307*G307</f>
        <v>0</v>
      </c>
      <c r="I307" s="168"/>
      <c r="J307" s="84"/>
      <c r="K307" s="95">
        <f t="shared" si="216"/>
        <v>0</v>
      </c>
      <c r="L307" s="88">
        <v>0</v>
      </c>
      <c r="M307" s="8"/>
      <c r="N307" s="29"/>
      <c r="O307" s="8"/>
      <c r="P307" s="220"/>
      <c r="Q307" s="220"/>
      <c r="R307" s="220"/>
      <c r="S307" s="8"/>
      <c r="T307" s="20"/>
      <c r="U307" s="21">
        <v>0</v>
      </c>
      <c r="V307" s="21">
        <v>0</v>
      </c>
      <c r="W307" s="21">
        <f t="shared" si="221"/>
        <v>0</v>
      </c>
      <c r="X307" s="22">
        <v>1</v>
      </c>
      <c r="Y307" s="23">
        <f t="shared" si="196"/>
        <v>0</v>
      </c>
      <c r="Z307" s="21">
        <f t="shared" si="208"/>
        <v>0</v>
      </c>
      <c r="AA307" s="21">
        <f t="shared" si="219"/>
        <v>0</v>
      </c>
      <c r="AC307" s="9"/>
      <c r="AD307" s="9" t="str">
        <f t="shared" si="209"/>
        <v>11.36</v>
      </c>
      <c r="AE307" s="27">
        <f t="shared" si="210"/>
        <v>0</v>
      </c>
      <c r="AF307" s="21">
        <f t="shared" si="211"/>
        <v>0</v>
      </c>
      <c r="AG307" s="21">
        <v>0</v>
      </c>
      <c r="AH307" s="21">
        <f t="shared" si="212"/>
        <v>0</v>
      </c>
      <c r="AI307" s="21">
        <f t="shared" si="213"/>
        <v>0</v>
      </c>
      <c r="AJ307" s="21">
        <f t="shared" si="214"/>
        <v>0</v>
      </c>
      <c r="AK307" s="9" t="s">
        <v>57</v>
      </c>
      <c r="AL307" s="9" t="s">
        <v>57</v>
      </c>
      <c r="AM307" s="22">
        <v>0</v>
      </c>
      <c r="AN307" s="23">
        <f t="shared" si="215"/>
        <v>0</v>
      </c>
      <c r="AO307" s="9"/>
      <c r="AP307" s="26">
        <v>0</v>
      </c>
      <c r="AQ307" s="9"/>
    </row>
    <row r="308" spans="2:43" ht="78.75" x14ac:dyDescent="0.25">
      <c r="B308" s="167" t="s">
        <v>478</v>
      </c>
      <c r="C308" s="96" t="s">
        <v>809</v>
      </c>
      <c r="D308" s="93" t="s">
        <v>87</v>
      </c>
      <c r="E308" s="123">
        <v>1</v>
      </c>
      <c r="F308" s="123">
        <v>1</v>
      </c>
      <c r="G308" s="122">
        <v>0</v>
      </c>
      <c r="H308" s="109">
        <f t="shared" si="222"/>
        <v>0</v>
      </c>
      <c r="I308" s="168"/>
      <c r="J308" s="84"/>
      <c r="K308" s="95">
        <f t="shared" si="216"/>
        <v>0</v>
      </c>
      <c r="L308" s="88">
        <v>0</v>
      </c>
      <c r="M308" s="8"/>
      <c r="N308" s="29"/>
      <c r="O308" s="8"/>
      <c r="P308" s="220"/>
      <c r="Q308" s="220"/>
      <c r="R308" s="220"/>
      <c r="S308" s="8"/>
      <c r="T308" s="20"/>
      <c r="U308" s="21">
        <v>0</v>
      </c>
      <c r="V308" s="21">
        <v>0</v>
      </c>
      <c r="W308" s="21">
        <f t="shared" si="221"/>
        <v>0</v>
      </c>
      <c r="X308" s="22">
        <v>1</v>
      </c>
      <c r="Y308" s="23">
        <f t="shared" si="196"/>
        <v>0</v>
      </c>
      <c r="Z308" s="21">
        <f t="shared" si="208"/>
        <v>0</v>
      </c>
      <c r="AA308" s="21">
        <f t="shared" si="219"/>
        <v>0</v>
      </c>
      <c r="AC308" s="9"/>
      <c r="AD308" s="9" t="str">
        <f t="shared" si="209"/>
        <v>11.37</v>
      </c>
      <c r="AE308" s="27">
        <f t="shared" si="210"/>
        <v>0</v>
      </c>
      <c r="AF308" s="21">
        <f t="shared" si="211"/>
        <v>0</v>
      </c>
      <c r="AG308" s="21">
        <v>0</v>
      </c>
      <c r="AH308" s="21">
        <f t="shared" si="212"/>
        <v>0</v>
      </c>
      <c r="AI308" s="21">
        <f t="shared" si="213"/>
        <v>0</v>
      </c>
      <c r="AJ308" s="21">
        <f t="shared" si="214"/>
        <v>0</v>
      </c>
      <c r="AK308" s="9" t="s">
        <v>57</v>
      </c>
      <c r="AL308" s="9" t="s">
        <v>57</v>
      </c>
      <c r="AM308" s="22">
        <v>0</v>
      </c>
      <c r="AN308" s="23">
        <f t="shared" si="215"/>
        <v>0</v>
      </c>
      <c r="AO308" s="9"/>
      <c r="AP308" s="26">
        <v>0</v>
      </c>
      <c r="AQ308" s="9"/>
    </row>
    <row r="309" spans="2:43" ht="78.75" x14ac:dyDescent="0.25">
      <c r="B309" s="167" t="s">
        <v>479</v>
      </c>
      <c r="C309" s="96" t="s">
        <v>810</v>
      </c>
      <c r="D309" s="93" t="s">
        <v>87</v>
      </c>
      <c r="E309" s="123">
        <v>1</v>
      </c>
      <c r="F309" s="123">
        <v>1</v>
      </c>
      <c r="G309" s="122">
        <v>0</v>
      </c>
      <c r="H309" s="109">
        <f t="shared" si="222"/>
        <v>0</v>
      </c>
      <c r="I309" s="168"/>
      <c r="J309" s="84"/>
      <c r="K309" s="95">
        <f t="shared" si="216"/>
        <v>0</v>
      </c>
      <c r="L309" s="88">
        <v>0</v>
      </c>
      <c r="M309" s="8"/>
      <c r="N309" s="29"/>
      <c r="O309" s="8"/>
      <c r="P309" s="220"/>
      <c r="Q309" s="220"/>
      <c r="R309" s="220"/>
      <c r="S309" s="8"/>
      <c r="T309" s="20"/>
      <c r="U309" s="21">
        <v>0</v>
      </c>
      <c r="V309" s="21">
        <v>0</v>
      </c>
      <c r="W309" s="21">
        <f t="shared" si="221"/>
        <v>0</v>
      </c>
      <c r="X309" s="22">
        <v>1</v>
      </c>
      <c r="Y309" s="23">
        <f t="shared" si="196"/>
        <v>0</v>
      </c>
      <c r="Z309" s="21">
        <f t="shared" si="208"/>
        <v>0</v>
      </c>
      <c r="AA309" s="21">
        <f t="shared" si="219"/>
        <v>0</v>
      </c>
      <c r="AC309" s="9"/>
      <c r="AD309" s="9" t="str">
        <f t="shared" si="209"/>
        <v>11.38</v>
      </c>
      <c r="AE309" s="27">
        <f t="shared" si="210"/>
        <v>0</v>
      </c>
      <c r="AF309" s="21">
        <f t="shared" si="211"/>
        <v>0</v>
      </c>
      <c r="AG309" s="21">
        <v>0</v>
      </c>
      <c r="AH309" s="21">
        <f t="shared" si="212"/>
        <v>0</v>
      </c>
      <c r="AI309" s="21">
        <f t="shared" si="213"/>
        <v>0</v>
      </c>
      <c r="AJ309" s="21">
        <f t="shared" si="214"/>
        <v>0</v>
      </c>
      <c r="AK309" s="9" t="s">
        <v>57</v>
      </c>
      <c r="AL309" s="9" t="s">
        <v>57</v>
      </c>
      <c r="AM309" s="22">
        <v>0</v>
      </c>
      <c r="AN309" s="23">
        <f t="shared" si="215"/>
        <v>0</v>
      </c>
      <c r="AO309" s="9"/>
      <c r="AP309" s="26">
        <v>0</v>
      </c>
      <c r="AQ309" s="9"/>
    </row>
    <row r="310" spans="2:43" ht="94.5" x14ac:dyDescent="0.25">
      <c r="B310" s="167" t="s">
        <v>480</v>
      </c>
      <c r="C310" s="96" t="s">
        <v>811</v>
      </c>
      <c r="D310" s="93" t="s">
        <v>87</v>
      </c>
      <c r="E310" s="123">
        <v>1</v>
      </c>
      <c r="F310" s="123">
        <v>1</v>
      </c>
      <c r="G310" s="122">
        <v>0</v>
      </c>
      <c r="H310" s="109">
        <f t="shared" si="222"/>
        <v>0</v>
      </c>
      <c r="I310" s="168"/>
      <c r="J310" s="84"/>
      <c r="K310" s="95">
        <f t="shared" si="216"/>
        <v>0</v>
      </c>
      <c r="L310" s="88">
        <v>0</v>
      </c>
      <c r="M310" s="8"/>
      <c r="N310" s="29"/>
      <c r="O310" s="8"/>
      <c r="P310" s="220"/>
      <c r="Q310" s="220"/>
      <c r="R310" s="220"/>
      <c r="S310" s="8"/>
      <c r="T310" s="20"/>
      <c r="U310" s="21">
        <v>0</v>
      </c>
      <c r="V310" s="21">
        <v>0</v>
      </c>
      <c r="W310" s="21">
        <f t="shared" si="221"/>
        <v>0</v>
      </c>
      <c r="X310" s="22">
        <v>1</v>
      </c>
      <c r="Y310" s="23">
        <f t="shared" si="196"/>
        <v>0</v>
      </c>
      <c r="Z310" s="21">
        <f t="shared" si="208"/>
        <v>0</v>
      </c>
      <c r="AA310" s="21">
        <f t="shared" si="219"/>
        <v>0</v>
      </c>
      <c r="AC310" s="9"/>
      <c r="AD310" s="9" t="str">
        <f t="shared" si="209"/>
        <v>11.39</v>
      </c>
      <c r="AE310" s="27">
        <f t="shared" si="210"/>
        <v>0</v>
      </c>
      <c r="AF310" s="21">
        <f t="shared" si="211"/>
        <v>0</v>
      </c>
      <c r="AG310" s="21">
        <v>0</v>
      </c>
      <c r="AH310" s="21">
        <f t="shared" si="212"/>
        <v>0</v>
      </c>
      <c r="AI310" s="21">
        <f t="shared" si="213"/>
        <v>0</v>
      </c>
      <c r="AJ310" s="21">
        <f t="shared" si="214"/>
        <v>0</v>
      </c>
      <c r="AK310" s="9" t="s">
        <v>57</v>
      </c>
      <c r="AL310" s="9" t="s">
        <v>57</v>
      </c>
      <c r="AM310" s="22">
        <v>0</v>
      </c>
      <c r="AN310" s="23">
        <f t="shared" si="215"/>
        <v>0</v>
      </c>
      <c r="AO310" s="9"/>
      <c r="AP310" s="26">
        <v>0</v>
      </c>
      <c r="AQ310" s="9"/>
    </row>
    <row r="311" spans="2:43" ht="78.75" x14ac:dyDescent="0.25">
      <c r="B311" s="167" t="s">
        <v>481</v>
      </c>
      <c r="C311" s="96" t="s">
        <v>812</v>
      </c>
      <c r="D311" s="93" t="s">
        <v>87</v>
      </c>
      <c r="E311" s="92">
        <v>1</v>
      </c>
      <c r="F311" s="92">
        <v>1</v>
      </c>
      <c r="G311" s="91">
        <v>0</v>
      </c>
      <c r="H311" s="90">
        <f t="shared" si="222"/>
        <v>0</v>
      </c>
      <c r="I311" s="171"/>
      <c r="J311" s="84"/>
      <c r="K311" s="95">
        <f t="shared" si="216"/>
        <v>0</v>
      </c>
      <c r="L311" s="88">
        <v>0</v>
      </c>
      <c r="M311" s="8"/>
      <c r="N311" s="29"/>
      <c r="O311" s="8"/>
      <c r="P311" s="220"/>
      <c r="Q311" s="220"/>
      <c r="R311" s="220"/>
      <c r="S311" s="8"/>
      <c r="T311" s="20"/>
      <c r="U311" s="21">
        <v>0</v>
      </c>
      <c r="V311" s="21">
        <v>0</v>
      </c>
      <c r="W311" s="21">
        <f t="shared" si="221"/>
        <v>0</v>
      </c>
      <c r="X311" s="22">
        <v>1</v>
      </c>
      <c r="Y311" s="23">
        <f t="shared" si="196"/>
        <v>0</v>
      </c>
      <c r="Z311" s="21">
        <f t="shared" si="208"/>
        <v>0</v>
      </c>
      <c r="AA311" s="21">
        <f t="shared" si="219"/>
        <v>0</v>
      </c>
      <c r="AC311" s="9"/>
      <c r="AD311" s="9" t="str">
        <f t="shared" si="209"/>
        <v>11.40</v>
      </c>
      <c r="AE311" s="27">
        <f t="shared" si="210"/>
        <v>0</v>
      </c>
      <c r="AF311" s="21">
        <f t="shared" si="211"/>
        <v>0</v>
      </c>
      <c r="AG311" s="21">
        <v>0</v>
      </c>
      <c r="AH311" s="21">
        <f t="shared" si="212"/>
        <v>0</v>
      </c>
      <c r="AI311" s="21">
        <f t="shared" si="213"/>
        <v>0</v>
      </c>
      <c r="AJ311" s="21">
        <f t="shared" si="214"/>
        <v>0</v>
      </c>
      <c r="AK311" s="9" t="s">
        <v>57</v>
      </c>
      <c r="AL311" s="9" t="s">
        <v>57</v>
      </c>
      <c r="AM311" s="22">
        <v>0</v>
      </c>
      <c r="AN311" s="23">
        <f t="shared" si="215"/>
        <v>0</v>
      </c>
      <c r="AO311" s="9"/>
      <c r="AP311" s="26">
        <v>0</v>
      </c>
      <c r="AQ311" s="9"/>
    </row>
    <row r="312" spans="2:43" ht="94.5" x14ac:dyDescent="0.25">
      <c r="B312" s="167" t="s">
        <v>482</v>
      </c>
      <c r="C312" s="96" t="s">
        <v>813</v>
      </c>
      <c r="D312" s="93" t="s">
        <v>87</v>
      </c>
      <c r="E312" s="92">
        <v>1</v>
      </c>
      <c r="F312" s="92">
        <v>1</v>
      </c>
      <c r="G312" s="91">
        <v>0</v>
      </c>
      <c r="H312" s="90">
        <f t="shared" si="222"/>
        <v>0</v>
      </c>
      <c r="I312" s="171"/>
      <c r="J312" s="84"/>
      <c r="K312" s="95">
        <f t="shared" si="216"/>
        <v>0</v>
      </c>
      <c r="L312" s="88">
        <v>0</v>
      </c>
      <c r="M312" s="8"/>
      <c r="N312" s="29"/>
      <c r="O312" s="8"/>
      <c r="P312" s="220"/>
      <c r="Q312" s="220"/>
      <c r="R312" s="220"/>
      <c r="S312" s="8"/>
      <c r="T312" s="20"/>
      <c r="U312" s="21">
        <v>0</v>
      </c>
      <c r="V312" s="21">
        <v>0</v>
      </c>
      <c r="W312" s="21">
        <f t="shared" si="221"/>
        <v>0</v>
      </c>
      <c r="X312" s="22">
        <v>1</v>
      </c>
      <c r="Y312" s="23">
        <f>W312-(W312*X312)</f>
        <v>0</v>
      </c>
      <c r="Z312" s="21">
        <f t="shared" si="208"/>
        <v>0</v>
      </c>
      <c r="AA312" s="21">
        <f t="shared" si="219"/>
        <v>0</v>
      </c>
      <c r="AC312" s="9"/>
      <c r="AD312" s="9" t="str">
        <f t="shared" si="209"/>
        <v>11.41</v>
      </c>
      <c r="AE312" s="27">
        <f t="shared" si="210"/>
        <v>0</v>
      </c>
      <c r="AF312" s="21">
        <f t="shared" si="211"/>
        <v>0</v>
      </c>
      <c r="AG312" s="21">
        <v>0</v>
      </c>
      <c r="AH312" s="21">
        <f t="shared" si="212"/>
        <v>0</v>
      </c>
      <c r="AI312" s="21">
        <f t="shared" si="213"/>
        <v>0</v>
      </c>
      <c r="AJ312" s="21">
        <f t="shared" si="214"/>
        <v>0</v>
      </c>
      <c r="AK312" s="9" t="s">
        <v>57</v>
      </c>
      <c r="AL312" s="9" t="s">
        <v>57</v>
      </c>
      <c r="AM312" s="22">
        <v>0</v>
      </c>
      <c r="AN312" s="23">
        <f t="shared" si="215"/>
        <v>0</v>
      </c>
      <c r="AO312" s="9"/>
      <c r="AP312" s="26">
        <v>0</v>
      </c>
      <c r="AQ312" s="9"/>
    </row>
    <row r="313" spans="2:43" ht="38.25" x14ac:dyDescent="0.25">
      <c r="B313" s="165">
        <v>12</v>
      </c>
      <c r="C313" s="87" t="s">
        <v>414</v>
      </c>
      <c r="D313" s="87"/>
      <c r="E313" s="87"/>
      <c r="F313" s="87"/>
      <c r="G313" s="87"/>
      <c r="H313" s="87"/>
      <c r="I313" s="166">
        <f>SUM(H314:H316)</f>
        <v>0</v>
      </c>
      <c r="J313" s="84"/>
      <c r="K313" s="99" t="s">
        <v>75</v>
      </c>
      <c r="L313" s="98" t="str">
        <f>L$15</f>
        <v>30 DIAS</v>
      </c>
      <c r="M313" s="8"/>
      <c r="N313" s="29"/>
      <c r="O313" s="8"/>
      <c r="P313" s="218" t="s">
        <v>506</v>
      </c>
      <c r="Q313" s="218" t="s">
        <v>507</v>
      </c>
      <c r="R313" s="218" t="s">
        <v>508</v>
      </c>
      <c r="S313" s="8"/>
      <c r="T313" s="144" t="s">
        <v>22</v>
      </c>
      <c r="U313" s="145" t="s">
        <v>23</v>
      </c>
      <c r="V313" s="146" t="s">
        <v>523</v>
      </c>
      <c r="W313" s="146" t="s">
        <v>24</v>
      </c>
      <c r="X313" s="333" t="s">
        <v>68</v>
      </c>
      <c r="Y313" s="334"/>
      <c r="Z313" s="147" t="s">
        <v>25</v>
      </c>
      <c r="AA313" s="147" t="s">
        <v>26</v>
      </c>
      <c r="AB313" s="148"/>
      <c r="AC313" s="149" t="s">
        <v>16</v>
      </c>
      <c r="AD313" s="149" t="s">
        <v>17</v>
      </c>
      <c r="AE313" s="150" t="s">
        <v>22</v>
      </c>
      <c r="AF313" s="151" t="s">
        <v>23</v>
      </c>
      <c r="AG313" s="146" t="s">
        <v>523</v>
      </c>
      <c r="AH313" s="152" t="s">
        <v>24</v>
      </c>
      <c r="AI313" s="153" t="s">
        <v>25</v>
      </c>
      <c r="AJ313" s="153" t="s">
        <v>26</v>
      </c>
      <c r="AK313" s="149" t="s">
        <v>18</v>
      </c>
      <c r="AL313" s="149" t="s">
        <v>67</v>
      </c>
      <c r="AM313" s="333" t="s">
        <v>68</v>
      </c>
      <c r="AN313" s="334"/>
      <c r="AO313" s="149" t="s">
        <v>19</v>
      </c>
      <c r="AP313" s="149" t="s">
        <v>20</v>
      </c>
      <c r="AQ313" s="154" t="s">
        <v>21</v>
      </c>
    </row>
    <row r="314" spans="2:43" ht="63" x14ac:dyDescent="0.25">
      <c r="B314" s="167" t="s">
        <v>483</v>
      </c>
      <c r="C314" s="96" t="s">
        <v>814</v>
      </c>
      <c r="D314" s="93" t="s">
        <v>87</v>
      </c>
      <c r="E314" s="106">
        <v>1</v>
      </c>
      <c r="F314" s="106">
        <v>1</v>
      </c>
      <c r="G314" s="105">
        <v>0</v>
      </c>
      <c r="H314" s="90">
        <f t="shared" ref="H314:H316" si="223">E314*F314*G314</f>
        <v>0</v>
      </c>
      <c r="I314" s="168"/>
      <c r="J314" s="84"/>
      <c r="K314" s="95">
        <f t="shared" ref="K314:K316" si="224">H314</f>
        <v>0</v>
      </c>
      <c r="L314" s="88">
        <v>0</v>
      </c>
      <c r="M314" s="8"/>
      <c r="N314" s="29"/>
      <c r="O314" s="8"/>
      <c r="P314" s="220"/>
      <c r="Q314" s="220"/>
      <c r="R314" s="220"/>
      <c r="S314" s="8"/>
      <c r="T314" s="20"/>
      <c r="U314" s="21">
        <v>0</v>
      </c>
      <c r="V314" s="21">
        <v>0</v>
      </c>
      <c r="W314" s="21">
        <f t="shared" si="221"/>
        <v>0</v>
      </c>
      <c r="X314" s="22">
        <v>1</v>
      </c>
      <c r="Y314" s="23">
        <f>W314-(W314*X314)</f>
        <v>0</v>
      </c>
      <c r="Z314" s="21">
        <f>U314*10%</f>
        <v>0</v>
      </c>
      <c r="AA314" s="21">
        <f t="shared" si="219"/>
        <v>0</v>
      </c>
      <c r="AC314" s="9"/>
      <c r="AD314" s="9" t="str">
        <f t="shared" ref="AD314:AD316" si="225">B314</f>
        <v>12.1</v>
      </c>
      <c r="AE314" s="27">
        <f t="shared" ref="AE314:AE316" si="226">T314</f>
        <v>0</v>
      </c>
      <c r="AF314" s="21">
        <f t="shared" ref="AF314:AF316" si="227">U314</f>
        <v>0</v>
      </c>
      <c r="AG314" s="21">
        <v>0</v>
      </c>
      <c r="AH314" s="21">
        <f t="shared" ref="AH314:AH316" si="228">H314-AF314</f>
        <v>0</v>
      </c>
      <c r="AI314" s="21">
        <f t="shared" ref="AI314:AI316" si="229">AF314*10%</f>
        <v>0</v>
      </c>
      <c r="AJ314" s="21">
        <f t="shared" ref="AJ314:AJ316" si="230">AN314+AI314</f>
        <v>0</v>
      </c>
      <c r="AK314" s="9" t="s">
        <v>57</v>
      </c>
      <c r="AL314" s="9" t="s">
        <v>57</v>
      </c>
      <c r="AM314" s="22">
        <v>0</v>
      </c>
      <c r="AN314" s="23">
        <f t="shared" ref="AN314:AN316" si="231">(AH314-(AH314*AM314))</f>
        <v>0</v>
      </c>
      <c r="AO314" s="9"/>
      <c r="AP314" s="26">
        <v>0</v>
      </c>
      <c r="AQ314" s="9"/>
    </row>
    <row r="315" spans="2:43" ht="63" x14ac:dyDescent="0.25">
      <c r="B315" s="167" t="s">
        <v>484</v>
      </c>
      <c r="C315" s="96" t="s">
        <v>815</v>
      </c>
      <c r="D315" s="93" t="s">
        <v>87</v>
      </c>
      <c r="E315" s="106">
        <v>1</v>
      </c>
      <c r="F315" s="106">
        <v>1</v>
      </c>
      <c r="G315" s="105">
        <v>0</v>
      </c>
      <c r="H315" s="90">
        <f t="shared" si="223"/>
        <v>0</v>
      </c>
      <c r="I315" s="168"/>
      <c r="J315" s="84"/>
      <c r="K315" s="95">
        <f t="shared" si="224"/>
        <v>0</v>
      </c>
      <c r="L315" s="88">
        <v>0</v>
      </c>
      <c r="M315" s="8"/>
      <c r="N315" s="29"/>
      <c r="O315" s="8"/>
      <c r="P315" s="220"/>
      <c r="Q315" s="220"/>
      <c r="R315" s="220"/>
      <c r="S315" s="8"/>
      <c r="T315" s="20"/>
      <c r="U315" s="21">
        <v>0</v>
      </c>
      <c r="V315" s="21">
        <v>0</v>
      </c>
      <c r="W315" s="21">
        <f t="shared" si="221"/>
        <v>0</v>
      </c>
      <c r="X315" s="22">
        <v>1</v>
      </c>
      <c r="Y315" s="23">
        <f t="shared" ref="Y315:Y354" si="232">W315-(W315*X315)</f>
        <v>0</v>
      </c>
      <c r="Z315" s="21">
        <f>U315*10%</f>
        <v>0</v>
      </c>
      <c r="AA315" s="21">
        <f t="shared" si="219"/>
        <v>0</v>
      </c>
      <c r="AC315" s="9"/>
      <c r="AD315" s="9" t="str">
        <f t="shared" si="225"/>
        <v>12.2</v>
      </c>
      <c r="AE315" s="27">
        <f t="shared" si="226"/>
        <v>0</v>
      </c>
      <c r="AF315" s="21">
        <f t="shared" si="227"/>
        <v>0</v>
      </c>
      <c r="AG315" s="21">
        <v>0</v>
      </c>
      <c r="AH315" s="21">
        <f t="shared" si="228"/>
        <v>0</v>
      </c>
      <c r="AI315" s="21">
        <f t="shared" si="229"/>
        <v>0</v>
      </c>
      <c r="AJ315" s="21">
        <f t="shared" si="230"/>
        <v>0</v>
      </c>
      <c r="AK315" s="9" t="s">
        <v>57</v>
      </c>
      <c r="AL315" s="9" t="s">
        <v>57</v>
      </c>
      <c r="AM315" s="22">
        <v>0</v>
      </c>
      <c r="AN315" s="23">
        <f t="shared" si="231"/>
        <v>0</v>
      </c>
      <c r="AO315" s="9"/>
      <c r="AP315" s="26">
        <v>0</v>
      </c>
      <c r="AQ315" s="9"/>
    </row>
    <row r="316" spans="2:43" ht="63" x14ac:dyDescent="0.25">
      <c r="B316" s="167" t="s">
        <v>485</v>
      </c>
      <c r="C316" s="96" t="s">
        <v>816</v>
      </c>
      <c r="D316" s="93" t="s">
        <v>87</v>
      </c>
      <c r="E316" s="106">
        <v>1</v>
      </c>
      <c r="F316" s="106">
        <v>1</v>
      </c>
      <c r="G316" s="105">
        <v>0</v>
      </c>
      <c r="H316" s="90">
        <f t="shared" si="223"/>
        <v>0</v>
      </c>
      <c r="I316" s="168"/>
      <c r="J316" s="84"/>
      <c r="K316" s="95">
        <f t="shared" si="224"/>
        <v>0</v>
      </c>
      <c r="L316" s="88">
        <v>0</v>
      </c>
      <c r="M316" s="8"/>
      <c r="N316" s="29"/>
      <c r="O316" s="8"/>
      <c r="P316" s="220"/>
      <c r="Q316" s="220"/>
      <c r="R316" s="220"/>
      <c r="S316" s="8"/>
      <c r="T316" s="20"/>
      <c r="U316" s="21">
        <v>0</v>
      </c>
      <c r="V316" s="21">
        <v>0</v>
      </c>
      <c r="W316" s="21">
        <f t="shared" si="221"/>
        <v>0</v>
      </c>
      <c r="X316" s="22">
        <v>1</v>
      </c>
      <c r="Y316" s="23">
        <f t="shared" si="232"/>
        <v>0</v>
      </c>
      <c r="Z316" s="21">
        <f>U316*10%</f>
        <v>0</v>
      </c>
      <c r="AA316" s="21">
        <f t="shared" si="219"/>
        <v>0</v>
      </c>
      <c r="AC316" s="9"/>
      <c r="AD316" s="9" t="str">
        <f t="shared" si="225"/>
        <v>12.3</v>
      </c>
      <c r="AE316" s="27">
        <f t="shared" si="226"/>
        <v>0</v>
      </c>
      <c r="AF316" s="21">
        <f t="shared" si="227"/>
        <v>0</v>
      </c>
      <c r="AG316" s="21">
        <v>0</v>
      </c>
      <c r="AH316" s="21">
        <f t="shared" si="228"/>
        <v>0</v>
      </c>
      <c r="AI316" s="21">
        <f t="shared" si="229"/>
        <v>0</v>
      </c>
      <c r="AJ316" s="21">
        <f t="shared" si="230"/>
        <v>0</v>
      </c>
      <c r="AK316" s="9" t="s">
        <v>57</v>
      </c>
      <c r="AL316" s="9" t="s">
        <v>57</v>
      </c>
      <c r="AM316" s="22">
        <v>0</v>
      </c>
      <c r="AN316" s="23">
        <f t="shared" si="231"/>
        <v>0</v>
      </c>
      <c r="AO316" s="9"/>
      <c r="AP316" s="26">
        <v>0</v>
      </c>
      <c r="AQ316" s="9"/>
    </row>
    <row r="317" spans="2:43" ht="38.25" x14ac:dyDescent="0.25">
      <c r="B317" s="165">
        <v>13</v>
      </c>
      <c r="C317" s="87" t="s">
        <v>310</v>
      </c>
      <c r="D317" s="87"/>
      <c r="E317" s="87"/>
      <c r="F317" s="87"/>
      <c r="G317" s="87"/>
      <c r="H317" s="87"/>
      <c r="I317" s="166">
        <f>SUM(H318)</f>
        <v>0</v>
      </c>
      <c r="J317" s="84"/>
      <c r="K317" s="99" t="s">
        <v>75</v>
      </c>
      <c r="L317" s="98" t="str">
        <f>L$15</f>
        <v>30 DIAS</v>
      </c>
      <c r="M317" s="8"/>
      <c r="N317" s="29"/>
      <c r="O317" s="8"/>
      <c r="P317" s="218" t="s">
        <v>506</v>
      </c>
      <c r="Q317" s="218" t="s">
        <v>507</v>
      </c>
      <c r="R317" s="218" t="s">
        <v>508</v>
      </c>
      <c r="S317" s="8"/>
      <c r="T317" s="144" t="s">
        <v>22</v>
      </c>
      <c r="U317" s="145" t="s">
        <v>23</v>
      </c>
      <c r="V317" s="146" t="s">
        <v>523</v>
      </c>
      <c r="W317" s="146" t="s">
        <v>24</v>
      </c>
      <c r="X317" s="333" t="s">
        <v>68</v>
      </c>
      <c r="Y317" s="334"/>
      <c r="Z317" s="147" t="s">
        <v>25</v>
      </c>
      <c r="AA317" s="147" t="s">
        <v>26</v>
      </c>
      <c r="AB317" s="148"/>
      <c r="AC317" s="149" t="s">
        <v>16</v>
      </c>
      <c r="AD317" s="149" t="s">
        <v>17</v>
      </c>
      <c r="AE317" s="150" t="s">
        <v>22</v>
      </c>
      <c r="AF317" s="151" t="s">
        <v>23</v>
      </c>
      <c r="AG317" s="146" t="s">
        <v>523</v>
      </c>
      <c r="AH317" s="152" t="s">
        <v>24</v>
      </c>
      <c r="AI317" s="153" t="s">
        <v>25</v>
      </c>
      <c r="AJ317" s="153" t="s">
        <v>26</v>
      </c>
      <c r="AK317" s="149" t="s">
        <v>18</v>
      </c>
      <c r="AL317" s="149" t="s">
        <v>67</v>
      </c>
      <c r="AM317" s="333" t="s">
        <v>68</v>
      </c>
      <c r="AN317" s="334"/>
      <c r="AO317" s="149" t="s">
        <v>19</v>
      </c>
      <c r="AP317" s="149" t="s">
        <v>20</v>
      </c>
      <c r="AQ317" s="154" t="s">
        <v>21</v>
      </c>
    </row>
    <row r="318" spans="2:43" ht="63" x14ac:dyDescent="0.25">
      <c r="B318" s="167" t="s">
        <v>486</v>
      </c>
      <c r="C318" s="96" t="s">
        <v>817</v>
      </c>
      <c r="D318" s="93" t="s">
        <v>87</v>
      </c>
      <c r="E318" s="106">
        <v>1</v>
      </c>
      <c r="F318" s="106">
        <v>1</v>
      </c>
      <c r="G318" s="105">
        <v>0</v>
      </c>
      <c r="H318" s="90">
        <f t="shared" ref="H318" si="233">E318*F318*G318</f>
        <v>0</v>
      </c>
      <c r="I318" s="168"/>
      <c r="J318" s="84"/>
      <c r="K318" s="95">
        <f t="shared" ref="K318" si="234">H318</f>
        <v>0</v>
      </c>
      <c r="L318" s="88">
        <v>0</v>
      </c>
      <c r="M318" s="8"/>
      <c r="N318" s="29"/>
      <c r="O318" s="8"/>
      <c r="P318" s="220"/>
      <c r="Q318" s="220"/>
      <c r="R318" s="220"/>
      <c r="S318" s="8"/>
      <c r="T318" s="20"/>
      <c r="U318" s="21">
        <v>0</v>
      </c>
      <c r="V318" s="21">
        <v>0</v>
      </c>
      <c r="W318" s="21">
        <f t="shared" si="221"/>
        <v>0</v>
      </c>
      <c r="X318" s="22">
        <v>1</v>
      </c>
      <c r="Y318" s="23">
        <f t="shared" si="232"/>
        <v>0</v>
      </c>
      <c r="Z318" s="21">
        <f>U318*10%</f>
        <v>0</v>
      </c>
      <c r="AA318" s="21">
        <f t="shared" si="219"/>
        <v>0</v>
      </c>
      <c r="AC318" s="9"/>
      <c r="AD318" s="9" t="str">
        <f t="shared" ref="AD318" si="235">B318</f>
        <v>13.1</v>
      </c>
      <c r="AE318" s="27">
        <f t="shared" ref="AE318" si="236">T318</f>
        <v>0</v>
      </c>
      <c r="AF318" s="21">
        <f t="shared" ref="AF318" si="237">U318</f>
        <v>0</v>
      </c>
      <c r="AG318" s="21">
        <v>0</v>
      </c>
      <c r="AH318" s="21">
        <f t="shared" ref="AH318" si="238">H318-AF318</f>
        <v>0</v>
      </c>
      <c r="AI318" s="21">
        <f t="shared" ref="AI318" si="239">AF318*10%</f>
        <v>0</v>
      </c>
      <c r="AJ318" s="21">
        <f t="shared" ref="AJ318" si="240">AN318+AI318</f>
        <v>0</v>
      </c>
      <c r="AK318" s="9" t="s">
        <v>57</v>
      </c>
      <c r="AL318" s="9" t="s">
        <v>57</v>
      </c>
      <c r="AM318" s="22">
        <v>0</v>
      </c>
      <c r="AN318" s="23">
        <f t="shared" ref="AN318" si="241">(AH318-(AH318*AM318))</f>
        <v>0</v>
      </c>
      <c r="AO318" s="9"/>
      <c r="AP318" s="26">
        <v>0</v>
      </c>
      <c r="AQ318" s="9"/>
    </row>
    <row r="319" spans="2:43" ht="38.25" x14ac:dyDescent="0.25">
      <c r="B319" s="165">
        <v>14</v>
      </c>
      <c r="C319" s="87" t="s">
        <v>133</v>
      </c>
      <c r="D319" s="87"/>
      <c r="E319" s="87"/>
      <c r="F319" s="87"/>
      <c r="G319" s="87"/>
      <c r="H319" s="87"/>
      <c r="I319" s="166">
        <f>SUM(H320:H354)</f>
        <v>0</v>
      </c>
      <c r="J319" s="84"/>
      <c r="K319" s="99" t="s">
        <v>75</v>
      </c>
      <c r="L319" s="98" t="str">
        <f>L$15</f>
        <v>30 DIAS</v>
      </c>
      <c r="M319" s="8"/>
      <c r="N319" s="29"/>
      <c r="O319" s="8"/>
      <c r="P319" s="218" t="s">
        <v>506</v>
      </c>
      <c r="Q319" s="218" t="s">
        <v>507</v>
      </c>
      <c r="R319" s="218" t="s">
        <v>508</v>
      </c>
      <c r="S319" s="8"/>
      <c r="T319" s="144" t="s">
        <v>22</v>
      </c>
      <c r="U319" s="145" t="s">
        <v>23</v>
      </c>
      <c r="V319" s="146" t="s">
        <v>523</v>
      </c>
      <c r="W319" s="146" t="s">
        <v>24</v>
      </c>
      <c r="X319" s="333" t="s">
        <v>68</v>
      </c>
      <c r="Y319" s="334"/>
      <c r="Z319" s="147" t="s">
        <v>25</v>
      </c>
      <c r="AA319" s="147" t="s">
        <v>26</v>
      </c>
      <c r="AB319" s="148"/>
      <c r="AC319" s="149" t="s">
        <v>16</v>
      </c>
      <c r="AD319" s="149" t="s">
        <v>17</v>
      </c>
      <c r="AE319" s="150" t="s">
        <v>22</v>
      </c>
      <c r="AF319" s="151" t="s">
        <v>23</v>
      </c>
      <c r="AG319" s="146" t="s">
        <v>523</v>
      </c>
      <c r="AH319" s="152" t="s">
        <v>24</v>
      </c>
      <c r="AI319" s="153" t="s">
        <v>25</v>
      </c>
      <c r="AJ319" s="153" t="s">
        <v>26</v>
      </c>
      <c r="AK319" s="149" t="s">
        <v>18</v>
      </c>
      <c r="AL319" s="149" t="s">
        <v>67</v>
      </c>
      <c r="AM319" s="333" t="s">
        <v>68</v>
      </c>
      <c r="AN319" s="334"/>
      <c r="AO319" s="149" t="s">
        <v>19</v>
      </c>
      <c r="AP319" s="149" t="s">
        <v>20</v>
      </c>
      <c r="AQ319" s="154" t="s">
        <v>21</v>
      </c>
    </row>
    <row r="320" spans="2:43" ht="31.5" x14ac:dyDescent="0.25">
      <c r="B320" s="175" t="s">
        <v>165</v>
      </c>
      <c r="C320" s="104" t="s">
        <v>818</v>
      </c>
      <c r="D320" s="93" t="s">
        <v>87</v>
      </c>
      <c r="E320" s="92">
        <v>1</v>
      </c>
      <c r="F320" s="92">
        <v>1</v>
      </c>
      <c r="G320" s="91">
        <v>0</v>
      </c>
      <c r="H320" s="90">
        <f t="shared" ref="H320" si="242">E320*F320*G320</f>
        <v>0</v>
      </c>
      <c r="I320" s="169"/>
      <c r="J320" s="84"/>
      <c r="K320" s="95">
        <f t="shared" ref="K320" si="243">H320</f>
        <v>0</v>
      </c>
      <c r="L320" s="88">
        <f t="shared" ref="L320" si="244">H320</f>
        <v>0</v>
      </c>
      <c r="M320" s="8"/>
      <c r="N320" s="29"/>
      <c r="O320" s="8"/>
      <c r="P320" s="220"/>
      <c r="Q320" s="220"/>
      <c r="R320" s="220"/>
      <c r="S320" s="8"/>
      <c r="T320" s="20"/>
      <c r="U320" s="21">
        <v>0</v>
      </c>
      <c r="V320" s="21">
        <v>0</v>
      </c>
      <c r="W320" s="21">
        <f t="shared" si="221"/>
        <v>0</v>
      </c>
      <c r="X320" s="22">
        <v>1</v>
      </c>
      <c r="Y320" s="23">
        <f t="shared" si="232"/>
        <v>0</v>
      </c>
      <c r="Z320" s="234">
        <f>U320*0%</f>
        <v>0</v>
      </c>
      <c r="AA320" s="21">
        <f t="shared" si="219"/>
        <v>0</v>
      </c>
      <c r="AC320" s="9"/>
      <c r="AD320" s="9" t="str">
        <f t="shared" ref="AD320:AD354" si="245">B320</f>
        <v>14.1</v>
      </c>
      <c r="AE320" s="27">
        <f t="shared" ref="AE320:AE354" si="246">T320</f>
        <v>0</v>
      </c>
      <c r="AF320" s="21">
        <f t="shared" ref="AF320:AF354" si="247">U320</f>
        <v>0</v>
      </c>
      <c r="AG320" s="21">
        <v>0</v>
      </c>
      <c r="AH320" s="21">
        <f t="shared" ref="AH320:AH354" si="248">H320-AF320</f>
        <v>0</v>
      </c>
      <c r="AI320" s="21">
        <f t="shared" ref="AI320:AI354" si="249">AF320*10%</f>
        <v>0</v>
      </c>
      <c r="AJ320" s="21">
        <f t="shared" ref="AJ320:AJ354" si="250">AN320+AI320</f>
        <v>0</v>
      </c>
      <c r="AK320" s="9" t="s">
        <v>57</v>
      </c>
      <c r="AL320" s="9" t="s">
        <v>57</v>
      </c>
      <c r="AM320" s="22">
        <v>0</v>
      </c>
      <c r="AN320" s="23">
        <f t="shared" ref="AN320:AN354" si="251">(AH320-(AH320*AM320))</f>
        <v>0</v>
      </c>
      <c r="AO320" s="9"/>
      <c r="AP320" s="26">
        <v>0</v>
      </c>
      <c r="AQ320" s="9"/>
    </row>
    <row r="321" spans="1:62" ht="18" x14ac:dyDescent="0.25">
      <c r="B321" s="175" t="s">
        <v>415</v>
      </c>
      <c r="C321" s="108" t="s">
        <v>291</v>
      </c>
      <c r="D321" s="93" t="s">
        <v>87</v>
      </c>
      <c r="E321" s="92">
        <v>1</v>
      </c>
      <c r="F321" s="92">
        <v>1</v>
      </c>
      <c r="G321" s="91">
        <v>0</v>
      </c>
      <c r="H321" s="90">
        <f t="shared" ref="H321" si="252">E321*F321*G321</f>
        <v>0</v>
      </c>
      <c r="I321" s="169"/>
      <c r="J321" s="84"/>
      <c r="K321" s="95">
        <f t="shared" ref="K321" si="253">H321</f>
        <v>0</v>
      </c>
      <c r="L321" s="88">
        <f t="shared" ref="L321" si="254">H321</f>
        <v>0</v>
      </c>
      <c r="M321" s="8"/>
      <c r="N321" s="29"/>
      <c r="O321" s="8"/>
      <c r="P321" s="220"/>
      <c r="Q321" s="220"/>
      <c r="R321" s="220"/>
      <c r="S321" s="8"/>
      <c r="T321" s="20"/>
      <c r="U321" s="21">
        <v>0</v>
      </c>
      <c r="V321" s="21">
        <v>0</v>
      </c>
      <c r="W321" s="21">
        <f t="shared" si="221"/>
        <v>0</v>
      </c>
      <c r="X321" s="22">
        <v>1</v>
      </c>
      <c r="Y321" s="23">
        <f t="shared" si="232"/>
        <v>0</v>
      </c>
      <c r="Z321" s="234">
        <f t="shared" ref="Z321:Z354" si="255">U321*0%</f>
        <v>0</v>
      </c>
      <c r="AA321" s="21">
        <f t="shared" si="219"/>
        <v>0</v>
      </c>
      <c r="AC321" s="9"/>
      <c r="AD321" s="9" t="str">
        <f t="shared" si="245"/>
        <v>14.2</v>
      </c>
      <c r="AE321" s="27">
        <f t="shared" si="246"/>
        <v>0</v>
      </c>
      <c r="AF321" s="21">
        <f t="shared" si="247"/>
        <v>0</v>
      </c>
      <c r="AG321" s="21">
        <v>0</v>
      </c>
      <c r="AH321" s="21">
        <f t="shared" si="248"/>
        <v>0</v>
      </c>
      <c r="AI321" s="21">
        <f t="shared" si="249"/>
        <v>0</v>
      </c>
      <c r="AJ321" s="21">
        <f t="shared" si="250"/>
        <v>0</v>
      </c>
      <c r="AK321" s="9" t="s">
        <v>57</v>
      </c>
      <c r="AL321" s="9" t="s">
        <v>57</v>
      </c>
      <c r="AM321" s="22">
        <v>0</v>
      </c>
      <c r="AN321" s="23">
        <f t="shared" si="251"/>
        <v>0</v>
      </c>
      <c r="AO321" s="9"/>
      <c r="AP321" s="26">
        <v>0</v>
      </c>
      <c r="AQ321" s="9"/>
    </row>
    <row r="322" spans="1:62" ht="31.5" x14ac:dyDescent="0.25">
      <c r="B322" s="175" t="s">
        <v>164</v>
      </c>
      <c r="C322" s="210" t="s">
        <v>130</v>
      </c>
      <c r="D322" s="93" t="s">
        <v>87</v>
      </c>
      <c r="E322" s="92">
        <v>1</v>
      </c>
      <c r="F322" s="92">
        <v>1</v>
      </c>
      <c r="G322" s="91">
        <v>0</v>
      </c>
      <c r="H322" s="90">
        <f t="shared" ref="H322:H354" si="256">E322*F322*G322</f>
        <v>0</v>
      </c>
      <c r="I322" s="233" t="s">
        <v>911</v>
      </c>
      <c r="J322" s="84"/>
      <c r="K322" s="95">
        <f t="shared" ref="K322:K354" si="257">H322</f>
        <v>0</v>
      </c>
      <c r="L322" s="88">
        <f t="shared" ref="L322:L354" si="258">H322</f>
        <v>0</v>
      </c>
      <c r="M322" s="8"/>
      <c r="N322" s="29"/>
      <c r="O322" s="8"/>
      <c r="P322" s="220"/>
      <c r="Q322" s="220"/>
      <c r="R322" s="220"/>
      <c r="S322" s="8"/>
      <c r="T322" s="20"/>
      <c r="U322" s="21">
        <v>0</v>
      </c>
      <c r="V322" s="21">
        <v>0</v>
      </c>
      <c r="W322" s="21">
        <f t="shared" si="221"/>
        <v>0</v>
      </c>
      <c r="X322" s="22">
        <v>1</v>
      </c>
      <c r="Y322" s="23">
        <f t="shared" si="232"/>
        <v>0</v>
      </c>
      <c r="Z322" s="234">
        <f t="shared" si="255"/>
        <v>0</v>
      </c>
      <c r="AA322" s="21">
        <f t="shared" si="219"/>
        <v>0</v>
      </c>
      <c r="AC322" s="9"/>
      <c r="AD322" s="9" t="str">
        <f t="shared" si="245"/>
        <v>14.3</v>
      </c>
      <c r="AE322" s="27">
        <f t="shared" si="246"/>
        <v>0</v>
      </c>
      <c r="AF322" s="21">
        <f t="shared" si="247"/>
        <v>0</v>
      </c>
      <c r="AG322" s="21">
        <v>0</v>
      </c>
      <c r="AH322" s="21">
        <f t="shared" si="248"/>
        <v>0</v>
      </c>
      <c r="AI322" s="21">
        <f t="shared" si="249"/>
        <v>0</v>
      </c>
      <c r="AJ322" s="21">
        <f t="shared" si="250"/>
        <v>0</v>
      </c>
      <c r="AK322" s="9" t="s">
        <v>57</v>
      </c>
      <c r="AL322" s="9" t="s">
        <v>57</v>
      </c>
      <c r="AM322" s="22">
        <v>0</v>
      </c>
      <c r="AN322" s="23">
        <f t="shared" si="251"/>
        <v>0</v>
      </c>
      <c r="AO322" s="9"/>
      <c r="AP322" s="26">
        <v>0</v>
      </c>
      <c r="AQ322" s="9"/>
    </row>
    <row r="323" spans="1:62" ht="31.5" x14ac:dyDescent="0.25">
      <c r="B323" s="175" t="s">
        <v>163</v>
      </c>
      <c r="C323" s="210" t="s">
        <v>128</v>
      </c>
      <c r="D323" s="93" t="s">
        <v>87</v>
      </c>
      <c r="E323" s="92">
        <v>1</v>
      </c>
      <c r="F323" s="92">
        <v>1</v>
      </c>
      <c r="G323" s="91">
        <v>0</v>
      </c>
      <c r="H323" s="90">
        <f t="shared" si="256"/>
        <v>0</v>
      </c>
      <c r="I323" s="169"/>
      <c r="J323" s="84"/>
      <c r="K323" s="95">
        <f t="shared" si="257"/>
        <v>0</v>
      </c>
      <c r="L323" s="88">
        <f t="shared" si="258"/>
        <v>0</v>
      </c>
      <c r="M323" s="8"/>
      <c r="N323" s="29"/>
      <c r="O323" s="8"/>
      <c r="P323" s="220"/>
      <c r="Q323" s="220"/>
      <c r="R323" s="220"/>
      <c r="S323" s="8"/>
      <c r="T323" s="20"/>
      <c r="U323" s="21">
        <v>0</v>
      </c>
      <c r="V323" s="21">
        <v>0</v>
      </c>
      <c r="W323" s="21">
        <f t="shared" si="221"/>
        <v>0</v>
      </c>
      <c r="X323" s="22">
        <v>1</v>
      </c>
      <c r="Y323" s="23">
        <f t="shared" si="232"/>
        <v>0</v>
      </c>
      <c r="Z323" s="234">
        <f t="shared" si="255"/>
        <v>0</v>
      </c>
      <c r="AA323" s="21">
        <f t="shared" si="219"/>
        <v>0</v>
      </c>
      <c r="AC323" s="9"/>
      <c r="AD323" s="9" t="str">
        <f t="shared" si="245"/>
        <v>14.4</v>
      </c>
      <c r="AE323" s="27">
        <f t="shared" si="246"/>
        <v>0</v>
      </c>
      <c r="AF323" s="21">
        <f t="shared" si="247"/>
        <v>0</v>
      </c>
      <c r="AG323" s="21">
        <v>0</v>
      </c>
      <c r="AH323" s="21">
        <f t="shared" si="248"/>
        <v>0</v>
      </c>
      <c r="AI323" s="21">
        <f t="shared" si="249"/>
        <v>0</v>
      </c>
      <c r="AJ323" s="21">
        <f t="shared" si="250"/>
        <v>0</v>
      </c>
      <c r="AK323" s="9" t="s">
        <v>57</v>
      </c>
      <c r="AL323" s="9" t="s">
        <v>57</v>
      </c>
      <c r="AM323" s="22">
        <v>0</v>
      </c>
      <c r="AN323" s="23">
        <f t="shared" si="251"/>
        <v>0</v>
      </c>
      <c r="AO323" s="9"/>
      <c r="AP323" s="26">
        <v>0</v>
      </c>
      <c r="AQ323" s="9"/>
    </row>
    <row r="324" spans="1:62" ht="31.5" x14ac:dyDescent="0.25">
      <c r="A324" s="24"/>
      <c r="B324" s="175" t="s">
        <v>162</v>
      </c>
      <c r="C324" s="210" t="s">
        <v>127</v>
      </c>
      <c r="D324" s="93" t="s">
        <v>87</v>
      </c>
      <c r="E324" s="92">
        <v>1</v>
      </c>
      <c r="F324" s="92">
        <v>1</v>
      </c>
      <c r="G324" s="91">
        <v>0</v>
      </c>
      <c r="H324" s="90">
        <f t="shared" si="256"/>
        <v>0</v>
      </c>
      <c r="I324" s="176"/>
      <c r="J324" s="84"/>
      <c r="K324" s="95">
        <f t="shared" si="257"/>
        <v>0</v>
      </c>
      <c r="L324" s="88">
        <f t="shared" si="258"/>
        <v>0</v>
      </c>
      <c r="M324" s="8"/>
      <c r="N324" s="29"/>
      <c r="O324" s="8"/>
      <c r="P324" s="220"/>
      <c r="Q324" s="220"/>
      <c r="R324" s="220"/>
      <c r="S324" s="8"/>
      <c r="T324" s="20"/>
      <c r="U324" s="21">
        <v>0</v>
      </c>
      <c r="V324" s="21">
        <v>0</v>
      </c>
      <c r="W324" s="21">
        <f t="shared" si="221"/>
        <v>0</v>
      </c>
      <c r="X324" s="22">
        <v>1</v>
      </c>
      <c r="Y324" s="23">
        <f t="shared" si="232"/>
        <v>0</v>
      </c>
      <c r="Z324" s="234">
        <f t="shared" si="255"/>
        <v>0</v>
      </c>
      <c r="AA324" s="21">
        <f t="shared" si="219"/>
        <v>0</v>
      </c>
      <c r="AC324" s="9"/>
      <c r="AD324" s="9" t="str">
        <f t="shared" si="245"/>
        <v>14.5</v>
      </c>
      <c r="AE324" s="27">
        <f t="shared" si="246"/>
        <v>0</v>
      </c>
      <c r="AF324" s="21">
        <f t="shared" si="247"/>
        <v>0</v>
      </c>
      <c r="AG324" s="21">
        <v>0</v>
      </c>
      <c r="AH324" s="21">
        <f t="shared" si="248"/>
        <v>0</v>
      </c>
      <c r="AI324" s="21">
        <f t="shared" si="249"/>
        <v>0</v>
      </c>
      <c r="AJ324" s="21">
        <f t="shared" si="250"/>
        <v>0</v>
      </c>
      <c r="AK324" s="9" t="s">
        <v>57</v>
      </c>
      <c r="AL324" s="9" t="s">
        <v>57</v>
      </c>
      <c r="AM324" s="22">
        <v>0</v>
      </c>
      <c r="AN324" s="23">
        <f t="shared" si="251"/>
        <v>0</v>
      </c>
      <c r="AO324" s="9"/>
      <c r="AP324" s="26">
        <v>0</v>
      </c>
      <c r="AQ324" s="9"/>
      <c r="AR324" s="63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I324" s="24"/>
      <c r="BJ324" s="24"/>
    </row>
    <row r="325" spans="1:62" ht="31.5" x14ac:dyDescent="0.25">
      <c r="A325" s="24"/>
      <c r="B325" s="175" t="s">
        <v>161</v>
      </c>
      <c r="C325" s="108" t="s">
        <v>126</v>
      </c>
      <c r="D325" s="93" t="s">
        <v>87</v>
      </c>
      <c r="E325" s="92">
        <v>1</v>
      </c>
      <c r="F325" s="92">
        <v>1</v>
      </c>
      <c r="G325" s="91">
        <v>0</v>
      </c>
      <c r="H325" s="90">
        <f t="shared" si="256"/>
        <v>0</v>
      </c>
      <c r="I325" s="176"/>
      <c r="J325" s="84"/>
      <c r="K325" s="95">
        <f t="shared" si="257"/>
        <v>0</v>
      </c>
      <c r="L325" s="88">
        <f t="shared" si="258"/>
        <v>0</v>
      </c>
      <c r="M325" s="8"/>
      <c r="N325" s="29"/>
      <c r="O325" s="8"/>
      <c r="P325" s="220"/>
      <c r="Q325" s="220"/>
      <c r="R325" s="220"/>
      <c r="S325" s="8"/>
      <c r="T325" s="20"/>
      <c r="U325" s="21">
        <v>0</v>
      </c>
      <c r="V325" s="21">
        <v>0</v>
      </c>
      <c r="W325" s="21">
        <f t="shared" si="221"/>
        <v>0</v>
      </c>
      <c r="X325" s="22">
        <v>1</v>
      </c>
      <c r="Y325" s="23">
        <f t="shared" si="232"/>
        <v>0</v>
      </c>
      <c r="Z325" s="234">
        <f t="shared" si="255"/>
        <v>0</v>
      </c>
      <c r="AA325" s="21">
        <f t="shared" si="219"/>
        <v>0</v>
      </c>
      <c r="AC325" s="9"/>
      <c r="AD325" s="9" t="str">
        <f t="shared" si="245"/>
        <v>14.6</v>
      </c>
      <c r="AE325" s="27">
        <f t="shared" si="246"/>
        <v>0</v>
      </c>
      <c r="AF325" s="21">
        <f t="shared" si="247"/>
        <v>0</v>
      </c>
      <c r="AG325" s="21">
        <v>0</v>
      </c>
      <c r="AH325" s="21">
        <f t="shared" si="248"/>
        <v>0</v>
      </c>
      <c r="AI325" s="21">
        <f t="shared" si="249"/>
        <v>0</v>
      </c>
      <c r="AJ325" s="21">
        <f t="shared" si="250"/>
        <v>0</v>
      </c>
      <c r="AK325" s="9" t="s">
        <v>57</v>
      </c>
      <c r="AL325" s="9" t="s">
        <v>57</v>
      </c>
      <c r="AM325" s="22">
        <v>0</v>
      </c>
      <c r="AN325" s="23">
        <f t="shared" si="251"/>
        <v>0</v>
      </c>
      <c r="AO325" s="9"/>
      <c r="AP325" s="26">
        <v>0</v>
      </c>
      <c r="AQ325" s="9"/>
      <c r="AR325" s="63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I325" s="24"/>
      <c r="BJ325" s="24"/>
    </row>
    <row r="326" spans="1:62" ht="31.5" x14ac:dyDescent="0.25">
      <c r="B326" s="175" t="s">
        <v>160</v>
      </c>
      <c r="C326" s="210" t="s">
        <v>125</v>
      </c>
      <c r="D326" s="93" t="s">
        <v>87</v>
      </c>
      <c r="E326" s="92">
        <v>1</v>
      </c>
      <c r="F326" s="92">
        <v>1</v>
      </c>
      <c r="G326" s="91">
        <v>0</v>
      </c>
      <c r="H326" s="90">
        <f t="shared" si="256"/>
        <v>0</v>
      </c>
      <c r="I326" s="177"/>
      <c r="J326" s="84"/>
      <c r="K326" s="95">
        <f t="shared" si="257"/>
        <v>0</v>
      </c>
      <c r="L326" s="88">
        <f t="shared" si="258"/>
        <v>0</v>
      </c>
      <c r="M326" s="8"/>
      <c r="N326" s="29"/>
      <c r="O326" s="8"/>
      <c r="P326" s="220"/>
      <c r="Q326" s="220"/>
      <c r="R326" s="220"/>
      <c r="S326" s="8"/>
      <c r="T326" s="20"/>
      <c r="U326" s="21">
        <v>0</v>
      </c>
      <c r="V326" s="21">
        <v>0</v>
      </c>
      <c r="W326" s="21">
        <f t="shared" si="221"/>
        <v>0</v>
      </c>
      <c r="X326" s="22">
        <v>1</v>
      </c>
      <c r="Y326" s="23">
        <f t="shared" si="232"/>
        <v>0</v>
      </c>
      <c r="Z326" s="234">
        <f t="shared" si="255"/>
        <v>0</v>
      </c>
      <c r="AA326" s="21">
        <f t="shared" si="219"/>
        <v>0</v>
      </c>
      <c r="AC326" s="9"/>
      <c r="AD326" s="9" t="str">
        <f t="shared" si="245"/>
        <v>14.7</v>
      </c>
      <c r="AE326" s="27">
        <f t="shared" si="246"/>
        <v>0</v>
      </c>
      <c r="AF326" s="21">
        <f t="shared" si="247"/>
        <v>0</v>
      </c>
      <c r="AG326" s="21">
        <v>0</v>
      </c>
      <c r="AH326" s="21">
        <f t="shared" si="248"/>
        <v>0</v>
      </c>
      <c r="AI326" s="21">
        <f t="shared" si="249"/>
        <v>0</v>
      </c>
      <c r="AJ326" s="21">
        <f t="shared" si="250"/>
        <v>0</v>
      </c>
      <c r="AK326" s="9" t="s">
        <v>57</v>
      </c>
      <c r="AL326" s="9" t="s">
        <v>57</v>
      </c>
      <c r="AM326" s="22">
        <v>0</v>
      </c>
      <c r="AN326" s="23">
        <f t="shared" si="251"/>
        <v>0</v>
      </c>
      <c r="AO326" s="9"/>
      <c r="AP326" s="26">
        <v>0</v>
      </c>
      <c r="AQ326" s="9"/>
    </row>
    <row r="327" spans="1:62" ht="31.5" x14ac:dyDescent="0.25">
      <c r="B327" s="175" t="s">
        <v>159</v>
      </c>
      <c r="C327" s="210" t="s">
        <v>124</v>
      </c>
      <c r="D327" s="93" t="s">
        <v>87</v>
      </c>
      <c r="E327" s="92">
        <v>1</v>
      </c>
      <c r="F327" s="92">
        <v>1</v>
      </c>
      <c r="G327" s="91">
        <v>0</v>
      </c>
      <c r="H327" s="90">
        <f t="shared" si="256"/>
        <v>0</v>
      </c>
      <c r="I327" s="169"/>
      <c r="J327" s="84"/>
      <c r="K327" s="95">
        <f t="shared" si="257"/>
        <v>0</v>
      </c>
      <c r="L327" s="88">
        <f t="shared" si="258"/>
        <v>0</v>
      </c>
      <c r="M327" s="8"/>
      <c r="N327" s="29"/>
      <c r="O327" s="8"/>
      <c r="P327" s="220"/>
      <c r="Q327" s="220"/>
      <c r="R327" s="220"/>
      <c r="S327" s="8"/>
      <c r="T327" s="20"/>
      <c r="U327" s="21">
        <v>0</v>
      </c>
      <c r="V327" s="21">
        <v>0</v>
      </c>
      <c r="W327" s="21">
        <f t="shared" si="221"/>
        <v>0</v>
      </c>
      <c r="X327" s="22">
        <v>1</v>
      </c>
      <c r="Y327" s="23">
        <f t="shared" si="232"/>
        <v>0</v>
      </c>
      <c r="Z327" s="234">
        <f t="shared" si="255"/>
        <v>0</v>
      </c>
      <c r="AA327" s="21">
        <f t="shared" si="219"/>
        <v>0</v>
      </c>
      <c r="AC327" s="9"/>
      <c r="AD327" s="9" t="str">
        <f t="shared" si="245"/>
        <v>14.8</v>
      </c>
      <c r="AE327" s="27">
        <f t="shared" si="246"/>
        <v>0</v>
      </c>
      <c r="AF327" s="21">
        <f t="shared" si="247"/>
        <v>0</v>
      </c>
      <c r="AG327" s="21">
        <v>0</v>
      </c>
      <c r="AH327" s="21">
        <f t="shared" si="248"/>
        <v>0</v>
      </c>
      <c r="AI327" s="21">
        <f t="shared" si="249"/>
        <v>0</v>
      </c>
      <c r="AJ327" s="21">
        <f t="shared" si="250"/>
        <v>0</v>
      </c>
      <c r="AK327" s="9" t="s">
        <v>57</v>
      </c>
      <c r="AL327" s="9" t="s">
        <v>57</v>
      </c>
      <c r="AM327" s="22">
        <v>0</v>
      </c>
      <c r="AN327" s="23">
        <f t="shared" si="251"/>
        <v>0</v>
      </c>
      <c r="AO327" s="9"/>
      <c r="AP327" s="26">
        <v>0</v>
      </c>
      <c r="AQ327" s="9"/>
    </row>
    <row r="328" spans="1:62" ht="31.5" x14ac:dyDescent="0.25">
      <c r="B328" s="175" t="s">
        <v>158</v>
      </c>
      <c r="C328" s="210" t="s">
        <v>290</v>
      </c>
      <c r="D328" s="93" t="s">
        <v>87</v>
      </c>
      <c r="E328" s="92">
        <v>1</v>
      </c>
      <c r="F328" s="92">
        <v>1</v>
      </c>
      <c r="G328" s="91">
        <v>0</v>
      </c>
      <c r="H328" s="90">
        <f t="shared" si="256"/>
        <v>0</v>
      </c>
      <c r="I328" s="169"/>
      <c r="J328" s="84"/>
      <c r="K328" s="95">
        <f t="shared" si="257"/>
        <v>0</v>
      </c>
      <c r="L328" s="88">
        <f t="shared" si="258"/>
        <v>0</v>
      </c>
      <c r="M328" s="8"/>
      <c r="N328" s="29"/>
      <c r="O328" s="8"/>
      <c r="P328" s="220"/>
      <c r="Q328" s="220"/>
      <c r="R328" s="220"/>
      <c r="S328" s="8"/>
      <c r="T328" s="20"/>
      <c r="U328" s="21">
        <v>0</v>
      </c>
      <c r="V328" s="21">
        <v>0</v>
      </c>
      <c r="W328" s="21">
        <f t="shared" si="221"/>
        <v>0</v>
      </c>
      <c r="X328" s="22">
        <v>1</v>
      </c>
      <c r="Y328" s="23">
        <f t="shared" si="232"/>
        <v>0</v>
      </c>
      <c r="Z328" s="234">
        <f t="shared" si="255"/>
        <v>0</v>
      </c>
      <c r="AA328" s="21">
        <f t="shared" si="219"/>
        <v>0</v>
      </c>
      <c r="AC328" s="9"/>
      <c r="AD328" s="9" t="str">
        <f t="shared" si="245"/>
        <v>14.9</v>
      </c>
      <c r="AE328" s="27">
        <f t="shared" si="246"/>
        <v>0</v>
      </c>
      <c r="AF328" s="21">
        <f t="shared" si="247"/>
        <v>0</v>
      </c>
      <c r="AG328" s="21">
        <v>0</v>
      </c>
      <c r="AH328" s="21">
        <f t="shared" si="248"/>
        <v>0</v>
      </c>
      <c r="AI328" s="21">
        <f t="shared" si="249"/>
        <v>0</v>
      </c>
      <c r="AJ328" s="21">
        <f t="shared" si="250"/>
        <v>0</v>
      </c>
      <c r="AK328" s="9" t="s">
        <v>57</v>
      </c>
      <c r="AL328" s="9" t="s">
        <v>57</v>
      </c>
      <c r="AM328" s="22">
        <v>0</v>
      </c>
      <c r="AN328" s="23">
        <f t="shared" si="251"/>
        <v>0</v>
      </c>
      <c r="AO328" s="9"/>
      <c r="AP328" s="26">
        <v>0</v>
      </c>
      <c r="AQ328" s="9"/>
    </row>
    <row r="329" spans="1:62" ht="31.5" x14ac:dyDescent="0.25">
      <c r="B329" s="175" t="s">
        <v>157</v>
      </c>
      <c r="C329" s="210" t="s">
        <v>123</v>
      </c>
      <c r="D329" s="93" t="s">
        <v>87</v>
      </c>
      <c r="E329" s="92">
        <v>1</v>
      </c>
      <c r="F329" s="92">
        <v>1</v>
      </c>
      <c r="G329" s="91">
        <v>0</v>
      </c>
      <c r="H329" s="90">
        <f t="shared" si="256"/>
        <v>0</v>
      </c>
      <c r="I329" s="169"/>
      <c r="J329" s="84"/>
      <c r="K329" s="95">
        <f t="shared" si="257"/>
        <v>0</v>
      </c>
      <c r="L329" s="88">
        <f t="shared" si="258"/>
        <v>0</v>
      </c>
      <c r="M329" s="8"/>
      <c r="N329" s="29"/>
      <c r="O329" s="8"/>
      <c r="P329" s="220"/>
      <c r="Q329" s="220"/>
      <c r="R329" s="220"/>
      <c r="S329" s="8"/>
      <c r="T329" s="20"/>
      <c r="U329" s="21">
        <v>0</v>
      </c>
      <c r="V329" s="21">
        <v>0</v>
      </c>
      <c r="W329" s="21">
        <f t="shared" si="221"/>
        <v>0</v>
      </c>
      <c r="X329" s="22">
        <v>1</v>
      </c>
      <c r="Y329" s="23">
        <f t="shared" si="232"/>
        <v>0</v>
      </c>
      <c r="Z329" s="234">
        <f t="shared" si="255"/>
        <v>0</v>
      </c>
      <c r="AA329" s="21">
        <f t="shared" si="219"/>
        <v>0</v>
      </c>
      <c r="AC329" s="9"/>
      <c r="AD329" s="9" t="str">
        <f t="shared" si="245"/>
        <v>14.10</v>
      </c>
      <c r="AE329" s="27">
        <f t="shared" si="246"/>
        <v>0</v>
      </c>
      <c r="AF329" s="21">
        <f t="shared" si="247"/>
        <v>0</v>
      </c>
      <c r="AG329" s="21">
        <v>0</v>
      </c>
      <c r="AH329" s="21">
        <f t="shared" si="248"/>
        <v>0</v>
      </c>
      <c r="AI329" s="21">
        <f t="shared" si="249"/>
        <v>0</v>
      </c>
      <c r="AJ329" s="21">
        <f t="shared" si="250"/>
        <v>0</v>
      </c>
      <c r="AK329" s="9" t="s">
        <v>57</v>
      </c>
      <c r="AL329" s="9" t="s">
        <v>57</v>
      </c>
      <c r="AM329" s="22">
        <v>0</v>
      </c>
      <c r="AN329" s="23">
        <f t="shared" si="251"/>
        <v>0</v>
      </c>
      <c r="AO329" s="9"/>
      <c r="AP329" s="26">
        <v>0</v>
      </c>
      <c r="AQ329" s="9"/>
    </row>
    <row r="330" spans="1:62" ht="33" customHeight="1" x14ac:dyDescent="0.25">
      <c r="B330" s="175" t="s">
        <v>156</v>
      </c>
      <c r="C330" s="210" t="s">
        <v>283</v>
      </c>
      <c r="D330" s="93" t="s">
        <v>87</v>
      </c>
      <c r="E330" s="92">
        <v>1</v>
      </c>
      <c r="F330" s="92">
        <v>1</v>
      </c>
      <c r="G330" s="91">
        <v>0</v>
      </c>
      <c r="H330" s="90">
        <f t="shared" si="256"/>
        <v>0</v>
      </c>
      <c r="I330" s="169"/>
      <c r="J330" s="84"/>
      <c r="K330" s="95">
        <f t="shared" si="257"/>
        <v>0</v>
      </c>
      <c r="L330" s="88">
        <f t="shared" si="258"/>
        <v>0</v>
      </c>
      <c r="M330" s="8"/>
      <c r="N330" s="29"/>
      <c r="O330" s="8"/>
      <c r="P330" s="220"/>
      <c r="Q330" s="220"/>
      <c r="R330" s="220"/>
      <c r="S330" s="8"/>
      <c r="T330" s="20"/>
      <c r="U330" s="21">
        <v>0</v>
      </c>
      <c r="V330" s="21">
        <v>0</v>
      </c>
      <c r="W330" s="21">
        <f t="shared" si="221"/>
        <v>0</v>
      </c>
      <c r="X330" s="22">
        <v>1</v>
      </c>
      <c r="Y330" s="23">
        <f t="shared" si="232"/>
        <v>0</v>
      </c>
      <c r="Z330" s="234">
        <f t="shared" si="255"/>
        <v>0</v>
      </c>
      <c r="AA330" s="21">
        <f t="shared" si="219"/>
        <v>0</v>
      </c>
      <c r="AC330" s="9"/>
      <c r="AD330" s="9" t="str">
        <f t="shared" si="245"/>
        <v>14.11</v>
      </c>
      <c r="AE330" s="27">
        <f t="shared" si="246"/>
        <v>0</v>
      </c>
      <c r="AF330" s="21">
        <f t="shared" si="247"/>
        <v>0</v>
      </c>
      <c r="AG330" s="21">
        <v>0</v>
      </c>
      <c r="AH330" s="21">
        <f t="shared" si="248"/>
        <v>0</v>
      </c>
      <c r="AI330" s="21">
        <f t="shared" si="249"/>
        <v>0</v>
      </c>
      <c r="AJ330" s="21">
        <f t="shared" si="250"/>
        <v>0</v>
      </c>
      <c r="AK330" s="9" t="s">
        <v>57</v>
      </c>
      <c r="AL330" s="9" t="s">
        <v>57</v>
      </c>
      <c r="AM330" s="22">
        <v>0</v>
      </c>
      <c r="AN330" s="23">
        <f t="shared" si="251"/>
        <v>0</v>
      </c>
      <c r="AO330" s="9"/>
      <c r="AP330" s="26">
        <v>0</v>
      </c>
      <c r="AQ330" s="9"/>
    </row>
    <row r="331" spans="1:62" ht="31.5" x14ac:dyDescent="0.25">
      <c r="B331" s="175" t="s">
        <v>155</v>
      </c>
      <c r="C331" s="210" t="s">
        <v>284</v>
      </c>
      <c r="D331" s="93" t="s">
        <v>87</v>
      </c>
      <c r="E331" s="92">
        <v>1</v>
      </c>
      <c r="F331" s="92">
        <v>1</v>
      </c>
      <c r="G331" s="91">
        <v>0</v>
      </c>
      <c r="H331" s="90">
        <f t="shared" ref="H331" si="259">E331*F331*G331</f>
        <v>0</v>
      </c>
      <c r="I331" s="169"/>
      <c r="J331" s="84"/>
      <c r="K331" s="95">
        <f t="shared" ref="K331" si="260">H331</f>
        <v>0</v>
      </c>
      <c r="L331" s="88">
        <f t="shared" ref="L331" si="261">H331</f>
        <v>0</v>
      </c>
      <c r="M331" s="8"/>
      <c r="N331" s="29"/>
      <c r="O331" s="8"/>
      <c r="P331" s="220"/>
      <c r="Q331" s="220"/>
      <c r="R331" s="220"/>
      <c r="S331" s="8"/>
      <c r="T331" s="20"/>
      <c r="U331" s="21">
        <v>0</v>
      </c>
      <c r="V331" s="21">
        <v>0</v>
      </c>
      <c r="W331" s="21">
        <f t="shared" si="221"/>
        <v>0</v>
      </c>
      <c r="X331" s="22">
        <v>1</v>
      </c>
      <c r="Y331" s="23">
        <f t="shared" si="232"/>
        <v>0</v>
      </c>
      <c r="Z331" s="234">
        <f t="shared" si="255"/>
        <v>0</v>
      </c>
      <c r="AA331" s="21">
        <f t="shared" si="219"/>
        <v>0</v>
      </c>
      <c r="AC331" s="9"/>
      <c r="AD331" s="9" t="str">
        <f t="shared" si="245"/>
        <v>14.12</v>
      </c>
      <c r="AE331" s="27">
        <f t="shared" si="246"/>
        <v>0</v>
      </c>
      <c r="AF331" s="21">
        <f t="shared" si="247"/>
        <v>0</v>
      </c>
      <c r="AG331" s="21">
        <v>0</v>
      </c>
      <c r="AH331" s="21">
        <f t="shared" si="248"/>
        <v>0</v>
      </c>
      <c r="AI331" s="21">
        <f t="shared" si="249"/>
        <v>0</v>
      </c>
      <c r="AJ331" s="21">
        <f t="shared" si="250"/>
        <v>0</v>
      </c>
      <c r="AK331" s="9" t="s">
        <v>57</v>
      </c>
      <c r="AL331" s="9" t="s">
        <v>57</v>
      </c>
      <c r="AM331" s="22">
        <v>0</v>
      </c>
      <c r="AN331" s="23">
        <f t="shared" si="251"/>
        <v>0</v>
      </c>
      <c r="AO331" s="9"/>
      <c r="AP331" s="26">
        <v>0</v>
      </c>
      <c r="AQ331" s="9"/>
    </row>
    <row r="332" spans="1:62" ht="31.5" x14ac:dyDescent="0.25">
      <c r="B332" s="175" t="s">
        <v>154</v>
      </c>
      <c r="C332" s="210" t="s">
        <v>122</v>
      </c>
      <c r="D332" s="93" t="s">
        <v>87</v>
      </c>
      <c r="E332" s="92">
        <v>1</v>
      </c>
      <c r="F332" s="92">
        <v>1</v>
      </c>
      <c r="G332" s="91">
        <v>0</v>
      </c>
      <c r="H332" s="90">
        <f t="shared" si="256"/>
        <v>0</v>
      </c>
      <c r="I332" s="169"/>
      <c r="J332" s="84"/>
      <c r="K332" s="95">
        <f t="shared" si="257"/>
        <v>0</v>
      </c>
      <c r="L332" s="88">
        <f t="shared" si="258"/>
        <v>0</v>
      </c>
      <c r="M332" s="8"/>
      <c r="N332" s="29"/>
      <c r="O332" s="8"/>
      <c r="P332" s="220"/>
      <c r="Q332" s="220"/>
      <c r="R332" s="220"/>
      <c r="S332" s="8"/>
      <c r="T332" s="20"/>
      <c r="U332" s="21">
        <v>0</v>
      </c>
      <c r="V332" s="21">
        <v>0</v>
      </c>
      <c r="W332" s="21">
        <f t="shared" si="221"/>
        <v>0</v>
      </c>
      <c r="X332" s="22">
        <v>1</v>
      </c>
      <c r="Y332" s="23">
        <f t="shared" si="232"/>
        <v>0</v>
      </c>
      <c r="Z332" s="234">
        <f t="shared" si="255"/>
        <v>0</v>
      </c>
      <c r="AA332" s="21">
        <f t="shared" si="219"/>
        <v>0</v>
      </c>
      <c r="AC332" s="9"/>
      <c r="AD332" s="9" t="str">
        <f t="shared" si="245"/>
        <v>14.13</v>
      </c>
      <c r="AE332" s="27">
        <f t="shared" si="246"/>
        <v>0</v>
      </c>
      <c r="AF332" s="21">
        <f t="shared" si="247"/>
        <v>0</v>
      </c>
      <c r="AG332" s="21">
        <v>0</v>
      </c>
      <c r="AH332" s="21">
        <f t="shared" si="248"/>
        <v>0</v>
      </c>
      <c r="AI332" s="21">
        <f t="shared" si="249"/>
        <v>0</v>
      </c>
      <c r="AJ332" s="21">
        <f t="shared" si="250"/>
        <v>0</v>
      </c>
      <c r="AK332" s="9" t="s">
        <v>57</v>
      </c>
      <c r="AL332" s="9" t="s">
        <v>57</v>
      </c>
      <c r="AM332" s="22">
        <v>0</v>
      </c>
      <c r="AN332" s="23">
        <f t="shared" si="251"/>
        <v>0</v>
      </c>
      <c r="AO332" s="9"/>
      <c r="AP332" s="26">
        <v>0</v>
      </c>
      <c r="AQ332" s="9"/>
    </row>
    <row r="333" spans="1:62" ht="31.5" x14ac:dyDescent="0.25">
      <c r="B333" s="175" t="s">
        <v>153</v>
      </c>
      <c r="C333" s="210" t="s">
        <v>121</v>
      </c>
      <c r="D333" s="93" t="s">
        <v>87</v>
      </c>
      <c r="E333" s="92">
        <v>1</v>
      </c>
      <c r="F333" s="92">
        <v>1</v>
      </c>
      <c r="G333" s="91">
        <v>0</v>
      </c>
      <c r="H333" s="90">
        <f t="shared" si="256"/>
        <v>0</v>
      </c>
      <c r="I333" s="169"/>
      <c r="J333" s="84"/>
      <c r="K333" s="95">
        <f t="shared" si="257"/>
        <v>0</v>
      </c>
      <c r="L333" s="88">
        <f t="shared" si="258"/>
        <v>0</v>
      </c>
      <c r="M333" s="8"/>
      <c r="N333" s="29"/>
      <c r="O333" s="8"/>
      <c r="P333" s="220"/>
      <c r="Q333" s="220"/>
      <c r="R333" s="220"/>
      <c r="S333" s="8"/>
      <c r="T333" s="20"/>
      <c r="U333" s="21">
        <v>0</v>
      </c>
      <c r="V333" s="21">
        <v>0</v>
      </c>
      <c r="W333" s="21">
        <f t="shared" si="221"/>
        <v>0</v>
      </c>
      <c r="X333" s="22">
        <v>1</v>
      </c>
      <c r="Y333" s="23">
        <f t="shared" si="232"/>
        <v>0</v>
      </c>
      <c r="Z333" s="234">
        <f t="shared" si="255"/>
        <v>0</v>
      </c>
      <c r="AA333" s="21">
        <f t="shared" si="219"/>
        <v>0</v>
      </c>
      <c r="AC333" s="9"/>
      <c r="AD333" s="9" t="str">
        <f t="shared" si="245"/>
        <v>14.14</v>
      </c>
      <c r="AE333" s="27">
        <f t="shared" si="246"/>
        <v>0</v>
      </c>
      <c r="AF333" s="21">
        <f t="shared" si="247"/>
        <v>0</v>
      </c>
      <c r="AG333" s="21">
        <v>0</v>
      </c>
      <c r="AH333" s="21">
        <f t="shared" si="248"/>
        <v>0</v>
      </c>
      <c r="AI333" s="21">
        <f t="shared" si="249"/>
        <v>0</v>
      </c>
      <c r="AJ333" s="21">
        <f t="shared" si="250"/>
        <v>0</v>
      </c>
      <c r="AK333" s="9" t="s">
        <v>57</v>
      </c>
      <c r="AL333" s="9" t="s">
        <v>57</v>
      </c>
      <c r="AM333" s="22">
        <v>0</v>
      </c>
      <c r="AN333" s="23">
        <f t="shared" si="251"/>
        <v>0</v>
      </c>
      <c r="AO333" s="9"/>
      <c r="AP333" s="26">
        <v>0</v>
      </c>
      <c r="AQ333" s="9"/>
    </row>
    <row r="334" spans="1:62" ht="31.5" x14ac:dyDescent="0.25">
      <c r="B334" s="175" t="s">
        <v>416</v>
      </c>
      <c r="C334" s="210" t="s">
        <v>120</v>
      </c>
      <c r="D334" s="93" t="s">
        <v>87</v>
      </c>
      <c r="E334" s="92">
        <v>1</v>
      </c>
      <c r="F334" s="92">
        <v>1</v>
      </c>
      <c r="G334" s="91">
        <v>0</v>
      </c>
      <c r="H334" s="90">
        <f t="shared" si="256"/>
        <v>0</v>
      </c>
      <c r="I334" s="168"/>
      <c r="J334" s="84"/>
      <c r="K334" s="95">
        <f t="shared" si="257"/>
        <v>0</v>
      </c>
      <c r="L334" s="88">
        <f t="shared" si="258"/>
        <v>0</v>
      </c>
      <c r="M334" s="8"/>
      <c r="N334" s="29"/>
      <c r="O334" s="8"/>
      <c r="P334" s="220"/>
      <c r="Q334" s="220"/>
      <c r="R334" s="220"/>
      <c r="S334" s="8"/>
      <c r="T334" s="20"/>
      <c r="U334" s="21">
        <v>0</v>
      </c>
      <c r="V334" s="21">
        <v>0</v>
      </c>
      <c r="W334" s="21">
        <f t="shared" si="221"/>
        <v>0</v>
      </c>
      <c r="X334" s="22">
        <v>1</v>
      </c>
      <c r="Y334" s="23">
        <f t="shared" si="232"/>
        <v>0</v>
      </c>
      <c r="Z334" s="234">
        <f t="shared" si="255"/>
        <v>0</v>
      </c>
      <c r="AA334" s="21">
        <f t="shared" si="219"/>
        <v>0</v>
      </c>
      <c r="AC334" s="9"/>
      <c r="AD334" s="9" t="str">
        <f t="shared" si="245"/>
        <v>14.15</v>
      </c>
      <c r="AE334" s="27">
        <f t="shared" si="246"/>
        <v>0</v>
      </c>
      <c r="AF334" s="21">
        <f t="shared" si="247"/>
        <v>0</v>
      </c>
      <c r="AG334" s="21">
        <v>0</v>
      </c>
      <c r="AH334" s="21">
        <f t="shared" si="248"/>
        <v>0</v>
      </c>
      <c r="AI334" s="21">
        <f t="shared" si="249"/>
        <v>0</v>
      </c>
      <c r="AJ334" s="21">
        <f t="shared" si="250"/>
        <v>0</v>
      </c>
      <c r="AK334" s="9" t="s">
        <v>57</v>
      </c>
      <c r="AL334" s="9" t="s">
        <v>57</v>
      </c>
      <c r="AM334" s="22">
        <v>0</v>
      </c>
      <c r="AN334" s="23">
        <f t="shared" si="251"/>
        <v>0</v>
      </c>
      <c r="AO334" s="9"/>
      <c r="AP334" s="26">
        <v>0</v>
      </c>
      <c r="AQ334" s="9"/>
    </row>
    <row r="335" spans="1:62" ht="31.5" x14ac:dyDescent="0.25">
      <c r="B335" s="175" t="s">
        <v>417</v>
      </c>
      <c r="C335" s="210" t="s">
        <v>119</v>
      </c>
      <c r="D335" s="93" t="s">
        <v>87</v>
      </c>
      <c r="E335" s="92">
        <v>1</v>
      </c>
      <c r="F335" s="92">
        <v>1</v>
      </c>
      <c r="G335" s="91">
        <v>0</v>
      </c>
      <c r="H335" s="90">
        <f t="shared" ref="H335:H338" si="262">E335*F335*G335</f>
        <v>0</v>
      </c>
      <c r="I335" s="169"/>
      <c r="J335" s="84"/>
      <c r="K335" s="95">
        <f t="shared" ref="K335:K338" si="263">H335</f>
        <v>0</v>
      </c>
      <c r="L335" s="88">
        <f t="shared" ref="L335:L338" si="264">H335</f>
        <v>0</v>
      </c>
      <c r="M335" s="8"/>
      <c r="N335" s="29"/>
      <c r="O335" s="8"/>
      <c r="P335" s="220"/>
      <c r="Q335" s="220"/>
      <c r="R335" s="220"/>
      <c r="S335" s="8"/>
      <c r="T335" s="20"/>
      <c r="U335" s="21">
        <v>0</v>
      </c>
      <c r="V335" s="21">
        <v>0</v>
      </c>
      <c r="W335" s="21">
        <f t="shared" si="221"/>
        <v>0</v>
      </c>
      <c r="X335" s="22">
        <v>1</v>
      </c>
      <c r="Y335" s="23">
        <f t="shared" si="232"/>
        <v>0</v>
      </c>
      <c r="Z335" s="234">
        <f t="shared" si="255"/>
        <v>0</v>
      </c>
      <c r="AA335" s="21">
        <f t="shared" si="219"/>
        <v>0</v>
      </c>
      <c r="AC335" s="9"/>
      <c r="AD335" s="9" t="str">
        <f t="shared" si="245"/>
        <v>14.16</v>
      </c>
      <c r="AE335" s="27">
        <f t="shared" si="246"/>
        <v>0</v>
      </c>
      <c r="AF335" s="21">
        <f t="shared" si="247"/>
        <v>0</v>
      </c>
      <c r="AG335" s="21">
        <v>0</v>
      </c>
      <c r="AH335" s="21">
        <f t="shared" si="248"/>
        <v>0</v>
      </c>
      <c r="AI335" s="21">
        <f t="shared" si="249"/>
        <v>0</v>
      </c>
      <c r="AJ335" s="21">
        <f t="shared" si="250"/>
        <v>0</v>
      </c>
      <c r="AK335" s="9" t="s">
        <v>57</v>
      </c>
      <c r="AL335" s="9" t="s">
        <v>57</v>
      </c>
      <c r="AM335" s="22">
        <v>0</v>
      </c>
      <c r="AN335" s="23">
        <f t="shared" si="251"/>
        <v>0</v>
      </c>
      <c r="AO335" s="9"/>
      <c r="AP335" s="26">
        <v>0</v>
      </c>
      <c r="AQ335" s="9"/>
    </row>
    <row r="336" spans="1:62" ht="33" customHeight="1" x14ac:dyDescent="0.25">
      <c r="B336" s="175" t="s">
        <v>152</v>
      </c>
      <c r="C336" s="210" t="s">
        <v>289</v>
      </c>
      <c r="D336" s="93" t="s">
        <v>87</v>
      </c>
      <c r="E336" s="92">
        <v>1</v>
      </c>
      <c r="F336" s="92">
        <v>1</v>
      </c>
      <c r="G336" s="91">
        <v>0</v>
      </c>
      <c r="H336" s="90">
        <f t="shared" ref="H336" si="265">E336*F336*G336</f>
        <v>0</v>
      </c>
      <c r="I336" s="169"/>
      <c r="J336" s="84"/>
      <c r="K336" s="95">
        <f t="shared" ref="K336" si="266">H336</f>
        <v>0</v>
      </c>
      <c r="L336" s="88">
        <f t="shared" ref="L336" si="267">H336</f>
        <v>0</v>
      </c>
      <c r="M336" s="8"/>
      <c r="N336" s="29"/>
      <c r="O336" s="8"/>
      <c r="P336" s="220"/>
      <c r="Q336" s="220"/>
      <c r="R336" s="220"/>
      <c r="S336" s="8"/>
      <c r="T336" s="20"/>
      <c r="U336" s="21">
        <v>0</v>
      </c>
      <c r="V336" s="21">
        <v>0</v>
      </c>
      <c r="W336" s="21">
        <f t="shared" si="221"/>
        <v>0</v>
      </c>
      <c r="X336" s="22">
        <v>1</v>
      </c>
      <c r="Y336" s="23">
        <f t="shared" si="232"/>
        <v>0</v>
      </c>
      <c r="Z336" s="234">
        <f t="shared" si="255"/>
        <v>0</v>
      </c>
      <c r="AA336" s="21">
        <f t="shared" si="219"/>
        <v>0</v>
      </c>
      <c r="AC336" s="9"/>
      <c r="AD336" s="9" t="str">
        <f t="shared" si="245"/>
        <v>14.17</v>
      </c>
      <c r="AE336" s="27">
        <f t="shared" si="246"/>
        <v>0</v>
      </c>
      <c r="AF336" s="21">
        <f t="shared" si="247"/>
        <v>0</v>
      </c>
      <c r="AG336" s="21">
        <v>0</v>
      </c>
      <c r="AH336" s="21">
        <f t="shared" si="248"/>
        <v>0</v>
      </c>
      <c r="AI336" s="21">
        <f t="shared" si="249"/>
        <v>0</v>
      </c>
      <c r="AJ336" s="21">
        <f t="shared" si="250"/>
        <v>0</v>
      </c>
      <c r="AK336" s="9" t="s">
        <v>57</v>
      </c>
      <c r="AL336" s="9" t="s">
        <v>57</v>
      </c>
      <c r="AM336" s="22">
        <v>0</v>
      </c>
      <c r="AN336" s="23">
        <f t="shared" si="251"/>
        <v>0</v>
      </c>
      <c r="AO336" s="9"/>
      <c r="AP336" s="26">
        <v>0</v>
      </c>
      <c r="AQ336" s="9"/>
    </row>
    <row r="337" spans="2:43" ht="31.5" x14ac:dyDescent="0.25">
      <c r="B337" s="175" t="s">
        <v>151</v>
      </c>
      <c r="C337" s="210" t="s">
        <v>118</v>
      </c>
      <c r="D337" s="93" t="s">
        <v>87</v>
      </c>
      <c r="E337" s="92">
        <v>1</v>
      </c>
      <c r="F337" s="92">
        <v>1</v>
      </c>
      <c r="G337" s="91">
        <v>0</v>
      </c>
      <c r="H337" s="90">
        <f t="shared" si="262"/>
        <v>0</v>
      </c>
      <c r="I337" s="169"/>
      <c r="J337" s="84"/>
      <c r="K337" s="95">
        <f t="shared" si="263"/>
        <v>0</v>
      </c>
      <c r="L337" s="88">
        <f t="shared" si="264"/>
        <v>0</v>
      </c>
      <c r="M337" s="8"/>
      <c r="N337" s="29"/>
      <c r="O337" s="8"/>
      <c r="P337" s="220"/>
      <c r="Q337" s="220"/>
      <c r="R337" s="220"/>
      <c r="S337" s="8"/>
      <c r="T337" s="20"/>
      <c r="U337" s="21">
        <v>0</v>
      </c>
      <c r="V337" s="21">
        <v>0</v>
      </c>
      <c r="W337" s="21">
        <f t="shared" si="221"/>
        <v>0</v>
      </c>
      <c r="X337" s="22">
        <v>1</v>
      </c>
      <c r="Y337" s="23">
        <f t="shared" si="232"/>
        <v>0</v>
      </c>
      <c r="Z337" s="234">
        <f t="shared" si="255"/>
        <v>0</v>
      </c>
      <c r="AA337" s="21">
        <f t="shared" si="219"/>
        <v>0</v>
      </c>
      <c r="AC337" s="9"/>
      <c r="AD337" s="9" t="str">
        <f t="shared" si="245"/>
        <v>14.18</v>
      </c>
      <c r="AE337" s="27">
        <f t="shared" si="246"/>
        <v>0</v>
      </c>
      <c r="AF337" s="21">
        <f t="shared" si="247"/>
        <v>0</v>
      </c>
      <c r="AG337" s="21">
        <v>0</v>
      </c>
      <c r="AH337" s="21">
        <f t="shared" si="248"/>
        <v>0</v>
      </c>
      <c r="AI337" s="21">
        <f t="shared" si="249"/>
        <v>0</v>
      </c>
      <c r="AJ337" s="21">
        <f t="shared" si="250"/>
        <v>0</v>
      </c>
      <c r="AK337" s="9" t="s">
        <v>57</v>
      </c>
      <c r="AL337" s="9" t="s">
        <v>57</v>
      </c>
      <c r="AM337" s="22">
        <v>0</v>
      </c>
      <c r="AN337" s="23">
        <f t="shared" si="251"/>
        <v>0</v>
      </c>
      <c r="AO337" s="9"/>
      <c r="AP337" s="26">
        <v>0</v>
      </c>
      <c r="AQ337" s="9"/>
    </row>
    <row r="338" spans="2:43" ht="33" customHeight="1" x14ac:dyDescent="0.25">
      <c r="B338" s="175" t="s">
        <v>150</v>
      </c>
      <c r="C338" s="210" t="s">
        <v>117</v>
      </c>
      <c r="D338" s="93" t="s">
        <v>87</v>
      </c>
      <c r="E338" s="92">
        <v>1</v>
      </c>
      <c r="F338" s="92">
        <v>1</v>
      </c>
      <c r="G338" s="91">
        <v>0</v>
      </c>
      <c r="H338" s="90">
        <f t="shared" si="262"/>
        <v>0</v>
      </c>
      <c r="I338" s="169"/>
      <c r="J338" s="84"/>
      <c r="K338" s="95">
        <f t="shared" si="263"/>
        <v>0</v>
      </c>
      <c r="L338" s="88">
        <f t="shared" si="264"/>
        <v>0</v>
      </c>
      <c r="M338" s="8"/>
      <c r="N338" s="29"/>
      <c r="O338" s="8"/>
      <c r="P338" s="220"/>
      <c r="Q338" s="220"/>
      <c r="R338" s="220"/>
      <c r="S338" s="8"/>
      <c r="T338" s="20"/>
      <c r="U338" s="21">
        <v>0</v>
      </c>
      <c r="V338" s="21">
        <v>0</v>
      </c>
      <c r="W338" s="21">
        <f t="shared" si="221"/>
        <v>0</v>
      </c>
      <c r="X338" s="22">
        <v>1</v>
      </c>
      <c r="Y338" s="23">
        <f t="shared" si="232"/>
        <v>0</v>
      </c>
      <c r="Z338" s="234">
        <f t="shared" si="255"/>
        <v>0</v>
      </c>
      <c r="AA338" s="21">
        <f t="shared" si="219"/>
        <v>0</v>
      </c>
      <c r="AC338" s="9"/>
      <c r="AD338" s="9" t="str">
        <f t="shared" si="245"/>
        <v>14.19</v>
      </c>
      <c r="AE338" s="27">
        <f t="shared" si="246"/>
        <v>0</v>
      </c>
      <c r="AF338" s="21">
        <f t="shared" si="247"/>
        <v>0</v>
      </c>
      <c r="AG338" s="21">
        <v>0</v>
      </c>
      <c r="AH338" s="21">
        <f t="shared" si="248"/>
        <v>0</v>
      </c>
      <c r="AI338" s="21">
        <f t="shared" si="249"/>
        <v>0</v>
      </c>
      <c r="AJ338" s="21">
        <f t="shared" si="250"/>
        <v>0</v>
      </c>
      <c r="AK338" s="9" t="s">
        <v>57</v>
      </c>
      <c r="AL338" s="9" t="s">
        <v>57</v>
      </c>
      <c r="AM338" s="22">
        <v>0</v>
      </c>
      <c r="AN338" s="23">
        <f t="shared" si="251"/>
        <v>0</v>
      </c>
      <c r="AO338" s="9"/>
      <c r="AP338" s="26">
        <v>0</v>
      </c>
      <c r="AQ338" s="9"/>
    </row>
    <row r="339" spans="2:43" ht="31.5" x14ac:dyDescent="0.25">
      <c r="B339" s="175" t="s">
        <v>149</v>
      </c>
      <c r="C339" s="210" t="s">
        <v>116</v>
      </c>
      <c r="D339" s="93" t="s">
        <v>87</v>
      </c>
      <c r="E339" s="92">
        <v>1</v>
      </c>
      <c r="F339" s="92">
        <v>1</v>
      </c>
      <c r="G339" s="91">
        <v>0</v>
      </c>
      <c r="H339" s="90">
        <f t="shared" si="256"/>
        <v>0</v>
      </c>
      <c r="I339" s="169"/>
      <c r="J339" s="84"/>
      <c r="K339" s="95">
        <f t="shared" si="257"/>
        <v>0</v>
      </c>
      <c r="L339" s="88">
        <f t="shared" si="258"/>
        <v>0</v>
      </c>
      <c r="M339" s="8"/>
      <c r="N339" s="29"/>
      <c r="O339" s="8"/>
      <c r="P339" s="220"/>
      <c r="Q339" s="220"/>
      <c r="R339" s="220"/>
      <c r="S339" s="8"/>
      <c r="T339" s="20"/>
      <c r="U339" s="21">
        <v>0</v>
      </c>
      <c r="V339" s="21">
        <v>0</v>
      </c>
      <c r="W339" s="21">
        <f t="shared" si="221"/>
        <v>0</v>
      </c>
      <c r="X339" s="22">
        <v>1</v>
      </c>
      <c r="Y339" s="23">
        <f t="shared" si="232"/>
        <v>0</v>
      </c>
      <c r="Z339" s="234">
        <f t="shared" si="255"/>
        <v>0</v>
      </c>
      <c r="AA339" s="21">
        <f t="shared" si="219"/>
        <v>0</v>
      </c>
      <c r="AC339" s="9"/>
      <c r="AD339" s="9" t="str">
        <f t="shared" si="245"/>
        <v>14.20</v>
      </c>
      <c r="AE339" s="27">
        <f t="shared" si="246"/>
        <v>0</v>
      </c>
      <c r="AF339" s="21">
        <f t="shared" si="247"/>
        <v>0</v>
      </c>
      <c r="AG339" s="21">
        <v>0</v>
      </c>
      <c r="AH339" s="21">
        <f t="shared" si="248"/>
        <v>0</v>
      </c>
      <c r="AI339" s="21">
        <f t="shared" si="249"/>
        <v>0</v>
      </c>
      <c r="AJ339" s="21">
        <f t="shared" si="250"/>
        <v>0</v>
      </c>
      <c r="AK339" s="9" t="s">
        <v>57</v>
      </c>
      <c r="AL339" s="9" t="s">
        <v>57</v>
      </c>
      <c r="AM339" s="22">
        <v>0</v>
      </c>
      <c r="AN339" s="23">
        <f t="shared" si="251"/>
        <v>0</v>
      </c>
      <c r="AO339" s="9"/>
      <c r="AP339" s="26">
        <v>0</v>
      </c>
      <c r="AQ339" s="9"/>
    </row>
    <row r="340" spans="2:43" ht="33" customHeight="1" x14ac:dyDescent="0.25">
      <c r="B340" s="175" t="s">
        <v>148</v>
      </c>
      <c r="C340" s="210" t="s">
        <v>115</v>
      </c>
      <c r="D340" s="93" t="s">
        <v>87</v>
      </c>
      <c r="E340" s="92">
        <v>1</v>
      </c>
      <c r="F340" s="92">
        <v>1</v>
      </c>
      <c r="G340" s="91">
        <v>0</v>
      </c>
      <c r="H340" s="90">
        <f t="shared" si="256"/>
        <v>0</v>
      </c>
      <c r="I340" s="169"/>
      <c r="J340" s="84"/>
      <c r="K340" s="95">
        <f t="shared" si="257"/>
        <v>0</v>
      </c>
      <c r="L340" s="88">
        <f t="shared" si="258"/>
        <v>0</v>
      </c>
      <c r="M340" s="8"/>
      <c r="N340" s="29"/>
      <c r="O340" s="8"/>
      <c r="P340" s="220"/>
      <c r="Q340" s="220"/>
      <c r="R340" s="220"/>
      <c r="S340" s="8"/>
      <c r="T340" s="20"/>
      <c r="U340" s="21">
        <v>0</v>
      </c>
      <c r="V340" s="21">
        <v>0</v>
      </c>
      <c r="W340" s="21">
        <f t="shared" si="221"/>
        <v>0</v>
      </c>
      <c r="X340" s="22">
        <v>1</v>
      </c>
      <c r="Y340" s="23">
        <f t="shared" si="232"/>
        <v>0</v>
      </c>
      <c r="Z340" s="234">
        <f t="shared" si="255"/>
        <v>0</v>
      </c>
      <c r="AA340" s="21">
        <f t="shared" si="219"/>
        <v>0</v>
      </c>
      <c r="AC340" s="9"/>
      <c r="AD340" s="9" t="str">
        <f t="shared" si="245"/>
        <v>14.21</v>
      </c>
      <c r="AE340" s="27">
        <f t="shared" si="246"/>
        <v>0</v>
      </c>
      <c r="AF340" s="21">
        <f t="shared" si="247"/>
        <v>0</v>
      </c>
      <c r="AG340" s="21">
        <v>0</v>
      </c>
      <c r="AH340" s="21">
        <f t="shared" si="248"/>
        <v>0</v>
      </c>
      <c r="AI340" s="21">
        <f t="shared" si="249"/>
        <v>0</v>
      </c>
      <c r="AJ340" s="21">
        <f t="shared" si="250"/>
        <v>0</v>
      </c>
      <c r="AK340" s="9" t="s">
        <v>57</v>
      </c>
      <c r="AL340" s="9" t="s">
        <v>57</v>
      </c>
      <c r="AM340" s="22">
        <v>0</v>
      </c>
      <c r="AN340" s="23">
        <f t="shared" si="251"/>
        <v>0</v>
      </c>
      <c r="AO340" s="9"/>
      <c r="AP340" s="26">
        <v>0</v>
      </c>
      <c r="AQ340" s="9"/>
    </row>
    <row r="341" spans="2:43" ht="31.5" x14ac:dyDescent="0.25">
      <c r="B341" s="175" t="s">
        <v>147</v>
      </c>
      <c r="C341" s="210" t="s">
        <v>114</v>
      </c>
      <c r="D341" s="93" t="s">
        <v>87</v>
      </c>
      <c r="E341" s="92">
        <v>1</v>
      </c>
      <c r="F341" s="92">
        <v>1</v>
      </c>
      <c r="G341" s="91">
        <v>0</v>
      </c>
      <c r="H341" s="90">
        <f t="shared" si="256"/>
        <v>0</v>
      </c>
      <c r="I341" s="169"/>
      <c r="J341" s="84"/>
      <c r="K341" s="95">
        <f t="shared" si="257"/>
        <v>0</v>
      </c>
      <c r="L341" s="88">
        <f t="shared" si="258"/>
        <v>0</v>
      </c>
      <c r="M341" s="8"/>
      <c r="N341" s="29"/>
      <c r="O341" s="8"/>
      <c r="P341" s="220"/>
      <c r="Q341" s="220"/>
      <c r="R341" s="220"/>
      <c r="S341" s="8"/>
      <c r="T341" s="20"/>
      <c r="U341" s="21">
        <v>0</v>
      </c>
      <c r="V341" s="21">
        <v>0</v>
      </c>
      <c r="W341" s="21">
        <f t="shared" si="221"/>
        <v>0</v>
      </c>
      <c r="X341" s="22">
        <v>1</v>
      </c>
      <c r="Y341" s="23">
        <f t="shared" si="232"/>
        <v>0</v>
      </c>
      <c r="Z341" s="234">
        <f t="shared" si="255"/>
        <v>0</v>
      </c>
      <c r="AA341" s="21">
        <f t="shared" si="219"/>
        <v>0</v>
      </c>
      <c r="AC341" s="9"/>
      <c r="AD341" s="9" t="str">
        <f t="shared" si="245"/>
        <v>14.22</v>
      </c>
      <c r="AE341" s="27">
        <f t="shared" si="246"/>
        <v>0</v>
      </c>
      <c r="AF341" s="21">
        <f t="shared" si="247"/>
        <v>0</v>
      </c>
      <c r="AG341" s="21">
        <v>0</v>
      </c>
      <c r="AH341" s="21">
        <f t="shared" si="248"/>
        <v>0</v>
      </c>
      <c r="AI341" s="21">
        <f t="shared" si="249"/>
        <v>0</v>
      </c>
      <c r="AJ341" s="21">
        <f t="shared" si="250"/>
        <v>0</v>
      </c>
      <c r="AK341" s="9" t="s">
        <v>57</v>
      </c>
      <c r="AL341" s="9" t="s">
        <v>57</v>
      </c>
      <c r="AM341" s="22">
        <v>0</v>
      </c>
      <c r="AN341" s="23">
        <f t="shared" si="251"/>
        <v>0</v>
      </c>
      <c r="AO341" s="9"/>
      <c r="AP341" s="26">
        <v>0</v>
      </c>
      <c r="AQ341" s="9"/>
    </row>
    <row r="342" spans="2:43" ht="31.5" x14ac:dyDescent="0.25">
      <c r="B342" s="175" t="s">
        <v>146</v>
      </c>
      <c r="C342" s="210" t="s">
        <v>113</v>
      </c>
      <c r="D342" s="93" t="s">
        <v>87</v>
      </c>
      <c r="E342" s="92">
        <v>1</v>
      </c>
      <c r="F342" s="92">
        <v>1</v>
      </c>
      <c r="G342" s="91">
        <v>0</v>
      </c>
      <c r="H342" s="90">
        <f t="shared" si="256"/>
        <v>0</v>
      </c>
      <c r="I342" s="169"/>
      <c r="J342" s="84"/>
      <c r="K342" s="95">
        <f t="shared" si="257"/>
        <v>0</v>
      </c>
      <c r="L342" s="88">
        <f t="shared" si="258"/>
        <v>0</v>
      </c>
      <c r="M342" s="8"/>
      <c r="N342" s="29"/>
      <c r="O342" s="8"/>
      <c r="P342" s="220"/>
      <c r="Q342" s="220"/>
      <c r="R342" s="220"/>
      <c r="S342" s="8"/>
      <c r="T342" s="20"/>
      <c r="U342" s="21">
        <v>0</v>
      </c>
      <c r="V342" s="21">
        <v>0</v>
      </c>
      <c r="W342" s="21">
        <f t="shared" si="221"/>
        <v>0</v>
      </c>
      <c r="X342" s="22">
        <v>1</v>
      </c>
      <c r="Y342" s="23">
        <f t="shared" si="232"/>
        <v>0</v>
      </c>
      <c r="Z342" s="234">
        <f t="shared" si="255"/>
        <v>0</v>
      </c>
      <c r="AA342" s="21">
        <f t="shared" si="219"/>
        <v>0</v>
      </c>
      <c r="AC342" s="9"/>
      <c r="AD342" s="9" t="str">
        <f t="shared" si="245"/>
        <v>14.23</v>
      </c>
      <c r="AE342" s="27">
        <f t="shared" si="246"/>
        <v>0</v>
      </c>
      <c r="AF342" s="21">
        <f t="shared" si="247"/>
        <v>0</v>
      </c>
      <c r="AG342" s="21">
        <v>0</v>
      </c>
      <c r="AH342" s="21">
        <f t="shared" si="248"/>
        <v>0</v>
      </c>
      <c r="AI342" s="21">
        <f t="shared" si="249"/>
        <v>0</v>
      </c>
      <c r="AJ342" s="21">
        <f t="shared" si="250"/>
        <v>0</v>
      </c>
      <c r="AK342" s="9" t="s">
        <v>57</v>
      </c>
      <c r="AL342" s="9" t="s">
        <v>57</v>
      </c>
      <c r="AM342" s="22">
        <v>0</v>
      </c>
      <c r="AN342" s="23">
        <f t="shared" si="251"/>
        <v>0</v>
      </c>
      <c r="AO342" s="9"/>
      <c r="AP342" s="26">
        <v>0</v>
      </c>
      <c r="AQ342" s="9"/>
    </row>
    <row r="343" spans="2:43" ht="31.5" x14ac:dyDescent="0.25">
      <c r="B343" s="175" t="s">
        <v>145</v>
      </c>
      <c r="C343" s="210" t="s">
        <v>112</v>
      </c>
      <c r="D343" s="93" t="s">
        <v>87</v>
      </c>
      <c r="E343" s="92">
        <v>1</v>
      </c>
      <c r="F343" s="92">
        <v>1</v>
      </c>
      <c r="G343" s="91">
        <v>0</v>
      </c>
      <c r="H343" s="90">
        <f t="shared" si="256"/>
        <v>0</v>
      </c>
      <c r="I343" s="169"/>
      <c r="J343" s="84"/>
      <c r="K343" s="95">
        <f t="shared" si="257"/>
        <v>0</v>
      </c>
      <c r="L343" s="88">
        <f t="shared" si="258"/>
        <v>0</v>
      </c>
      <c r="M343" s="8"/>
      <c r="N343" s="29"/>
      <c r="O343" s="8"/>
      <c r="P343" s="220"/>
      <c r="Q343" s="220"/>
      <c r="R343" s="220"/>
      <c r="S343" s="8"/>
      <c r="T343" s="20"/>
      <c r="U343" s="21">
        <v>0</v>
      </c>
      <c r="V343" s="21">
        <v>0</v>
      </c>
      <c r="W343" s="21">
        <f t="shared" si="221"/>
        <v>0</v>
      </c>
      <c r="X343" s="22">
        <v>1</v>
      </c>
      <c r="Y343" s="23">
        <f t="shared" si="232"/>
        <v>0</v>
      </c>
      <c r="Z343" s="234">
        <f t="shared" si="255"/>
        <v>0</v>
      </c>
      <c r="AA343" s="21">
        <f t="shared" si="219"/>
        <v>0</v>
      </c>
      <c r="AC343" s="9"/>
      <c r="AD343" s="9" t="str">
        <f t="shared" si="245"/>
        <v>14.24</v>
      </c>
      <c r="AE343" s="27">
        <f t="shared" si="246"/>
        <v>0</v>
      </c>
      <c r="AF343" s="21">
        <f t="shared" si="247"/>
        <v>0</v>
      </c>
      <c r="AG343" s="21">
        <v>0</v>
      </c>
      <c r="AH343" s="21">
        <f t="shared" si="248"/>
        <v>0</v>
      </c>
      <c r="AI343" s="21">
        <f t="shared" si="249"/>
        <v>0</v>
      </c>
      <c r="AJ343" s="21">
        <f t="shared" si="250"/>
        <v>0</v>
      </c>
      <c r="AK343" s="9" t="s">
        <v>57</v>
      </c>
      <c r="AL343" s="9" t="s">
        <v>57</v>
      </c>
      <c r="AM343" s="22">
        <v>0</v>
      </c>
      <c r="AN343" s="23">
        <f t="shared" si="251"/>
        <v>0</v>
      </c>
      <c r="AO343" s="9"/>
      <c r="AP343" s="26">
        <v>0</v>
      </c>
      <c r="AQ343" s="9"/>
    </row>
    <row r="344" spans="2:43" ht="31.5" x14ac:dyDescent="0.25">
      <c r="B344" s="175" t="s">
        <v>144</v>
      </c>
      <c r="C344" s="210" t="s">
        <v>111</v>
      </c>
      <c r="D344" s="93" t="s">
        <v>87</v>
      </c>
      <c r="E344" s="92">
        <v>1</v>
      </c>
      <c r="F344" s="92">
        <v>1</v>
      </c>
      <c r="G344" s="91">
        <v>0</v>
      </c>
      <c r="H344" s="90">
        <f t="shared" si="256"/>
        <v>0</v>
      </c>
      <c r="I344" s="169"/>
      <c r="J344" s="84"/>
      <c r="K344" s="95">
        <f t="shared" si="257"/>
        <v>0</v>
      </c>
      <c r="L344" s="88">
        <f t="shared" si="258"/>
        <v>0</v>
      </c>
      <c r="M344" s="8"/>
      <c r="N344" s="29"/>
      <c r="O344" s="8"/>
      <c r="P344" s="220"/>
      <c r="Q344" s="220"/>
      <c r="R344" s="220"/>
      <c r="S344" s="8"/>
      <c r="T344" s="20"/>
      <c r="U344" s="21">
        <v>0</v>
      </c>
      <c r="V344" s="21">
        <v>0</v>
      </c>
      <c r="W344" s="21">
        <f t="shared" si="221"/>
        <v>0</v>
      </c>
      <c r="X344" s="22">
        <v>1</v>
      </c>
      <c r="Y344" s="23">
        <f t="shared" si="232"/>
        <v>0</v>
      </c>
      <c r="Z344" s="234">
        <f t="shared" si="255"/>
        <v>0</v>
      </c>
      <c r="AA344" s="21">
        <f t="shared" si="219"/>
        <v>0</v>
      </c>
      <c r="AC344" s="9"/>
      <c r="AD344" s="9" t="str">
        <f t="shared" si="245"/>
        <v>14.25</v>
      </c>
      <c r="AE344" s="27">
        <f t="shared" si="246"/>
        <v>0</v>
      </c>
      <c r="AF344" s="21">
        <f t="shared" si="247"/>
        <v>0</v>
      </c>
      <c r="AG344" s="21">
        <v>0</v>
      </c>
      <c r="AH344" s="21">
        <f t="shared" si="248"/>
        <v>0</v>
      </c>
      <c r="AI344" s="21">
        <f t="shared" si="249"/>
        <v>0</v>
      </c>
      <c r="AJ344" s="21">
        <f t="shared" si="250"/>
        <v>0</v>
      </c>
      <c r="AK344" s="9" t="s">
        <v>57</v>
      </c>
      <c r="AL344" s="9" t="s">
        <v>57</v>
      </c>
      <c r="AM344" s="22">
        <v>0</v>
      </c>
      <c r="AN344" s="23">
        <f t="shared" si="251"/>
        <v>0</v>
      </c>
      <c r="AO344" s="9"/>
      <c r="AP344" s="26">
        <v>0</v>
      </c>
      <c r="AQ344" s="9"/>
    </row>
    <row r="345" spans="2:43" ht="31.5" x14ac:dyDescent="0.25">
      <c r="B345" s="175" t="s">
        <v>143</v>
      </c>
      <c r="C345" s="210" t="s">
        <v>110</v>
      </c>
      <c r="D345" s="93" t="s">
        <v>87</v>
      </c>
      <c r="E345" s="92">
        <v>1</v>
      </c>
      <c r="F345" s="92">
        <v>1</v>
      </c>
      <c r="G345" s="91">
        <v>0</v>
      </c>
      <c r="H345" s="90">
        <f t="shared" si="256"/>
        <v>0</v>
      </c>
      <c r="I345" s="169"/>
      <c r="J345" s="84"/>
      <c r="K345" s="95">
        <f t="shared" si="257"/>
        <v>0</v>
      </c>
      <c r="L345" s="88">
        <f t="shared" si="258"/>
        <v>0</v>
      </c>
      <c r="M345" s="8"/>
      <c r="N345" s="29"/>
      <c r="O345" s="8"/>
      <c r="P345" s="220"/>
      <c r="Q345" s="220"/>
      <c r="R345" s="220"/>
      <c r="S345" s="8"/>
      <c r="T345" s="20"/>
      <c r="U345" s="21">
        <v>0</v>
      </c>
      <c r="V345" s="21">
        <v>0</v>
      </c>
      <c r="W345" s="21">
        <f t="shared" si="221"/>
        <v>0</v>
      </c>
      <c r="X345" s="22">
        <v>1</v>
      </c>
      <c r="Y345" s="23">
        <f t="shared" si="232"/>
        <v>0</v>
      </c>
      <c r="Z345" s="234">
        <f t="shared" si="255"/>
        <v>0</v>
      </c>
      <c r="AA345" s="21">
        <f t="shared" si="219"/>
        <v>0</v>
      </c>
      <c r="AC345" s="9"/>
      <c r="AD345" s="9" t="str">
        <f t="shared" si="245"/>
        <v>14.26</v>
      </c>
      <c r="AE345" s="27">
        <f t="shared" si="246"/>
        <v>0</v>
      </c>
      <c r="AF345" s="21">
        <f t="shared" si="247"/>
        <v>0</v>
      </c>
      <c r="AG345" s="21">
        <v>0</v>
      </c>
      <c r="AH345" s="21">
        <f t="shared" si="248"/>
        <v>0</v>
      </c>
      <c r="AI345" s="21">
        <f t="shared" si="249"/>
        <v>0</v>
      </c>
      <c r="AJ345" s="21">
        <f t="shared" si="250"/>
        <v>0</v>
      </c>
      <c r="AK345" s="9" t="s">
        <v>57</v>
      </c>
      <c r="AL345" s="9" t="s">
        <v>57</v>
      </c>
      <c r="AM345" s="22">
        <v>0</v>
      </c>
      <c r="AN345" s="23">
        <f t="shared" si="251"/>
        <v>0</v>
      </c>
      <c r="AO345" s="9"/>
      <c r="AP345" s="26">
        <v>0</v>
      </c>
      <c r="AQ345" s="9"/>
    </row>
    <row r="346" spans="2:43" ht="31.5" x14ac:dyDescent="0.25">
      <c r="B346" s="175" t="s">
        <v>142</v>
      </c>
      <c r="C346" s="210" t="s">
        <v>109</v>
      </c>
      <c r="D346" s="93" t="s">
        <v>87</v>
      </c>
      <c r="E346" s="92">
        <v>1</v>
      </c>
      <c r="F346" s="92">
        <v>1</v>
      </c>
      <c r="G346" s="91">
        <v>0</v>
      </c>
      <c r="H346" s="90">
        <f t="shared" si="256"/>
        <v>0</v>
      </c>
      <c r="I346" s="169"/>
      <c r="J346" s="84"/>
      <c r="K346" s="95">
        <f t="shared" si="257"/>
        <v>0</v>
      </c>
      <c r="L346" s="88">
        <f t="shared" si="258"/>
        <v>0</v>
      </c>
      <c r="M346" s="8"/>
      <c r="N346" s="29"/>
      <c r="O346" s="8"/>
      <c r="P346" s="220"/>
      <c r="Q346" s="220"/>
      <c r="R346" s="220"/>
      <c r="S346" s="8"/>
      <c r="T346" s="20"/>
      <c r="U346" s="21">
        <v>0</v>
      </c>
      <c r="V346" s="21">
        <v>0</v>
      </c>
      <c r="W346" s="21">
        <f t="shared" si="221"/>
        <v>0</v>
      </c>
      <c r="X346" s="22">
        <v>1</v>
      </c>
      <c r="Y346" s="23">
        <f t="shared" si="232"/>
        <v>0</v>
      </c>
      <c r="Z346" s="234">
        <f t="shared" si="255"/>
        <v>0</v>
      </c>
      <c r="AA346" s="21">
        <f t="shared" si="219"/>
        <v>0</v>
      </c>
      <c r="AC346" s="9"/>
      <c r="AD346" s="9" t="str">
        <f t="shared" si="245"/>
        <v>14.27</v>
      </c>
      <c r="AE346" s="27">
        <f t="shared" si="246"/>
        <v>0</v>
      </c>
      <c r="AF346" s="21">
        <f t="shared" si="247"/>
        <v>0</v>
      </c>
      <c r="AG346" s="21">
        <v>0</v>
      </c>
      <c r="AH346" s="21">
        <f t="shared" si="248"/>
        <v>0</v>
      </c>
      <c r="AI346" s="21">
        <f t="shared" si="249"/>
        <v>0</v>
      </c>
      <c r="AJ346" s="21">
        <f t="shared" si="250"/>
        <v>0</v>
      </c>
      <c r="AK346" s="9" t="s">
        <v>57</v>
      </c>
      <c r="AL346" s="9" t="s">
        <v>57</v>
      </c>
      <c r="AM346" s="22">
        <v>0</v>
      </c>
      <c r="AN346" s="23">
        <f t="shared" si="251"/>
        <v>0</v>
      </c>
      <c r="AO346" s="9"/>
      <c r="AP346" s="26">
        <v>0</v>
      </c>
      <c r="AQ346" s="9"/>
    </row>
    <row r="347" spans="2:43" ht="31.5" x14ac:dyDescent="0.25">
      <c r="B347" s="175" t="s">
        <v>141</v>
      </c>
      <c r="C347" s="210" t="s">
        <v>108</v>
      </c>
      <c r="D347" s="93" t="s">
        <v>87</v>
      </c>
      <c r="E347" s="92">
        <v>1</v>
      </c>
      <c r="F347" s="92">
        <v>1</v>
      </c>
      <c r="G347" s="91">
        <v>0</v>
      </c>
      <c r="H347" s="90">
        <f t="shared" si="256"/>
        <v>0</v>
      </c>
      <c r="I347" s="169"/>
      <c r="J347" s="84"/>
      <c r="K347" s="95">
        <f t="shared" si="257"/>
        <v>0</v>
      </c>
      <c r="L347" s="88">
        <f t="shared" si="258"/>
        <v>0</v>
      </c>
      <c r="M347" s="8"/>
      <c r="N347" s="29"/>
      <c r="O347" s="8"/>
      <c r="P347" s="220"/>
      <c r="Q347" s="220"/>
      <c r="R347" s="220"/>
      <c r="S347" s="8"/>
      <c r="T347" s="20"/>
      <c r="U347" s="21">
        <v>0</v>
      </c>
      <c r="V347" s="21">
        <v>0</v>
      </c>
      <c r="W347" s="21">
        <f t="shared" si="221"/>
        <v>0</v>
      </c>
      <c r="X347" s="22">
        <v>1</v>
      </c>
      <c r="Y347" s="23">
        <f t="shared" si="232"/>
        <v>0</v>
      </c>
      <c r="Z347" s="234">
        <f t="shared" si="255"/>
        <v>0</v>
      </c>
      <c r="AA347" s="21">
        <f t="shared" si="219"/>
        <v>0</v>
      </c>
      <c r="AC347" s="9"/>
      <c r="AD347" s="9" t="str">
        <f t="shared" si="245"/>
        <v>14.28</v>
      </c>
      <c r="AE347" s="27">
        <f t="shared" si="246"/>
        <v>0</v>
      </c>
      <c r="AF347" s="21">
        <f t="shared" si="247"/>
        <v>0</v>
      </c>
      <c r="AG347" s="21">
        <v>0</v>
      </c>
      <c r="AH347" s="21">
        <f t="shared" si="248"/>
        <v>0</v>
      </c>
      <c r="AI347" s="21">
        <f t="shared" si="249"/>
        <v>0</v>
      </c>
      <c r="AJ347" s="21">
        <f t="shared" si="250"/>
        <v>0</v>
      </c>
      <c r="AK347" s="9" t="s">
        <v>57</v>
      </c>
      <c r="AL347" s="9" t="s">
        <v>57</v>
      </c>
      <c r="AM347" s="22">
        <v>0</v>
      </c>
      <c r="AN347" s="23">
        <f t="shared" si="251"/>
        <v>0</v>
      </c>
      <c r="AO347" s="9"/>
      <c r="AP347" s="26">
        <v>0</v>
      </c>
      <c r="AQ347" s="9"/>
    </row>
    <row r="348" spans="2:43" ht="31.5" x14ac:dyDescent="0.25">
      <c r="B348" s="175" t="s">
        <v>140</v>
      </c>
      <c r="C348" s="210" t="s">
        <v>107</v>
      </c>
      <c r="D348" s="93" t="s">
        <v>87</v>
      </c>
      <c r="E348" s="92">
        <v>1</v>
      </c>
      <c r="F348" s="92">
        <v>1</v>
      </c>
      <c r="G348" s="91">
        <v>0</v>
      </c>
      <c r="H348" s="90">
        <f t="shared" si="256"/>
        <v>0</v>
      </c>
      <c r="I348" s="169"/>
      <c r="J348" s="84"/>
      <c r="K348" s="95">
        <f t="shared" si="257"/>
        <v>0</v>
      </c>
      <c r="L348" s="88">
        <f t="shared" si="258"/>
        <v>0</v>
      </c>
      <c r="M348" s="8"/>
      <c r="N348" s="29"/>
      <c r="O348" s="8"/>
      <c r="P348" s="220"/>
      <c r="Q348" s="220"/>
      <c r="R348" s="220"/>
      <c r="S348" s="8"/>
      <c r="T348" s="20"/>
      <c r="U348" s="21">
        <v>0</v>
      </c>
      <c r="V348" s="21">
        <v>0</v>
      </c>
      <c r="W348" s="21">
        <f t="shared" si="221"/>
        <v>0</v>
      </c>
      <c r="X348" s="22">
        <v>1</v>
      </c>
      <c r="Y348" s="23">
        <f t="shared" si="232"/>
        <v>0</v>
      </c>
      <c r="Z348" s="234">
        <f t="shared" si="255"/>
        <v>0</v>
      </c>
      <c r="AA348" s="21">
        <f t="shared" si="219"/>
        <v>0</v>
      </c>
      <c r="AC348" s="9"/>
      <c r="AD348" s="9" t="str">
        <f t="shared" si="245"/>
        <v>14.29</v>
      </c>
      <c r="AE348" s="27">
        <f t="shared" si="246"/>
        <v>0</v>
      </c>
      <c r="AF348" s="21">
        <f t="shared" si="247"/>
        <v>0</v>
      </c>
      <c r="AG348" s="21">
        <v>0</v>
      </c>
      <c r="AH348" s="21">
        <f t="shared" si="248"/>
        <v>0</v>
      </c>
      <c r="AI348" s="21">
        <f t="shared" si="249"/>
        <v>0</v>
      </c>
      <c r="AJ348" s="21">
        <f t="shared" si="250"/>
        <v>0</v>
      </c>
      <c r="AK348" s="9" t="s">
        <v>57</v>
      </c>
      <c r="AL348" s="9" t="s">
        <v>57</v>
      </c>
      <c r="AM348" s="22">
        <v>0</v>
      </c>
      <c r="AN348" s="23">
        <f t="shared" si="251"/>
        <v>0</v>
      </c>
      <c r="AO348" s="9"/>
      <c r="AP348" s="26">
        <v>0</v>
      </c>
      <c r="AQ348" s="9"/>
    </row>
    <row r="349" spans="2:43" ht="31.5" x14ac:dyDescent="0.25">
      <c r="B349" s="175" t="s">
        <v>139</v>
      </c>
      <c r="C349" s="210" t="s">
        <v>292</v>
      </c>
      <c r="D349" s="93" t="s">
        <v>87</v>
      </c>
      <c r="E349" s="92">
        <v>1</v>
      </c>
      <c r="F349" s="92">
        <v>1</v>
      </c>
      <c r="G349" s="91">
        <v>0</v>
      </c>
      <c r="H349" s="90">
        <f t="shared" ref="H349" si="268">E349*F349*G349</f>
        <v>0</v>
      </c>
      <c r="I349" s="169"/>
      <c r="J349" s="84"/>
      <c r="K349" s="95">
        <f t="shared" ref="K349" si="269">H349</f>
        <v>0</v>
      </c>
      <c r="L349" s="88">
        <f t="shared" ref="L349" si="270">H349</f>
        <v>0</v>
      </c>
      <c r="M349" s="8"/>
      <c r="N349" s="29"/>
      <c r="O349" s="8"/>
      <c r="P349" s="220"/>
      <c r="Q349" s="220"/>
      <c r="R349" s="220"/>
      <c r="S349" s="8"/>
      <c r="T349" s="20"/>
      <c r="U349" s="21">
        <v>0</v>
      </c>
      <c r="V349" s="21">
        <v>0</v>
      </c>
      <c r="W349" s="21">
        <f t="shared" si="221"/>
        <v>0</v>
      </c>
      <c r="X349" s="22">
        <v>1</v>
      </c>
      <c r="Y349" s="23">
        <f t="shared" si="232"/>
        <v>0</v>
      </c>
      <c r="Z349" s="234">
        <f t="shared" si="255"/>
        <v>0</v>
      </c>
      <c r="AA349" s="21">
        <f t="shared" si="219"/>
        <v>0</v>
      </c>
      <c r="AC349" s="9"/>
      <c r="AD349" s="9" t="str">
        <f t="shared" si="245"/>
        <v>14.30</v>
      </c>
      <c r="AE349" s="27">
        <f t="shared" si="246"/>
        <v>0</v>
      </c>
      <c r="AF349" s="21">
        <f t="shared" si="247"/>
        <v>0</v>
      </c>
      <c r="AG349" s="21">
        <v>0</v>
      </c>
      <c r="AH349" s="21">
        <f t="shared" si="248"/>
        <v>0</v>
      </c>
      <c r="AI349" s="21">
        <f t="shared" si="249"/>
        <v>0</v>
      </c>
      <c r="AJ349" s="21">
        <f t="shared" si="250"/>
        <v>0</v>
      </c>
      <c r="AK349" s="9" t="s">
        <v>57</v>
      </c>
      <c r="AL349" s="9" t="s">
        <v>57</v>
      </c>
      <c r="AM349" s="22">
        <v>0</v>
      </c>
      <c r="AN349" s="23">
        <f t="shared" si="251"/>
        <v>0</v>
      </c>
      <c r="AO349" s="9"/>
      <c r="AP349" s="26">
        <v>0</v>
      </c>
      <c r="AQ349" s="9"/>
    </row>
    <row r="350" spans="2:43" ht="31.5" x14ac:dyDescent="0.25">
      <c r="B350" s="175" t="s">
        <v>138</v>
      </c>
      <c r="C350" s="210" t="s">
        <v>106</v>
      </c>
      <c r="D350" s="93" t="s">
        <v>87</v>
      </c>
      <c r="E350" s="92">
        <v>1</v>
      </c>
      <c r="F350" s="92">
        <v>1</v>
      </c>
      <c r="G350" s="91">
        <v>0</v>
      </c>
      <c r="H350" s="90">
        <f t="shared" si="256"/>
        <v>0</v>
      </c>
      <c r="I350" s="169"/>
      <c r="J350" s="84"/>
      <c r="K350" s="95">
        <f t="shared" si="257"/>
        <v>0</v>
      </c>
      <c r="L350" s="88">
        <f t="shared" si="258"/>
        <v>0</v>
      </c>
      <c r="M350" s="8"/>
      <c r="N350" s="29"/>
      <c r="O350" s="8"/>
      <c r="P350" s="220"/>
      <c r="Q350" s="220"/>
      <c r="R350" s="220"/>
      <c r="S350" s="8"/>
      <c r="T350" s="20"/>
      <c r="U350" s="21">
        <v>0</v>
      </c>
      <c r="V350" s="21">
        <v>0</v>
      </c>
      <c r="W350" s="21">
        <f t="shared" si="221"/>
        <v>0</v>
      </c>
      <c r="X350" s="22">
        <v>1</v>
      </c>
      <c r="Y350" s="23">
        <f t="shared" si="232"/>
        <v>0</v>
      </c>
      <c r="Z350" s="234">
        <f t="shared" si="255"/>
        <v>0</v>
      </c>
      <c r="AA350" s="21">
        <f t="shared" si="219"/>
        <v>0</v>
      </c>
      <c r="AC350" s="9"/>
      <c r="AD350" s="9" t="str">
        <f t="shared" si="245"/>
        <v>14.31</v>
      </c>
      <c r="AE350" s="27">
        <f t="shared" si="246"/>
        <v>0</v>
      </c>
      <c r="AF350" s="21">
        <f t="shared" si="247"/>
        <v>0</v>
      </c>
      <c r="AG350" s="21">
        <v>0</v>
      </c>
      <c r="AH350" s="21">
        <f t="shared" si="248"/>
        <v>0</v>
      </c>
      <c r="AI350" s="21">
        <f t="shared" si="249"/>
        <v>0</v>
      </c>
      <c r="AJ350" s="21">
        <f t="shared" si="250"/>
        <v>0</v>
      </c>
      <c r="AK350" s="9" t="s">
        <v>57</v>
      </c>
      <c r="AL350" s="9" t="s">
        <v>57</v>
      </c>
      <c r="AM350" s="22">
        <v>0</v>
      </c>
      <c r="AN350" s="23">
        <f t="shared" si="251"/>
        <v>0</v>
      </c>
      <c r="AO350" s="9"/>
      <c r="AP350" s="26">
        <v>0</v>
      </c>
      <c r="AQ350" s="9"/>
    </row>
    <row r="351" spans="2:43" ht="31.5" x14ac:dyDescent="0.25">
      <c r="B351" s="175" t="s">
        <v>137</v>
      </c>
      <c r="C351" s="210" t="s">
        <v>105</v>
      </c>
      <c r="D351" s="93" t="s">
        <v>87</v>
      </c>
      <c r="E351" s="92">
        <v>1</v>
      </c>
      <c r="F351" s="92">
        <v>1</v>
      </c>
      <c r="G351" s="91">
        <v>0</v>
      </c>
      <c r="H351" s="90">
        <f t="shared" si="256"/>
        <v>0</v>
      </c>
      <c r="I351" s="169"/>
      <c r="J351" s="84"/>
      <c r="K351" s="95">
        <f t="shared" si="257"/>
        <v>0</v>
      </c>
      <c r="L351" s="88">
        <f t="shared" si="258"/>
        <v>0</v>
      </c>
      <c r="M351" s="8"/>
      <c r="N351" s="29"/>
      <c r="O351" s="8"/>
      <c r="P351" s="220"/>
      <c r="Q351" s="220"/>
      <c r="R351" s="220"/>
      <c r="S351" s="8"/>
      <c r="T351" s="20"/>
      <c r="U351" s="21">
        <v>0</v>
      </c>
      <c r="V351" s="21">
        <v>0</v>
      </c>
      <c r="W351" s="21">
        <f t="shared" si="221"/>
        <v>0</v>
      </c>
      <c r="X351" s="22">
        <v>1</v>
      </c>
      <c r="Y351" s="23">
        <f t="shared" si="232"/>
        <v>0</v>
      </c>
      <c r="Z351" s="234">
        <f t="shared" si="255"/>
        <v>0</v>
      </c>
      <c r="AA351" s="21">
        <f t="shared" si="219"/>
        <v>0</v>
      </c>
      <c r="AC351" s="9"/>
      <c r="AD351" s="9" t="str">
        <f t="shared" si="245"/>
        <v>14.32</v>
      </c>
      <c r="AE351" s="27">
        <f t="shared" si="246"/>
        <v>0</v>
      </c>
      <c r="AF351" s="21">
        <f t="shared" si="247"/>
        <v>0</v>
      </c>
      <c r="AG351" s="21">
        <v>0</v>
      </c>
      <c r="AH351" s="21">
        <f t="shared" si="248"/>
        <v>0</v>
      </c>
      <c r="AI351" s="21">
        <f t="shared" si="249"/>
        <v>0</v>
      </c>
      <c r="AJ351" s="21">
        <f t="shared" si="250"/>
        <v>0</v>
      </c>
      <c r="AK351" s="9" t="s">
        <v>57</v>
      </c>
      <c r="AL351" s="9" t="s">
        <v>57</v>
      </c>
      <c r="AM351" s="22">
        <v>0</v>
      </c>
      <c r="AN351" s="23">
        <f t="shared" si="251"/>
        <v>0</v>
      </c>
      <c r="AO351" s="9"/>
      <c r="AP351" s="26">
        <v>0</v>
      </c>
      <c r="AQ351" s="9"/>
    </row>
    <row r="352" spans="2:43" ht="31.5" x14ac:dyDescent="0.25">
      <c r="B352" s="175" t="s">
        <v>136</v>
      </c>
      <c r="C352" s="210" t="s">
        <v>104</v>
      </c>
      <c r="D352" s="93" t="s">
        <v>87</v>
      </c>
      <c r="E352" s="92">
        <v>1</v>
      </c>
      <c r="F352" s="92">
        <v>1</v>
      </c>
      <c r="G352" s="91">
        <v>0</v>
      </c>
      <c r="H352" s="90">
        <f t="shared" si="256"/>
        <v>0</v>
      </c>
      <c r="I352" s="169"/>
      <c r="J352" s="84"/>
      <c r="K352" s="95">
        <f t="shared" si="257"/>
        <v>0</v>
      </c>
      <c r="L352" s="88">
        <f t="shared" si="258"/>
        <v>0</v>
      </c>
      <c r="M352" s="8"/>
      <c r="N352" s="29"/>
      <c r="O352" s="8"/>
      <c r="P352" s="220"/>
      <c r="Q352" s="220"/>
      <c r="R352" s="220"/>
      <c r="S352" s="8"/>
      <c r="T352" s="20"/>
      <c r="U352" s="21">
        <v>0</v>
      </c>
      <c r="V352" s="21">
        <v>0</v>
      </c>
      <c r="W352" s="21">
        <f t="shared" si="221"/>
        <v>0</v>
      </c>
      <c r="X352" s="22">
        <v>1</v>
      </c>
      <c r="Y352" s="23">
        <f t="shared" si="232"/>
        <v>0</v>
      </c>
      <c r="Z352" s="234">
        <f t="shared" si="255"/>
        <v>0</v>
      </c>
      <c r="AA352" s="21">
        <f t="shared" ref="AA352:AA354" si="271">(W352+Z352)-Y352</f>
        <v>0</v>
      </c>
      <c r="AC352" s="9"/>
      <c r="AD352" s="9" t="str">
        <f t="shared" si="245"/>
        <v>14.33</v>
      </c>
      <c r="AE352" s="27">
        <f t="shared" si="246"/>
        <v>0</v>
      </c>
      <c r="AF352" s="21">
        <f t="shared" si="247"/>
        <v>0</v>
      </c>
      <c r="AG352" s="21">
        <v>0</v>
      </c>
      <c r="AH352" s="21">
        <f t="shared" si="248"/>
        <v>0</v>
      </c>
      <c r="AI352" s="21">
        <f t="shared" si="249"/>
        <v>0</v>
      </c>
      <c r="AJ352" s="21">
        <f t="shared" si="250"/>
        <v>0</v>
      </c>
      <c r="AK352" s="9" t="s">
        <v>57</v>
      </c>
      <c r="AL352" s="9" t="s">
        <v>57</v>
      </c>
      <c r="AM352" s="22">
        <v>0</v>
      </c>
      <c r="AN352" s="23">
        <f t="shared" si="251"/>
        <v>0</v>
      </c>
      <c r="AO352" s="9"/>
      <c r="AP352" s="26">
        <v>0</v>
      </c>
      <c r="AQ352" s="9"/>
    </row>
    <row r="353" spans="2:43" ht="31.5" x14ac:dyDescent="0.25">
      <c r="B353" s="175" t="s">
        <v>135</v>
      </c>
      <c r="C353" s="210" t="s">
        <v>282</v>
      </c>
      <c r="D353" s="93" t="s">
        <v>87</v>
      </c>
      <c r="E353" s="92">
        <v>1</v>
      </c>
      <c r="F353" s="92">
        <v>1</v>
      </c>
      <c r="G353" s="91">
        <v>0</v>
      </c>
      <c r="H353" s="90">
        <f t="shared" ref="H353" si="272">E353*F353*G353</f>
        <v>0</v>
      </c>
      <c r="I353" s="169"/>
      <c r="J353" s="84"/>
      <c r="K353" s="95">
        <f t="shared" ref="K353" si="273">H353</f>
        <v>0</v>
      </c>
      <c r="L353" s="88">
        <f t="shared" ref="L353" si="274">H353</f>
        <v>0</v>
      </c>
      <c r="M353" s="8"/>
      <c r="N353" s="29"/>
      <c r="O353" s="8"/>
      <c r="P353" s="220"/>
      <c r="Q353" s="220"/>
      <c r="R353" s="220"/>
      <c r="S353" s="8"/>
      <c r="T353" s="20"/>
      <c r="U353" s="21">
        <v>0</v>
      </c>
      <c r="V353" s="21">
        <v>0</v>
      </c>
      <c r="W353" s="21">
        <f t="shared" si="221"/>
        <v>0</v>
      </c>
      <c r="X353" s="22">
        <v>1</v>
      </c>
      <c r="Y353" s="23">
        <f t="shared" si="232"/>
        <v>0</v>
      </c>
      <c r="Z353" s="234">
        <f t="shared" si="255"/>
        <v>0</v>
      </c>
      <c r="AA353" s="21">
        <f t="shared" si="271"/>
        <v>0</v>
      </c>
      <c r="AC353" s="9"/>
      <c r="AD353" s="9" t="str">
        <f t="shared" si="245"/>
        <v>14.34</v>
      </c>
      <c r="AE353" s="27">
        <f t="shared" si="246"/>
        <v>0</v>
      </c>
      <c r="AF353" s="21">
        <f t="shared" si="247"/>
        <v>0</v>
      </c>
      <c r="AG353" s="21">
        <v>0</v>
      </c>
      <c r="AH353" s="21">
        <f t="shared" si="248"/>
        <v>0</v>
      </c>
      <c r="AI353" s="21">
        <f t="shared" si="249"/>
        <v>0</v>
      </c>
      <c r="AJ353" s="21">
        <f t="shared" si="250"/>
        <v>0</v>
      </c>
      <c r="AK353" s="9" t="s">
        <v>57</v>
      </c>
      <c r="AL353" s="9" t="s">
        <v>57</v>
      </c>
      <c r="AM353" s="22">
        <v>0</v>
      </c>
      <c r="AN353" s="23">
        <f t="shared" si="251"/>
        <v>0</v>
      </c>
      <c r="AO353" s="9"/>
      <c r="AP353" s="26">
        <v>0</v>
      </c>
      <c r="AQ353" s="9"/>
    </row>
    <row r="354" spans="2:43" ht="31.5" x14ac:dyDescent="0.25">
      <c r="B354" s="175" t="s">
        <v>134</v>
      </c>
      <c r="C354" s="210" t="s">
        <v>103</v>
      </c>
      <c r="D354" s="93" t="s">
        <v>87</v>
      </c>
      <c r="E354" s="92">
        <v>1</v>
      </c>
      <c r="F354" s="92">
        <v>1</v>
      </c>
      <c r="G354" s="91">
        <v>0</v>
      </c>
      <c r="H354" s="90">
        <f t="shared" si="256"/>
        <v>0</v>
      </c>
      <c r="I354" s="169"/>
      <c r="J354" s="84"/>
      <c r="K354" s="95">
        <f t="shared" si="257"/>
        <v>0</v>
      </c>
      <c r="L354" s="88">
        <f t="shared" si="258"/>
        <v>0</v>
      </c>
      <c r="M354" s="8"/>
      <c r="N354" s="29"/>
      <c r="O354" s="8"/>
      <c r="P354" s="220"/>
      <c r="Q354" s="220"/>
      <c r="R354" s="220"/>
      <c r="S354" s="8"/>
      <c r="T354" s="20"/>
      <c r="U354" s="21">
        <v>0</v>
      </c>
      <c r="V354" s="21">
        <v>0</v>
      </c>
      <c r="W354" s="21">
        <f t="shared" ref="W354" si="275">(H354-U354)-V354</f>
        <v>0</v>
      </c>
      <c r="X354" s="22">
        <v>1</v>
      </c>
      <c r="Y354" s="23">
        <f t="shared" si="232"/>
        <v>0</v>
      </c>
      <c r="Z354" s="234">
        <f t="shared" si="255"/>
        <v>0</v>
      </c>
      <c r="AA354" s="21">
        <f t="shared" si="271"/>
        <v>0</v>
      </c>
      <c r="AC354" s="9"/>
      <c r="AD354" s="9" t="str">
        <f t="shared" si="245"/>
        <v>14.35</v>
      </c>
      <c r="AE354" s="27">
        <f t="shared" si="246"/>
        <v>0</v>
      </c>
      <c r="AF354" s="21">
        <f t="shared" si="247"/>
        <v>0</v>
      </c>
      <c r="AG354" s="21">
        <v>0</v>
      </c>
      <c r="AH354" s="21">
        <f t="shared" si="248"/>
        <v>0</v>
      </c>
      <c r="AI354" s="21">
        <f t="shared" si="249"/>
        <v>0</v>
      </c>
      <c r="AJ354" s="21">
        <f t="shared" si="250"/>
        <v>0</v>
      </c>
      <c r="AK354" s="9" t="s">
        <v>57</v>
      </c>
      <c r="AL354" s="9" t="s">
        <v>57</v>
      </c>
      <c r="AM354" s="22">
        <v>0</v>
      </c>
      <c r="AN354" s="23">
        <f t="shared" si="251"/>
        <v>0</v>
      </c>
      <c r="AO354" s="9"/>
      <c r="AP354" s="26">
        <v>0</v>
      </c>
      <c r="AQ354" s="9"/>
    </row>
    <row r="355" spans="2:43" ht="38.25" x14ac:dyDescent="0.25">
      <c r="B355" s="165">
        <v>15</v>
      </c>
      <c r="C355" s="87" t="s">
        <v>238</v>
      </c>
      <c r="D355" s="87"/>
      <c r="E355" s="87"/>
      <c r="F355" s="87"/>
      <c r="G355" s="87"/>
      <c r="H355" s="87"/>
      <c r="I355" s="166">
        <f>SUM(H356:H371)</f>
        <v>0</v>
      </c>
      <c r="J355" s="84"/>
      <c r="K355" s="99" t="s">
        <v>75</v>
      </c>
      <c r="L355" s="98" t="str">
        <f>L$15</f>
        <v>30 DIAS</v>
      </c>
      <c r="N355" s="33"/>
      <c r="P355" s="218" t="s">
        <v>506</v>
      </c>
      <c r="Q355" s="218" t="s">
        <v>507</v>
      </c>
      <c r="R355" s="218" t="s">
        <v>508</v>
      </c>
      <c r="T355" s="144" t="s">
        <v>22</v>
      </c>
      <c r="U355" s="145" t="s">
        <v>23</v>
      </c>
      <c r="V355" s="146" t="s">
        <v>523</v>
      </c>
      <c r="W355" s="146" t="s">
        <v>24</v>
      </c>
      <c r="X355" s="333" t="s">
        <v>68</v>
      </c>
      <c r="Y355" s="334"/>
      <c r="Z355" s="147" t="s">
        <v>25</v>
      </c>
      <c r="AA355" s="147" t="s">
        <v>26</v>
      </c>
      <c r="AB355" s="148"/>
      <c r="AC355" s="149" t="s">
        <v>16</v>
      </c>
      <c r="AD355" s="149" t="s">
        <v>17</v>
      </c>
      <c r="AE355" s="150" t="s">
        <v>22</v>
      </c>
      <c r="AF355" s="151" t="s">
        <v>23</v>
      </c>
      <c r="AG355" s="146" t="s">
        <v>523</v>
      </c>
      <c r="AH355" s="152" t="s">
        <v>24</v>
      </c>
      <c r="AI355" s="153" t="s">
        <v>25</v>
      </c>
      <c r="AJ355" s="153" t="s">
        <v>26</v>
      </c>
      <c r="AK355" s="149" t="s">
        <v>18</v>
      </c>
      <c r="AL355" s="149" t="s">
        <v>67</v>
      </c>
      <c r="AM355" s="333" t="s">
        <v>68</v>
      </c>
      <c r="AN355" s="334"/>
      <c r="AO355" s="149" t="s">
        <v>19</v>
      </c>
      <c r="AP355" s="149" t="s">
        <v>20</v>
      </c>
      <c r="AQ355" s="154" t="s">
        <v>21</v>
      </c>
    </row>
    <row r="356" spans="2:43" x14ac:dyDescent="0.25">
      <c r="B356" s="173"/>
      <c r="C356" s="121" t="s">
        <v>278</v>
      </c>
      <c r="D356" s="120"/>
      <c r="E356" s="119"/>
      <c r="F356" s="119"/>
      <c r="G356" s="118"/>
      <c r="H356" s="115"/>
      <c r="I356" s="174"/>
      <c r="J356" s="84"/>
      <c r="K356" s="117"/>
      <c r="L356" s="116"/>
      <c r="M356" s="8"/>
      <c r="N356" s="29"/>
      <c r="O356" s="8"/>
      <c r="P356" s="190"/>
      <c r="Q356" s="190"/>
      <c r="R356" s="190"/>
      <c r="S356" s="8"/>
      <c r="T356" s="190"/>
      <c r="U356" s="190"/>
      <c r="V356" s="232"/>
      <c r="W356" s="190"/>
      <c r="X356" s="190"/>
      <c r="Y356" s="190"/>
      <c r="Z356" s="190"/>
      <c r="AA356" s="190"/>
      <c r="AB356" s="148"/>
      <c r="AC356" s="190"/>
      <c r="AD356" s="190"/>
      <c r="AE356" s="190"/>
      <c r="AF356" s="190"/>
      <c r="AG356" s="232"/>
      <c r="AH356" s="190"/>
      <c r="AI356" s="190"/>
      <c r="AJ356" s="190"/>
      <c r="AK356" s="190"/>
      <c r="AL356" s="190"/>
      <c r="AM356" s="190"/>
      <c r="AN356" s="190"/>
      <c r="AO356" s="190"/>
      <c r="AP356" s="190"/>
      <c r="AQ356" s="190"/>
    </row>
    <row r="357" spans="2:43" ht="47.25" x14ac:dyDescent="0.25">
      <c r="B357" s="167" t="s">
        <v>132</v>
      </c>
      <c r="C357" s="96" t="s">
        <v>819</v>
      </c>
      <c r="D357" s="93" t="s">
        <v>87</v>
      </c>
      <c r="E357" s="92">
        <v>1</v>
      </c>
      <c r="F357" s="92">
        <v>1</v>
      </c>
      <c r="G357" s="91">
        <v>0</v>
      </c>
      <c r="H357" s="90">
        <f t="shared" ref="H357:H369" si="276">E357*F357*G357</f>
        <v>0</v>
      </c>
      <c r="I357" s="168"/>
      <c r="J357" s="84"/>
      <c r="K357" s="95">
        <v>0</v>
      </c>
      <c r="L357" s="127">
        <f t="shared" ref="L357:L369" si="277">H357</f>
        <v>0</v>
      </c>
      <c r="M357" s="16"/>
      <c r="N357" s="33"/>
      <c r="O357" s="16"/>
      <c r="P357" s="219"/>
      <c r="Q357" s="219"/>
      <c r="R357" s="219"/>
      <c r="S357" s="16"/>
      <c r="T357" s="20"/>
      <c r="U357" s="21">
        <v>0</v>
      </c>
      <c r="V357" s="21">
        <v>0</v>
      </c>
      <c r="W357" s="21">
        <f t="shared" ref="W357:W405" si="278">(H357-U357)-V357</f>
        <v>0</v>
      </c>
      <c r="X357" s="22">
        <v>1</v>
      </c>
      <c r="Y357" s="23">
        <f t="shared" ref="Y357:Y369" si="279">W357-(W357*X357)</f>
        <v>0</v>
      </c>
      <c r="Z357" s="21">
        <f t="shared" ref="Z357:Z369" si="280">U357*10%</f>
        <v>0</v>
      </c>
      <c r="AA357" s="21">
        <f t="shared" ref="AA357:AA419" si="281">(W357+Z357)-Y357</f>
        <v>0</v>
      </c>
      <c r="AB357" s="148"/>
      <c r="AC357" s="9"/>
      <c r="AD357" s="9" t="str">
        <f t="shared" ref="AD357:AD369" si="282">B357</f>
        <v>15.1</v>
      </c>
      <c r="AE357" s="27">
        <f t="shared" ref="AE357:AE369" si="283">T357</f>
        <v>0</v>
      </c>
      <c r="AF357" s="21">
        <f t="shared" ref="AF357:AF369" si="284">U357</f>
        <v>0</v>
      </c>
      <c r="AG357" s="21">
        <v>0</v>
      </c>
      <c r="AH357" s="21">
        <f t="shared" ref="AH357:AH369" si="285">H357-AF357</f>
        <v>0</v>
      </c>
      <c r="AI357" s="21">
        <f t="shared" ref="AI357:AI369" si="286">AF357*10%</f>
        <v>0</v>
      </c>
      <c r="AJ357" s="21">
        <f t="shared" ref="AJ357:AJ369" si="287">AN357+AI357</f>
        <v>0</v>
      </c>
      <c r="AK357" s="9" t="s">
        <v>57</v>
      </c>
      <c r="AL357" s="9" t="s">
        <v>57</v>
      </c>
      <c r="AM357" s="22">
        <v>0</v>
      </c>
      <c r="AN357" s="23">
        <f t="shared" ref="AN357:AN369" si="288">(AH357-(AH357*AM357))</f>
        <v>0</v>
      </c>
      <c r="AO357" s="9"/>
      <c r="AP357" s="26">
        <v>0</v>
      </c>
      <c r="AQ357" s="9"/>
    </row>
    <row r="358" spans="2:43" ht="47.25" x14ac:dyDescent="0.25">
      <c r="B358" s="167" t="s">
        <v>131</v>
      </c>
      <c r="C358" s="96" t="s">
        <v>820</v>
      </c>
      <c r="D358" s="93" t="s">
        <v>87</v>
      </c>
      <c r="E358" s="92">
        <v>1</v>
      </c>
      <c r="F358" s="92">
        <v>1</v>
      </c>
      <c r="G358" s="91">
        <v>0</v>
      </c>
      <c r="H358" s="90">
        <f t="shared" si="276"/>
        <v>0</v>
      </c>
      <c r="I358" s="168"/>
      <c r="J358" s="84"/>
      <c r="K358" s="95">
        <v>0</v>
      </c>
      <c r="L358" s="127">
        <f t="shared" si="277"/>
        <v>0</v>
      </c>
      <c r="M358" s="11"/>
      <c r="N358" s="33"/>
      <c r="O358" s="11"/>
      <c r="P358" s="219"/>
      <c r="Q358" s="219"/>
      <c r="R358" s="219"/>
      <c r="S358" s="11"/>
      <c r="T358" s="20"/>
      <c r="U358" s="21">
        <v>0</v>
      </c>
      <c r="V358" s="21">
        <v>0</v>
      </c>
      <c r="W358" s="21">
        <f t="shared" si="278"/>
        <v>0</v>
      </c>
      <c r="X358" s="22">
        <v>1</v>
      </c>
      <c r="Y358" s="23">
        <f t="shared" si="279"/>
        <v>0</v>
      </c>
      <c r="Z358" s="21">
        <f t="shared" si="280"/>
        <v>0</v>
      </c>
      <c r="AA358" s="21">
        <f t="shared" si="281"/>
        <v>0</v>
      </c>
      <c r="AB358" s="148"/>
      <c r="AC358" s="9"/>
      <c r="AD358" s="9" t="str">
        <f t="shared" si="282"/>
        <v>15.2</v>
      </c>
      <c r="AE358" s="27">
        <f t="shared" si="283"/>
        <v>0</v>
      </c>
      <c r="AF358" s="21">
        <f t="shared" si="284"/>
        <v>0</v>
      </c>
      <c r="AG358" s="21">
        <v>0</v>
      </c>
      <c r="AH358" s="21">
        <f t="shared" si="285"/>
        <v>0</v>
      </c>
      <c r="AI358" s="21">
        <f t="shared" si="286"/>
        <v>0</v>
      </c>
      <c r="AJ358" s="21">
        <f t="shared" si="287"/>
        <v>0</v>
      </c>
      <c r="AK358" s="9" t="s">
        <v>57</v>
      </c>
      <c r="AL358" s="9" t="s">
        <v>57</v>
      </c>
      <c r="AM358" s="22">
        <v>0</v>
      </c>
      <c r="AN358" s="23">
        <f t="shared" si="288"/>
        <v>0</v>
      </c>
      <c r="AO358" s="9"/>
      <c r="AP358" s="26">
        <v>0</v>
      </c>
      <c r="AQ358" s="9"/>
    </row>
    <row r="359" spans="2:43" ht="94.5" x14ac:dyDescent="0.25">
      <c r="B359" s="167" t="s">
        <v>129</v>
      </c>
      <c r="C359" s="108" t="s">
        <v>821</v>
      </c>
      <c r="D359" s="93" t="s">
        <v>87</v>
      </c>
      <c r="E359" s="92">
        <v>1</v>
      </c>
      <c r="F359" s="92">
        <v>1</v>
      </c>
      <c r="G359" s="91">
        <v>0</v>
      </c>
      <c r="H359" s="90">
        <f t="shared" si="276"/>
        <v>0</v>
      </c>
      <c r="I359" s="168"/>
      <c r="J359" s="84"/>
      <c r="K359" s="95">
        <v>0</v>
      </c>
      <c r="L359" s="127">
        <f t="shared" si="277"/>
        <v>0</v>
      </c>
      <c r="M359" s="84"/>
      <c r="N359" s="33"/>
      <c r="O359" s="84"/>
      <c r="P359" s="219"/>
      <c r="Q359" s="219"/>
      <c r="R359" s="219"/>
      <c r="S359" s="84"/>
      <c r="T359" s="202"/>
      <c r="U359" s="21">
        <v>0</v>
      </c>
      <c r="V359" s="21">
        <v>0</v>
      </c>
      <c r="W359" s="21">
        <f t="shared" si="278"/>
        <v>0</v>
      </c>
      <c r="X359" s="22">
        <v>1</v>
      </c>
      <c r="Y359" s="23">
        <f t="shared" ref="Y359" si="289">W359-(W359*X359)</f>
        <v>0</v>
      </c>
      <c r="Z359" s="21">
        <f t="shared" si="280"/>
        <v>0</v>
      </c>
      <c r="AA359" s="21">
        <f t="shared" si="281"/>
        <v>0</v>
      </c>
      <c r="AB359" s="148"/>
      <c r="AC359" s="9"/>
      <c r="AD359" s="9" t="str">
        <f t="shared" si="282"/>
        <v>15.3</v>
      </c>
      <c r="AE359" s="27">
        <f t="shared" si="283"/>
        <v>0</v>
      </c>
      <c r="AF359" s="21">
        <f t="shared" si="284"/>
        <v>0</v>
      </c>
      <c r="AG359" s="21">
        <v>0</v>
      </c>
      <c r="AH359" s="21">
        <f t="shared" si="285"/>
        <v>0</v>
      </c>
      <c r="AI359" s="21">
        <f t="shared" si="286"/>
        <v>0</v>
      </c>
      <c r="AJ359" s="21">
        <f t="shared" si="287"/>
        <v>0</v>
      </c>
      <c r="AK359" s="9" t="s">
        <v>57</v>
      </c>
      <c r="AL359" s="9" t="s">
        <v>57</v>
      </c>
      <c r="AM359" s="22">
        <v>0</v>
      </c>
      <c r="AN359" s="23">
        <f t="shared" si="288"/>
        <v>0</v>
      </c>
      <c r="AO359" s="9"/>
      <c r="AP359" s="26">
        <v>0</v>
      </c>
      <c r="AQ359" s="9"/>
    </row>
    <row r="360" spans="2:43" ht="110.25" x14ac:dyDescent="0.25">
      <c r="B360" s="167" t="s">
        <v>487</v>
      </c>
      <c r="C360" s="96" t="s">
        <v>822</v>
      </c>
      <c r="D360" s="93" t="s">
        <v>87</v>
      </c>
      <c r="E360" s="92">
        <v>1</v>
      </c>
      <c r="F360" s="92">
        <v>1</v>
      </c>
      <c r="G360" s="91">
        <v>0</v>
      </c>
      <c r="H360" s="90">
        <f t="shared" si="276"/>
        <v>0</v>
      </c>
      <c r="I360" s="168"/>
      <c r="J360" s="84"/>
      <c r="K360" s="95">
        <v>0</v>
      </c>
      <c r="L360" s="127">
        <f t="shared" si="277"/>
        <v>0</v>
      </c>
      <c r="M360" s="7"/>
      <c r="N360" s="33"/>
      <c r="O360" s="7"/>
      <c r="P360" s="219"/>
      <c r="Q360" s="219"/>
      <c r="R360" s="219"/>
      <c r="S360" s="7"/>
      <c r="T360" s="20"/>
      <c r="U360" s="21">
        <v>0</v>
      </c>
      <c r="V360" s="21">
        <v>0</v>
      </c>
      <c r="W360" s="21">
        <f t="shared" si="278"/>
        <v>0</v>
      </c>
      <c r="X360" s="22">
        <v>1</v>
      </c>
      <c r="Y360" s="23">
        <f t="shared" si="279"/>
        <v>0</v>
      </c>
      <c r="Z360" s="21">
        <f t="shared" si="280"/>
        <v>0</v>
      </c>
      <c r="AA360" s="21">
        <f t="shared" si="281"/>
        <v>0</v>
      </c>
      <c r="AB360" s="148"/>
      <c r="AC360" s="9"/>
      <c r="AD360" s="9" t="str">
        <f t="shared" si="282"/>
        <v>15.4</v>
      </c>
      <c r="AE360" s="27">
        <f t="shared" si="283"/>
        <v>0</v>
      </c>
      <c r="AF360" s="21">
        <f t="shared" si="284"/>
        <v>0</v>
      </c>
      <c r="AG360" s="21">
        <v>0</v>
      </c>
      <c r="AH360" s="21">
        <f t="shared" si="285"/>
        <v>0</v>
      </c>
      <c r="AI360" s="21">
        <f t="shared" si="286"/>
        <v>0</v>
      </c>
      <c r="AJ360" s="21">
        <f t="shared" si="287"/>
        <v>0</v>
      </c>
      <c r="AK360" s="9" t="s">
        <v>57</v>
      </c>
      <c r="AL360" s="9" t="s">
        <v>57</v>
      </c>
      <c r="AM360" s="22">
        <v>0</v>
      </c>
      <c r="AN360" s="23">
        <f t="shared" si="288"/>
        <v>0</v>
      </c>
      <c r="AO360" s="9"/>
      <c r="AP360" s="26">
        <v>0</v>
      </c>
      <c r="AQ360" s="9"/>
    </row>
    <row r="361" spans="2:43" ht="47.25" x14ac:dyDescent="0.25">
      <c r="B361" s="167" t="s">
        <v>488</v>
      </c>
      <c r="C361" s="96" t="s">
        <v>823</v>
      </c>
      <c r="D361" s="93" t="s">
        <v>87</v>
      </c>
      <c r="E361" s="92">
        <v>1</v>
      </c>
      <c r="F361" s="92">
        <v>1</v>
      </c>
      <c r="G361" s="91">
        <v>0</v>
      </c>
      <c r="H361" s="90">
        <f t="shared" si="276"/>
        <v>0</v>
      </c>
      <c r="I361" s="168"/>
      <c r="J361" s="84"/>
      <c r="K361" s="95">
        <v>0</v>
      </c>
      <c r="L361" s="127">
        <f t="shared" si="277"/>
        <v>0</v>
      </c>
      <c r="M361" s="7"/>
      <c r="N361" s="33"/>
      <c r="O361" s="7"/>
      <c r="P361" s="219"/>
      <c r="Q361" s="219"/>
      <c r="R361" s="219"/>
      <c r="S361" s="7"/>
      <c r="T361" s="20"/>
      <c r="U361" s="21">
        <v>0</v>
      </c>
      <c r="V361" s="21">
        <v>0</v>
      </c>
      <c r="W361" s="21">
        <f t="shared" si="278"/>
        <v>0</v>
      </c>
      <c r="X361" s="22">
        <v>1</v>
      </c>
      <c r="Y361" s="23">
        <f t="shared" si="279"/>
        <v>0</v>
      </c>
      <c r="Z361" s="21">
        <f t="shared" si="280"/>
        <v>0</v>
      </c>
      <c r="AA361" s="21">
        <f t="shared" si="281"/>
        <v>0</v>
      </c>
      <c r="AB361" s="148"/>
      <c r="AC361" s="9"/>
      <c r="AD361" s="9" t="str">
        <f t="shared" si="282"/>
        <v>15.5</v>
      </c>
      <c r="AE361" s="27">
        <f t="shared" si="283"/>
        <v>0</v>
      </c>
      <c r="AF361" s="21">
        <f t="shared" si="284"/>
        <v>0</v>
      </c>
      <c r="AG361" s="21">
        <v>0</v>
      </c>
      <c r="AH361" s="21">
        <f t="shared" si="285"/>
        <v>0</v>
      </c>
      <c r="AI361" s="21">
        <f t="shared" si="286"/>
        <v>0</v>
      </c>
      <c r="AJ361" s="21">
        <f t="shared" si="287"/>
        <v>0</v>
      </c>
      <c r="AK361" s="9" t="s">
        <v>57</v>
      </c>
      <c r="AL361" s="9" t="s">
        <v>57</v>
      </c>
      <c r="AM361" s="22">
        <v>0</v>
      </c>
      <c r="AN361" s="23">
        <f t="shared" si="288"/>
        <v>0</v>
      </c>
      <c r="AO361" s="9"/>
      <c r="AP361" s="26">
        <v>0</v>
      </c>
      <c r="AQ361" s="9"/>
    </row>
    <row r="362" spans="2:43" ht="47.25" x14ac:dyDescent="0.25">
      <c r="B362" s="167" t="s">
        <v>489</v>
      </c>
      <c r="C362" s="96" t="s">
        <v>824</v>
      </c>
      <c r="D362" s="93" t="s">
        <v>87</v>
      </c>
      <c r="E362" s="92">
        <v>1</v>
      </c>
      <c r="F362" s="92">
        <v>1</v>
      </c>
      <c r="G362" s="91">
        <v>0</v>
      </c>
      <c r="H362" s="90">
        <f t="shared" si="276"/>
        <v>0</v>
      </c>
      <c r="I362" s="168"/>
      <c r="J362" s="84"/>
      <c r="K362" s="95">
        <v>0</v>
      </c>
      <c r="L362" s="127">
        <f t="shared" si="277"/>
        <v>0</v>
      </c>
      <c r="M362" s="7"/>
      <c r="N362" s="33"/>
      <c r="O362" s="7"/>
      <c r="P362" s="219"/>
      <c r="Q362" s="219"/>
      <c r="R362" s="219"/>
      <c r="S362" s="7"/>
      <c r="T362" s="20"/>
      <c r="U362" s="21">
        <v>0</v>
      </c>
      <c r="V362" s="21">
        <v>0</v>
      </c>
      <c r="W362" s="21">
        <f t="shared" si="278"/>
        <v>0</v>
      </c>
      <c r="X362" s="22">
        <v>1</v>
      </c>
      <c r="Y362" s="23">
        <f t="shared" si="279"/>
        <v>0</v>
      </c>
      <c r="Z362" s="21">
        <f t="shared" si="280"/>
        <v>0</v>
      </c>
      <c r="AA362" s="21">
        <f t="shared" si="281"/>
        <v>0</v>
      </c>
      <c r="AB362" s="148"/>
      <c r="AC362" s="9"/>
      <c r="AD362" s="9" t="str">
        <f t="shared" si="282"/>
        <v>15.6</v>
      </c>
      <c r="AE362" s="27">
        <f t="shared" si="283"/>
        <v>0</v>
      </c>
      <c r="AF362" s="21">
        <f t="shared" si="284"/>
        <v>0</v>
      </c>
      <c r="AG362" s="21">
        <v>0</v>
      </c>
      <c r="AH362" s="21">
        <f t="shared" si="285"/>
        <v>0</v>
      </c>
      <c r="AI362" s="21">
        <f t="shared" si="286"/>
        <v>0</v>
      </c>
      <c r="AJ362" s="21">
        <f t="shared" si="287"/>
        <v>0</v>
      </c>
      <c r="AK362" s="9" t="s">
        <v>57</v>
      </c>
      <c r="AL362" s="9" t="s">
        <v>57</v>
      </c>
      <c r="AM362" s="22">
        <v>0</v>
      </c>
      <c r="AN362" s="23">
        <f t="shared" si="288"/>
        <v>0</v>
      </c>
      <c r="AO362" s="9"/>
      <c r="AP362" s="26">
        <v>0</v>
      </c>
      <c r="AQ362" s="9"/>
    </row>
    <row r="363" spans="2:43" ht="47.25" x14ac:dyDescent="0.25">
      <c r="B363" s="167" t="s">
        <v>490</v>
      </c>
      <c r="C363" s="96" t="s">
        <v>825</v>
      </c>
      <c r="D363" s="93" t="s">
        <v>87</v>
      </c>
      <c r="E363" s="92">
        <v>1</v>
      </c>
      <c r="F363" s="92">
        <v>1</v>
      </c>
      <c r="G363" s="91">
        <v>0</v>
      </c>
      <c r="H363" s="90">
        <f t="shared" si="276"/>
        <v>0</v>
      </c>
      <c r="I363" s="168"/>
      <c r="J363" s="84"/>
      <c r="K363" s="95">
        <v>0</v>
      </c>
      <c r="L363" s="127">
        <f t="shared" si="277"/>
        <v>0</v>
      </c>
      <c r="M363" s="7"/>
      <c r="N363" s="33"/>
      <c r="O363" s="7"/>
      <c r="P363" s="219"/>
      <c r="Q363" s="219"/>
      <c r="R363" s="219"/>
      <c r="S363" s="7"/>
      <c r="T363" s="20"/>
      <c r="U363" s="21">
        <v>0</v>
      </c>
      <c r="V363" s="21">
        <v>0</v>
      </c>
      <c r="W363" s="21">
        <f t="shared" si="278"/>
        <v>0</v>
      </c>
      <c r="X363" s="22">
        <v>1</v>
      </c>
      <c r="Y363" s="23">
        <f t="shared" si="279"/>
        <v>0</v>
      </c>
      <c r="Z363" s="21">
        <f t="shared" si="280"/>
        <v>0</v>
      </c>
      <c r="AA363" s="21">
        <f t="shared" si="281"/>
        <v>0</v>
      </c>
      <c r="AB363" s="148"/>
      <c r="AC363" s="9"/>
      <c r="AD363" s="9" t="str">
        <f t="shared" si="282"/>
        <v>15.7</v>
      </c>
      <c r="AE363" s="27">
        <f t="shared" si="283"/>
        <v>0</v>
      </c>
      <c r="AF363" s="21">
        <f t="shared" si="284"/>
        <v>0</v>
      </c>
      <c r="AG363" s="21">
        <v>0</v>
      </c>
      <c r="AH363" s="21">
        <f t="shared" si="285"/>
        <v>0</v>
      </c>
      <c r="AI363" s="21">
        <f t="shared" si="286"/>
        <v>0</v>
      </c>
      <c r="AJ363" s="21">
        <f t="shared" si="287"/>
        <v>0</v>
      </c>
      <c r="AK363" s="9" t="s">
        <v>57</v>
      </c>
      <c r="AL363" s="9" t="s">
        <v>57</v>
      </c>
      <c r="AM363" s="22">
        <v>0</v>
      </c>
      <c r="AN363" s="23">
        <f t="shared" si="288"/>
        <v>0</v>
      </c>
      <c r="AO363" s="9"/>
      <c r="AP363" s="26">
        <v>0</v>
      </c>
      <c r="AQ363" s="9"/>
    </row>
    <row r="364" spans="2:43" ht="63" x14ac:dyDescent="0.25">
      <c r="B364" s="167" t="s">
        <v>491</v>
      </c>
      <c r="C364" s="96" t="s">
        <v>826</v>
      </c>
      <c r="D364" s="93" t="s">
        <v>87</v>
      </c>
      <c r="E364" s="92">
        <v>1</v>
      </c>
      <c r="F364" s="92">
        <v>1</v>
      </c>
      <c r="G364" s="91">
        <v>0</v>
      </c>
      <c r="H364" s="90">
        <f t="shared" si="276"/>
        <v>0</v>
      </c>
      <c r="I364" s="168"/>
      <c r="J364" s="84"/>
      <c r="K364" s="95">
        <v>0</v>
      </c>
      <c r="L364" s="127">
        <f t="shared" si="277"/>
        <v>0</v>
      </c>
      <c r="M364" s="7"/>
      <c r="N364" s="33"/>
      <c r="O364" s="7"/>
      <c r="P364" s="219"/>
      <c r="Q364" s="219"/>
      <c r="R364" s="219"/>
      <c r="S364" s="7"/>
      <c r="T364" s="20"/>
      <c r="U364" s="21">
        <v>0</v>
      </c>
      <c r="V364" s="21">
        <v>0</v>
      </c>
      <c r="W364" s="21">
        <f t="shared" si="278"/>
        <v>0</v>
      </c>
      <c r="X364" s="22">
        <v>1</v>
      </c>
      <c r="Y364" s="23">
        <f t="shared" si="279"/>
        <v>0</v>
      </c>
      <c r="Z364" s="21">
        <f t="shared" si="280"/>
        <v>0</v>
      </c>
      <c r="AA364" s="21">
        <f t="shared" si="281"/>
        <v>0</v>
      </c>
      <c r="AC364" s="9"/>
      <c r="AD364" s="9" t="str">
        <f t="shared" si="282"/>
        <v>15.8</v>
      </c>
      <c r="AE364" s="27">
        <f t="shared" si="283"/>
        <v>0</v>
      </c>
      <c r="AF364" s="21">
        <f t="shared" si="284"/>
        <v>0</v>
      </c>
      <c r="AG364" s="21">
        <v>0</v>
      </c>
      <c r="AH364" s="21">
        <f t="shared" si="285"/>
        <v>0</v>
      </c>
      <c r="AI364" s="21">
        <f t="shared" si="286"/>
        <v>0</v>
      </c>
      <c r="AJ364" s="21">
        <f t="shared" si="287"/>
        <v>0</v>
      </c>
      <c r="AK364" s="9" t="s">
        <v>57</v>
      </c>
      <c r="AL364" s="9" t="s">
        <v>57</v>
      </c>
      <c r="AM364" s="22">
        <v>0</v>
      </c>
      <c r="AN364" s="23">
        <f t="shared" si="288"/>
        <v>0</v>
      </c>
      <c r="AO364" s="9"/>
      <c r="AP364" s="26">
        <v>0</v>
      </c>
      <c r="AQ364" s="9"/>
    </row>
    <row r="365" spans="2:43" ht="63" x14ac:dyDescent="0.25">
      <c r="B365" s="167" t="s">
        <v>492</v>
      </c>
      <c r="C365" s="96" t="s">
        <v>827</v>
      </c>
      <c r="D365" s="93" t="s">
        <v>87</v>
      </c>
      <c r="E365" s="92">
        <v>1</v>
      </c>
      <c r="F365" s="92">
        <v>1</v>
      </c>
      <c r="G365" s="91">
        <v>0</v>
      </c>
      <c r="H365" s="90">
        <f t="shared" si="276"/>
        <v>0</v>
      </c>
      <c r="I365" s="168"/>
      <c r="J365" s="84"/>
      <c r="K365" s="95">
        <v>0</v>
      </c>
      <c r="L365" s="127">
        <f t="shared" si="277"/>
        <v>0</v>
      </c>
      <c r="M365" s="1"/>
      <c r="N365" s="33"/>
      <c r="O365" s="1"/>
      <c r="P365" s="219"/>
      <c r="Q365" s="219"/>
      <c r="R365" s="219"/>
      <c r="S365" s="1"/>
      <c r="T365" s="20"/>
      <c r="U365" s="21">
        <v>0</v>
      </c>
      <c r="V365" s="21">
        <v>0</v>
      </c>
      <c r="W365" s="21">
        <f t="shared" si="278"/>
        <v>0</v>
      </c>
      <c r="X365" s="22">
        <v>1</v>
      </c>
      <c r="Y365" s="23">
        <f t="shared" si="279"/>
        <v>0</v>
      </c>
      <c r="Z365" s="21">
        <f t="shared" si="280"/>
        <v>0</v>
      </c>
      <c r="AA365" s="21">
        <f t="shared" si="281"/>
        <v>0</v>
      </c>
      <c r="AC365" s="9"/>
      <c r="AD365" s="9" t="str">
        <f t="shared" si="282"/>
        <v>15.9</v>
      </c>
      <c r="AE365" s="27">
        <f t="shared" si="283"/>
        <v>0</v>
      </c>
      <c r="AF365" s="21">
        <f t="shared" si="284"/>
        <v>0</v>
      </c>
      <c r="AG365" s="21">
        <v>0</v>
      </c>
      <c r="AH365" s="21">
        <f t="shared" si="285"/>
        <v>0</v>
      </c>
      <c r="AI365" s="21">
        <f t="shared" si="286"/>
        <v>0</v>
      </c>
      <c r="AJ365" s="21">
        <f t="shared" si="287"/>
        <v>0</v>
      </c>
      <c r="AK365" s="9" t="s">
        <v>57</v>
      </c>
      <c r="AL365" s="9" t="s">
        <v>57</v>
      </c>
      <c r="AM365" s="22">
        <v>0</v>
      </c>
      <c r="AN365" s="23">
        <f t="shared" si="288"/>
        <v>0</v>
      </c>
      <c r="AO365" s="9"/>
      <c r="AP365" s="26">
        <v>0</v>
      </c>
      <c r="AQ365" s="9"/>
    </row>
    <row r="366" spans="2:43" ht="63" x14ac:dyDescent="0.25">
      <c r="B366" s="167" t="s">
        <v>493</v>
      </c>
      <c r="C366" s="96" t="s">
        <v>828</v>
      </c>
      <c r="D366" s="93" t="s">
        <v>87</v>
      </c>
      <c r="E366" s="92">
        <v>1</v>
      </c>
      <c r="F366" s="92">
        <v>1</v>
      </c>
      <c r="G366" s="91">
        <v>0</v>
      </c>
      <c r="H366" s="90">
        <f t="shared" si="276"/>
        <v>0</v>
      </c>
      <c r="I366" s="168"/>
      <c r="J366" s="84"/>
      <c r="K366" s="95">
        <v>0</v>
      </c>
      <c r="L366" s="127">
        <f t="shared" si="277"/>
        <v>0</v>
      </c>
      <c r="M366" s="7"/>
      <c r="N366" s="33"/>
      <c r="O366" s="7"/>
      <c r="P366" s="219"/>
      <c r="Q366" s="219"/>
      <c r="R366" s="219"/>
      <c r="S366" s="7"/>
      <c r="T366" s="20"/>
      <c r="U366" s="21">
        <v>0</v>
      </c>
      <c r="V366" s="21">
        <v>0</v>
      </c>
      <c r="W366" s="21">
        <f t="shared" si="278"/>
        <v>0</v>
      </c>
      <c r="X366" s="22">
        <v>1</v>
      </c>
      <c r="Y366" s="23">
        <f t="shared" si="279"/>
        <v>0</v>
      </c>
      <c r="Z366" s="21">
        <f t="shared" si="280"/>
        <v>0</v>
      </c>
      <c r="AA366" s="21">
        <f t="shared" si="281"/>
        <v>0</v>
      </c>
      <c r="AC366" s="9"/>
      <c r="AD366" s="9" t="str">
        <f t="shared" ref="AD366" si="290">B366</f>
        <v>15.10</v>
      </c>
      <c r="AE366" s="27">
        <f t="shared" ref="AE366" si="291">T366</f>
        <v>0</v>
      </c>
      <c r="AF366" s="21">
        <f t="shared" ref="AF366" si="292">U366</f>
        <v>0</v>
      </c>
      <c r="AG366" s="21">
        <v>0</v>
      </c>
      <c r="AH366" s="21">
        <f t="shared" ref="AH366" si="293">H366-AF366</f>
        <v>0</v>
      </c>
      <c r="AI366" s="21">
        <f t="shared" ref="AI366" si="294">AF366*10%</f>
        <v>0</v>
      </c>
      <c r="AJ366" s="21">
        <f t="shared" ref="AJ366" si="295">AN366+AI366</f>
        <v>0</v>
      </c>
      <c r="AK366" s="9" t="s">
        <v>57</v>
      </c>
      <c r="AL366" s="9" t="s">
        <v>57</v>
      </c>
      <c r="AM366" s="22">
        <v>0</v>
      </c>
      <c r="AN366" s="23">
        <f t="shared" ref="AN366" si="296">(AH366-(AH366*AM366))</f>
        <v>0</v>
      </c>
      <c r="AO366" s="9"/>
      <c r="AP366" s="26">
        <v>0</v>
      </c>
      <c r="AQ366" s="9"/>
    </row>
    <row r="367" spans="2:43" ht="47.25" x14ac:dyDescent="0.25">
      <c r="B367" s="167" t="s">
        <v>494</v>
      </c>
      <c r="C367" s="96" t="s">
        <v>829</v>
      </c>
      <c r="D367" s="93" t="s">
        <v>87</v>
      </c>
      <c r="E367" s="92">
        <v>1</v>
      </c>
      <c r="F367" s="92">
        <v>1</v>
      </c>
      <c r="G367" s="91">
        <v>0</v>
      </c>
      <c r="H367" s="90">
        <f t="shared" si="276"/>
        <v>0</v>
      </c>
      <c r="I367" s="168"/>
      <c r="J367" s="84"/>
      <c r="K367" s="95">
        <v>0</v>
      </c>
      <c r="L367" s="127">
        <f t="shared" si="277"/>
        <v>0</v>
      </c>
      <c r="M367" s="7"/>
      <c r="N367" s="32"/>
      <c r="O367" s="7"/>
      <c r="P367" s="219"/>
      <c r="Q367" s="219"/>
      <c r="R367" s="219"/>
      <c r="S367" s="7"/>
      <c r="T367" s="20"/>
      <c r="U367" s="21">
        <v>0</v>
      </c>
      <c r="V367" s="21">
        <v>0</v>
      </c>
      <c r="W367" s="21">
        <f t="shared" si="278"/>
        <v>0</v>
      </c>
      <c r="X367" s="22">
        <v>1</v>
      </c>
      <c r="Y367" s="23">
        <f>W367-(W367*X367)</f>
        <v>0</v>
      </c>
      <c r="Z367" s="21">
        <f t="shared" si="280"/>
        <v>0</v>
      </c>
      <c r="AA367" s="21">
        <f t="shared" si="281"/>
        <v>0</v>
      </c>
      <c r="AC367" s="9"/>
      <c r="AD367" s="9" t="str">
        <f t="shared" si="282"/>
        <v>15.11</v>
      </c>
      <c r="AE367" s="27">
        <f t="shared" si="283"/>
        <v>0</v>
      </c>
      <c r="AF367" s="21">
        <f t="shared" si="284"/>
        <v>0</v>
      </c>
      <c r="AG367" s="21">
        <v>0</v>
      </c>
      <c r="AH367" s="21">
        <f t="shared" si="285"/>
        <v>0</v>
      </c>
      <c r="AI367" s="21">
        <f t="shared" si="286"/>
        <v>0</v>
      </c>
      <c r="AJ367" s="21">
        <f t="shared" si="287"/>
        <v>0</v>
      </c>
      <c r="AK367" s="9" t="s">
        <v>57</v>
      </c>
      <c r="AL367" s="9" t="s">
        <v>57</v>
      </c>
      <c r="AM367" s="22">
        <v>0</v>
      </c>
      <c r="AN367" s="23">
        <f t="shared" si="288"/>
        <v>0</v>
      </c>
      <c r="AO367" s="9"/>
      <c r="AP367" s="26">
        <v>0</v>
      </c>
      <c r="AQ367" s="9"/>
    </row>
    <row r="368" spans="2:43" ht="78.75" x14ac:dyDescent="0.25">
      <c r="B368" s="167" t="s">
        <v>495</v>
      </c>
      <c r="C368" s="96" t="s">
        <v>830</v>
      </c>
      <c r="D368" s="93" t="s">
        <v>87</v>
      </c>
      <c r="E368" s="92">
        <v>1</v>
      </c>
      <c r="F368" s="92">
        <v>1</v>
      </c>
      <c r="G368" s="91">
        <v>0</v>
      </c>
      <c r="H368" s="90">
        <f t="shared" si="276"/>
        <v>0</v>
      </c>
      <c r="I368" s="168"/>
      <c r="J368" s="84"/>
      <c r="K368" s="95">
        <v>0</v>
      </c>
      <c r="L368" s="127">
        <f t="shared" si="277"/>
        <v>0</v>
      </c>
      <c r="M368" s="7"/>
      <c r="N368" s="32"/>
      <c r="O368" s="7"/>
      <c r="P368" s="219"/>
      <c r="Q368" s="219"/>
      <c r="R368" s="219"/>
      <c r="S368" s="7"/>
      <c r="T368" s="20"/>
      <c r="U368" s="21">
        <v>0</v>
      </c>
      <c r="V368" s="21">
        <v>0</v>
      </c>
      <c r="W368" s="21">
        <f t="shared" si="278"/>
        <v>0</v>
      </c>
      <c r="X368" s="22">
        <v>1</v>
      </c>
      <c r="Y368" s="23">
        <f t="shared" si="279"/>
        <v>0</v>
      </c>
      <c r="Z368" s="21">
        <f t="shared" si="280"/>
        <v>0</v>
      </c>
      <c r="AA368" s="21">
        <f t="shared" si="281"/>
        <v>0</v>
      </c>
      <c r="AC368" s="9"/>
      <c r="AD368" s="9" t="str">
        <f t="shared" si="282"/>
        <v>15.12</v>
      </c>
      <c r="AE368" s="27">
        <f t="shared" si="283"/>
        <v>0</v>
      </c>
      <c r="AF368" s="21">
        <f t="shared" si="284"/>
        <v>0</v>
      </c>
      <c r="AG368" s="21">
        <v>0</v>
      </c>
      <c r="AH368" s="21">
        <f t="shared" si="285"/>
        <v>0</v>
      </c>
      <c r="AI368" s="21">
        <f t="shared" si="286"/>
        <v>0</v>
      </c>
      <c r="AJ368" s="21">
        <f t="shared" si="287"/>
        <v>0</v>
      </c>
      <c r="AK368" s="9" t="s">
        <v>57</v>
      </c>
      <c r="AL368" s="9" t="s">
        <v>57</v>
      </c>
      <c r="AM368" s="22">
        <v>0</v>
      </c>
      <c r="AN368" s="23">
        <f t="shared" si="288"/>
        <v>0</v>
      </c>
      <c r="AO368" s="9"/>
      <c r="AP368" s="26">
        <v>0</v>
      </c>
      <c r="AQ368" s="9"/>
    </row>
    <row r="369" spans="2:43" ht="94.5" x14ac:dyDescent="0.25">
      <c r="B369" s="167" t="s">
        <v>496</v>
      </c>
      <c r="C369" s="96" t="s">
        <v>831</v>
      </c>
      <c r="D369" s="93" t="s">
        <v>87</v>
      </c>
      <c r="E369" s="92">
        <v>1</v>
      </c>
      <c r="F369" s="92">
        <v>1</v>
      </c>
      <c r="G369" s="91">
        <v>0</v>
      </c>
      <c r="H369" s="90">
        <f t="shared" si="276"/>
        <v>0</v>
      </c>
      <c r="I369" s="168"/>
      <c r="J369" s="84"/>
      <c r="K369" s="95">
        <v>0</v>
      </c>
      <c r="L369" s="127">
        <f t="shared" si="277"/>
        <v>0</v>
      </c>
      <c r="M369" s="7"/>
      <c r="N369" s="32"/>
      <c r="O369" s="7"/>
      <c r="P369" s="219"/>
      <c r="Q369" s="219"/>
      <c r="R369" s="219"/>
      <c r="S369" s="7"/>
      <c r="T369" s="20"/>
      <c r="U369" s="21">
        <v>0</v>
      </c>
      <c r="V369" s="21">
        <v>0</v>
      </c>
      <c r="W369" s="21">
        <f t="shared" si="278"/>
        <v>0</v>
      </c>
      <c r="X369" s="22">
        <v>1</v>
      </c>
      <c r="Y369" s="23">
        <f t="shared" si="279"/>
        <v>0</v>
      </c>
      <c r="Z369" s="21">
        <f t="shared" si="280"/>
        <v>0</v>
      </c>
      <c r="AA369" s="21">
        <f t="shared" si="281"/>
        <v>0</v>
      </c>
      <c r="AC369" s="9"/>
      <c r="AD369" s="9" t="str">
        <f t="shared" si="282"/>
        <v>15.13</v>
      </c>
      <c r="AE369" s="27">
        <f t="shared" si="283"/>
        <v>0</v>
      </c>
      <c r="AF369" s="21">
        <f t="shared" si="284"/>
        <v>0</v>
      </c>
      <c r="AG369" s="21">
        <v>0</v>
      </c>
      <c r="AH369" s="21">
        <f t="shared" si="285"/>
        <v>0</v>
      </c>
      <c r="AI369" s="21">
        <f t="shared" si="286"/>
        <v>0</v>
      </c>
      <c r="AJ369" s="21">
        <f t="shared" si="287"/>
        <v>0</v>
      </c>
      <c r="AK369" s="9" t="s">
        <v>57</v>
      </c>
      <c r="AL369" s="9" t="s">
        <v>57</v>
      </c>
      <c r="AM369" s="22">
        <v>0</v>
      </c>
      <c r="AN369" s="23">
        <f t="shared" si="288"/>
        <v>0</v>
      </c>
      <c r="AO369" s="9"/>
      <c r="AP369" s="26">
        <v>0</v>
      </c>
      <c r="AQ369" s="9"/>
    </row>
    <row r="370" spans="2:43" x14ac:dyDescent="0.25">
      <c r="B370" s="173"/>
      <c r="C370" s="121" t="s">
        <v>295</v>
      </c>
      <c r="D370" s="120"/>
      <c r="E370" s="119"/>
      <c r="F370" s="119"/>
      <c r="G370" s="118"/>
      <c r="H370" s="115"/>
      <c r="I370" s="174"/>
      <c r="J370" s="84"/>
      <c r="K370" s="117"/>
      <c r="L370" s="116"/>
      <c r="M370" s="8"/>
      <c r="N370" s="29"/>
      <c r="O370" s="8"/>
      <c r="P370" s="190"/>
      <c r="Q370" s="190"/>
      <c r="R370" s="190"/>
      <c r="S370" s="8"/>
      <c r="T370" s="190"/>
      <c r="U370" s="190"/>
      <c r="V370" s="190"/>
      <c r="W370" s="190"/>
      <c r="X370" s="190"/>
      <c r="Y370" s="190"/>
      <c r="Z370" s="190"/>
      <c r="AA370" s="190"/>
      <c r="AC370" s="190"/>
      <c r="AD370" s="190"/>
      <c r="AE370" s="190"/>
      <c r="AF370" s="190"/>
      <c r="AG370" s="190"/>
      <c r="AH370" s="190"/>
      <c r="AI370" s="190"/>
      <c r="AJ370" s="190"/>
      <c r="AK370" s="190"/>
      <c r="AL370" s="190"/>
      <c r="AM370" s="190"/>
      <c r="AN370" s="190"/>
      <c r="AO370" s="190"/>
      <c r="AP370" s="190"/>
      <c r="AQ370" s="190"/>
    </row>
    <row r="371" spans="2:43" ht="42.95" customHeight="1" x14ac:dyDescent="0.25">
      <c r="B371" s="167" t="s">
        <v>497</v>
      </c>
      <c r="C371" s="108" t="s">
        <v>832</v>
      </c>
      <c r="D371" s="93" t="s">
        <v>87</v>
      </c>
      <c r="E371" s="92">
        <v>1</v>
      </c>
      <c r="F371" s="92">
        <v>1</v>
      </c>
      <c r="G371" s="132">
        <v>0</v>
      </c>
      <c r="H371" s="131" t="s">
        <v>257</v>
      </c>
      <c r="I371" s="326"/>
      <c r="J371" s="84"/>
      <c r="K371" s="95">
        <v>0</v>
      </c>
      <c r="L371" s="130" t="str">
        <f t="shared" ref="L371" si="297">H371</f>
        <v>RESPONSABILIDADE CLIENTE</v>
      </c>
      <c r="M371" s="84"/>
      <c r="N371" s="33"/>
      <c r="O371" s="84"/>
      <c r="P371" s="221"/>
      <c r="Q371" s="221"/>
      <c r="R371" s="221"/>
      <c r="S371" s="84"/>
      <c r="T371" s="20" t="str">
        <f t="shared" ref="T371" si="298">L371</f>
        <v>RESPONSABILIDADE CLIENTE</v>
      </c>
      <c r="U371" s="21">
        <v>0</v>
      </c>
      <c r="V371" s="21">
        <v>0</v>
      </c>
      <c r="W371" s="21">
        <v>0</v>
      </c>
      <c r="X371" s="22">
        <v>1</v>
      </c>
      <c r="Y371" s="23">
        <f>W371-(W371*X371)</f>
        <v>0</v>
      </c>
      <c r="Z371" s="21">
        <f>U371*10%</f>
        <v>0</v>
      </c>
      <c r="AA371" s="21">
        <f t="shared" si="281"/>
        <v>0</v>
      </c>
      <c r="AC371" s="9"/>
      <c r="AD371" s="9" t="str">
        <f t="shared" ref="AD371" si="299">B371</f>
        <v>15.14</v>
      </c>
      <c r="AE371" s="27" t="str">
        <f t="shared" ref="AE371" si="300">T371</f>
        <v>RESPONSABILIDADE CLIENTE</v>
      </c>
      <c r="AF371" s="21">
        <f t="shared" ref="AF371" si="301">U371</f>
        <v>0</v>
      </c>
      <c r="AG371" s="21">
        <v>0</v>
      </c>
      <c r="AH371" s="21">
        <v>0</v>
      </c>
      <c r="AI371" s="21">
        <f t="shared" ref="AI371" si="302">AF371*10%</f>
        <v>0</v>
      </c>
      <c r="AJ371" s="21">
        <f t="shared" ref="AJ371" si="303">AN371+AI371</f>
        <v>0</v>
      </c>
      <c r="AK371" s="9" t="s">
        <v>57</v>
      </c>
      <c r="AL371" s="9" t="s">
        <v>57</v>
      </c>
      <c r="AM371" s="22">
        <v>0</v>
      </c>
      <c r="AN371" s="23">
        <f t="shared" ref="AN371" si="304">(AH371-(AH371*AM371))</f>
        <v>0</v>
      </c>
      <c r="AO371" s="9"/>
      <c r="AP371" s="26">
        <v>0</v>
      </c>
      <c r="AQ371" s="9"/>
    </row>
    <row r="372" spans="2:43" ht="38.25" x14ac:dyDescent="0.25">
      <c r="B372" s="165">
        <v>16</v>
      </c>
      <c r="C372" s="87" t="s">
        <v>248</v>
      </c>
      <c r="D372" s="87"/>
      <c r="E372" s="87"/>
      <c r="F372" s="87"/>
      <c r="G372" s="87"/>
      <c r="H372" s="87"/>
      <c r="I372" s="166">
        <f>SUM(H373:H380)</f>
        <v>0</v>
      </c>
      <c r="J372" s="84"/>
      <c r="K372" s="99" t="s">
        <v>75</v>
      </c>
      <c r="L372" s="98" t="str">
        <f>L$15</f>
        <v>30 DIAS</v>
      </c>
      <c r="M372" s="8"/>
      <c r="N372" s="29"/>
      <c r="O372" s="8"/>
      <c r="P372" s="218" t="s">
        <v>506</v>
      </c>
      <c r="Q372" s="218" t="s">
        <v>507</v>
      </c>
      <c r="R372" s="218" t="s">
        <v>508</v>
      </c>
      <c r="S372" s="8"/>
      <c r="T372" s="144" t="s">
        <v>22</v>
      </c>
      <c r="U372" s="145" t="s">
        <v>23</v>
      </c>
      <c r="V372" s="146" t="s">
        <v>523</v>
      </c>
      <c r="W372" s="146" t="s">
        <v>24</v>
      </c>
      <c r="X372" s="333" t="s">
        <v>68</v>
      </c>
      <c r="Y372" s="334"/>
      <c r="Z372" s="147" t="s">
        <v>25</v>
      </c>
      <c r="AA372" s="147" t="s">
        <v>26</v>
      </c>
      <c r="AC372" s="149" t="s">
        <v>16</v>
      </c>
      <c r="AD372" s="149" t="s">
        <v>17</v>
      </c>
      <c r="AE372" s="150" t="s">
        <v>22</v>
      </c>
      <c r="AF372" s="151" t="s">
        <v>23</v>
      </c>
      <c r="AG372" s="146" t="s">
        <v>523</v>
      </c>
      <c r="AH372" s="152" t="s">
        <v>24</v>
      </c>
      <c r="AI372" s="153" t="s">
        <v>25</v>
      </c>
      <c r="AJ372" s="153" t="s">
        <v>26</v>
      </c>
      <c r="AK372" s="149" t="s">
        <v>18</v>
      </c>
      <c r="AL372" s="149" t="s">
        <v>67</v>
      </c>
      <c r="AM372" s="333" t="s">
        <v>68</v>
      </c>
      <c r="AN372" s="334"/>
      <c r="AO372" s="149" t="s">
        <v>19</v>
      </c>
      <c r="AP372" s="149" t="s">
        <v>20</v>
      </c>
      <c r="AQ372" s="154" t="s">
        <v>21</v>
      </c>
    </row>
    <row r="373" spans="2:43" ht="126" x14ac:dyDescent="0.25">
      <c r="B373" s="167" t="s">
        <v>101</v>
      </c>
      <c r="C373" s="108" t="s">
        <v>833</v>
      </c>
      <c r="D373" s="93" t="s">
        <v>87</v>
      </c>
      <c r="E373" s="92">
        <v>1</v>
      </c>
      <c r="F373" s="92">
        <v>1</v>
      </c>
      <c r="G373" s="91">
        <v>0</v>
      </c>
      <c r="H373" s="90">
        <f t="shared" ref="H373:H380" si="305">E373*F373*G373</f>
        <v>0</v>
      </c>
      <c r="I373" s="213"/>
      <c r="J373" s="84"/>
      <c r="K373" s="95">
        <f t="shared" ref="K373:K380" si="306">H373</f>
        <v>0</v>
      </c>
      <c r="L373" s="127">
        <v>0</v>
      </c>
      <c r="M373" s="1"/>
      <c r="N373" s="29"/>
      <c r="O373" s="1"/>
      <c r="P373" s="219"/>
      <c r="Q373" s="219"/>
      <c r="R373" s="219"/>
      <c r="S373" s="1"/>
      <c r="T373" s="20"/>
      <c r="U373" s="21">
        <v>0</v>
      </c>
      <c r="V373" s="21">
        <v>0</v>
      </c>
      <c r="W373" s="21">
        <f t="shared" si="278"/>
        <v>0</v>
      </c>
      <c r="X373" s="22">
        <v>1</v>
      </c>
      <c r="Y373" s="23">
        <f>W373-(W373*X373)</f>
        <v>0</v>
      </c>
      <c r="Z373" s="21">
        <f t="shared" ref="Z373:Z380" si="307">U373*10%</f>
        <v>0</v>
      </c>
      <c r="AA373" s="21">
        <f t="shared" si="281"/>
        <v>0</v>
      </c>
      <c r="AC373" s="9"/>
      <c r="AD373" s="9" t="str">
        <f t="shared" ref="AD373:AD380" si="308">B373</f>
        <v>16.1</v>
      </c>
      <c r="AE373" s="27">
        <f t="shared" ref="AE373:AE380" si="309">T373</f>
        <v>0</v>
      </c>
      <c r="AF373" s="21">
        <f t="shared" ref="AF373:AF380" si="310">U373</f>
        <v>0</v>
      </c>
      <c r="AG373" s="21">
        <v>0</v>
      </c>
      <c r="AH373" s="21">
        <f t="shared" ref="AH373:AH380" si="311">H373-AF373</f>
        <v>0</v>
      </c>
      <c r="AI373" s="21">
        <f t="shared" ref="AI373:AI380" si="312">AF373*10%</f>
        <v>0</v>
      </c>
      <c r="AJ373" s="21">
        <f t="shared" ref="AJ373:AJ380" si="313">AN373+AI373</f>
        <v>0</v>
      </c>
      <c r="AK373" s="9" t="s">
        <v>57</v>
      </c>
      <c r="AL373" s="9" t="s">
        <v>57</v>
      </c>
      <c r="AM373" s="22">
        <v>0</v>
      </c>
      <c r="AN373" s="23">
        <f t="shared" ref="AN373:AN380" si="314">(AH373-(AH373*AM373))</f>
        <v>0</v>
      </c>
      <c r="AO373" s="9"/>
      <c r="AP373" s="26">
        <v>0</v>
      </c>
      <c r="AQ373" s="9"/>
    </row>
    <row r="374" spans="2:43" ht="126" x14ac:dyDescent="0.25">
      <c r="B374" s="167" t="s">
        <v>498</v>
      </c>
      <c r="C374" s="108" t="s">
        <v>834</v>
      </c>
      <c r="D374" s="93" t="s">
        <v>87</v>
      </c>
      <c r="E374" s="92">
        <v>1</v>
      </c>
      <c r="F374" s="92">
        <v>1</v>
      </c>
      <c r="G374" s="91">
        <v>0</v>
      </c>
      <c r="H374" s="90">
        <f t="shared" si="305"/>
        <v>0</v>
      </c>
      <c r="I374" s="214"/>
      <c r="J374" s="84"/>
      <c r="K374" s="95">
        <f t="shared" si="306"/>
        <v>0</v>
      </c>
      <c r="L374" s="127">
        <v>0</v>
      </c>
      <c r="M374" s="1"/>
      <c r="N374" s="29"/>
      <c r="O374" s="1"/>
      <c r="P374" s="219"/>
      <c r="Q374" s="219"/>
      <c r="R374" s="219"/>
      <c r="S374" s="1"/>
      <c r="T374" s="20"/>
      <c r="U374" s="21">
        <v>0</v>
      </c>
      <c r="V374" s="21">
        <v>0</v>
      </c>
      <c r="W374" s="21">
        <f t="shared" si="278"/>
        <v>0</v>
      </c>
      <c r="X374" s="22">
        <v>1</v>
      </c>
      <c r="Y374" s="23">
        <f t="shared" ref="Y374:Y419" si="315">W374-(W374*X374)</f>
        <v>0</v>
      </c>
      <c r="Z374" s="21">
        <f t="shared" si="307"/>
        <v>0</v>
      </c>
      <c r="AA374" s="21">
        <f t="shared" si="281"/>
        <v>0</v>
      </c>
      <c r="AC374" s="9"/>
      <c r="AD374" s="9" t="str">
        <f t="shared" si="308"/>
        <v>16.2</v>
      </c>
      <c r="AE374" s="27">
        <f t="shared" si="309"/>
        <v>0</v>
      </c>
      <c r="AF374" s="21">
        <f t="shared" si="310"/>
        <v>0</v>
      </c>
      <c r="AG374" s="21">
        <v>0</v>
      </c>
      <c r="AH374" s="21">
        <f t="shared" si="311"/>
        <v>0</v>
      </c>
      <c r="AI374" s="21">
        <f t="shared" si="312"/>
        <v>0</v>
      </c>
      <c r="AJ374" s="21">
        <f t="shared" si="313"/>
        <v>0</v>
      </c>
      <c r="AK374" s="9" t="s">
        <v>57</v>
      </c>
      <c r="AL374" s="9" t="s">
        <v>57</v>
      </c>
      <c r="AM374" s="22">
        <v>0</v>
      </c>
      <c r="AN374" s="23">
        <f t="shared" si="314"/>
        <v>0</v>
      </c>
      <c r="AO374" s="9"/>
      <c r="AP374" s="26">
        <v>0</v>
      </c>
      <c r="AQ374" s="9"/>
    </row>
    <row r="375" spans="2:43" ht="126" x14ac:dyDescent="0.25">
      <c r="B375" s="167" t="s">
        <v>499</v>
      </c>
      <c r="C375" s="108" t="s">
        <v>835</v>
      </c>
      <c r="D375" s="93" t="s">
        <v>87</v>
      </c>
      <c r="E375" s="92">
        <v>1</v>
      </c>
      <c r="F375" s="92">
        <v>1</v>
      </c>
      <c r="G375" s="91">
        <v>0</v>
      </c>
      <c r="H375" s="90">
        <f t="shared" si="305"/>
        <v>0</v>
      </c>
      <c r="I375" s="214"/>
      <c r="J375" s="84"/>
      <c r="K375" s="95">
        <f t="shared" si="306"/>
        <v>0</v>
      </c>
      <c r="L375" s="127">
        <v>0</v>
      </c>
      <c r="M375" s="7"/>
      <c r="N375" s="29"/>
      <c r="O375" s="7"/>
      <c r="P375" s="219"/>
      <c r="Q375" s="219"/>
      <c r="R375" s="219"/>
      <c r="S375" s="7"/>
      <c r="T375" s="20"/>
      <c r="U375" s="21">
        <v>0</v>
      </c>
      <c r="V375" s="21">
        <v>0</v>
      </c>
      <c r="W375" s="21">
        <f t="shared" si="278"/>
        <v>0</v>
      </c>
      <c r="X375" s="22">
        <v>1</v>
      </c>
      <c r="Y375" s="23">
        <f t="shared" si="315"/>
        <v>0</v>
      </c>
      <c r="Z375" s="21">
        <f t="shared" si="307"/>
        <v>0</v>
      </c>
      <c r="AA375" s="21">
        <f t="shared" si="281"/>
        <v>0</v>
      </c>
      <c r="AC375" s="9"/>
      <c r="AD375" s="9" t="str">
        <f t="shared" si="308"/>
        <v>16.3</v>
      </c>
      <c r="AE375" s="27">
        <f t="shared" si="309"/>
        <v>0</v>
      </c>
      <c r="AF375" s="21">
        <f t="shared" si="310"/>
        <v>0</v>
      </c>
      <c r="AG375" s="21">
        <v>0</v>
      </c>
      <c r="AH375" s="21">
        <f t="shared" si="311"/>
        <v>0</v>
      </c>
      <c r="AI375" s="21">
        <f t="shared" si="312"/>
        <v>0</v>
      </c>
      <c r="AJ375" s="21">
        <f t="shared" si="313"/>
        <v>0</v>
      </c>
      <c r="AK375" s="9" t="s">
        <v>57</v>
      </c>
      <c r="AL375" s="9" t="s">
        <v>57</v>
      </c>
      <c r="AM375" s="22">
        <v>0</v>
      </c>
      <c r="AN375" s="23">
        <f t="shared" si="314"/>
        <v>0</v>
      </c>
      <c r="AO375" s="9"/>
      <c r="AP375" s="26">
        <v>0</v>
      </c>
      <c r="AQ375" s="9"/>
    </row>
    <row r="376" spans="2:43" ht="126" x14ac:dyDescent="0.25">
      <c r="B376" s="167" t="s">
        <v>500</v>
      </c>
      <c r="C376" s="108" t="s">
        <v>836</v>
      </c>
      <c r="D376" s="93" t="s">
        <v>87</v>
      </c>
      <c r="E376" s="92">
        <v>1</v>
      </c>
      <c r="F376" s="92">
        <v>1</v>
      </c>
      <c r="G376" s="91">
        <v>0</v>
      </c>
      <c r="H376" s="90">
        <f t="shared" si="305"/>
        <v>0</v>
      </c>
      <c r="I376" s="214"/>
      <c r="J376" s="84"/>
      <c r="K376" s="95">
        <f t="shared" si="306"/>
        <v>0</v>
      </c>
      <c r="L376" s="127">
        <v>0</v>
      </c>
      <c r="M376" s="14"/>
      <c r="N376" s="29"/>
      <c r="O376" s="14"/>
      <c r="P376" s="219"/>
      <c r="Q376" s="219"/>
      <c r="R376" s="219"/>
      <c r="S376" s="14"/>
      <c r="T376" s="20"/>
      <c r="U376" s="21">
        <v>0</v>
      </c>
      <c r="V376" s="21">
        <v>0</v>
      </c>
      <c r="W376" s="21">
        <f t="shared" si="278"/>
        <v>0</v>
      </c>
      <c r="X376" s="22">
        <v>1</v>
      </c>
      <c r="Y376" s="23">
        <f t="shared" si="315"/>
        <v>0</v>
      </c>
      <c r="Z376" s="21">
        <f t="shared" si="307"/>
        <v>0</v>
      </c>
      <c r="AA376" s="21">
        <f t="shared" si="281"/>
        <v>0</v>
      </c>
      <c r="AC376" s="9"/>
      <c r="AD376" s="9" t="str">
        <f t="shared" si="308"/>
        <v>16.4</v>
      </c>
      <c r="AE376" s="27">
        <f t="shared" si="309"/>
        <v>0</v>
      </c>
      <c r="AF376" s="21">
        <f t="shared" si="310"/>
        <v>0</v>
      </c>
      <c r="AG376" s="21">
        <v>0</v>
      </c>
      <c r="AH376" s="21">
        <f t="shared" si="311"/>
        <v>0</v>
      </c>
      <c r="AI376" s="21">
        <f t="shared" si="312"/>
        <v>0</v>
      </c>
      <c r="AJ376" s="21">
        <f t="shared" si="313"/>
        <v>0</v>
      </c>
      <c r="AK376" s="9" t="s">
        <v>57</v>
      </c>
      <c r="AL376" s="9" t="s">
        <v>57</v>
      </c>
      <c r="AM376" s="22">
        <v>0</v>
      </c>
      <c r="AN376" s="23">
        <f t="shared" si="314"/>
        <v>0</v>
      </c>
      <c r="AO376" s="9"/>
      <c r="AP376" s="26">
        <v>0</v>
      </c>
      <c r="AQ376" s="9"/>
    </row>
    <row r="377" spans="2:43" ht="47.25" x14ac:dyDescent="0.25">
      <c r="B377" s="167" t="s">
        <v>501</v>
      </c>
      <c r="C377" s="108" t="s">
        <v>837</v>
      </c>
      <c r="D377" s="93" t="s">
        <v>87</v>
      </c>
      <c r="E377" s="92">
        <v>1</v>
      </c>
      <c r="F377" s="92">
        <v>1</v>
      </c>
      <c r="G377" s="91">
        <v>0</v>
      </c>
      <c r="H377" s="90">
        <f t="shared" si="305"/>
        <v>0</v>
      </c>
      <c r="I377" s="214"/>
      <c r="J377" s="84"/>
      <c r="K377" s="95">
        <f t="shared" si="306"/>
        <v>0</v>
      </c>
      <c r="L377" s="127">
        <v>0</v>
      </c>
      <c r="M377" s="15"/>
      <c r="N377" s="31"/>
      <c r="O377" s="15"/>
      <c r="P377" s="219"/>
      <c r="Q377" s="219"/>
      <c r="R377" s="219"/>
      <c r="S377" s="15"/>
      <c r="T377" s="20"/>
      <c r="U377" s="21">
        <v>0</v>
      </c>
      <c r="V377" s="21">
        <v>0</v>
      </c>
      <c r="W377" s="21">
        <f t="shared" si="278"/>
        <v>0</v>
      </c>
      <c r="X377" s="22">
        <v>1</v>
      </c>
      <c r="Y377" s="23">
        <f t="shared" si="315"/>
        <v>0</v>
      </c>
      <c r="Z377" s="21">
        <f t="shared" si="307"/>
        <v>0</v>
      </c>
      <c r="AA377" s="21">
        <f t="shared" si="281"/>
        <v>0</v>
      </c>
      <c r="AC377" s="9"/>
      <c r="AD377" s="9" t="str">
        <f t="shared" si="308"/>
        <v>16.5</v>
      </c>
      <c r="AE377" s="27">
        <f t="shared" si="309"/>
        <v>0</v>
      </c>
      <c r="AF377" s="21">
        <f t="shared" si="310"/>
        <v>0</v>
      </c>
      <c r="AG377" s="21">
        <v>0</v>
      </c>
      <c r="AH377" s="21">
        <f t="shared" si="311"/>
        <v>0</v>
      </c>
      <c r="AI377" s="21">
        <f t="shared" si="312"/>
        <v>0</v>
      </c>
      <c r="AJ377" s="21">
        <f t="shared" si="313"/>
        <v>0</v>
      </c>
      <c r="AK377" s="9" t="s">
        <v>57</v>
      </c>
      <c r="AL377" s="9" t="s">
        <v>57</v>
      </c>
      <c r="AM377" s="22">
        <v>0</v>
      </c>
      <c r="AN377" s="23">
        <f t="shared" si="314"/>
        <v>0</v>
      </c>
      <c r="AO377" s="9"/>
      <c r="AP377" s="26">
        <v>0</v>
      </c>
      <c r="AQ377" s="9"/>
    </row>
    <row r="378" spans="2:43" ht="78.75" x14ac:dyDescent="0.25">
      <c r="B378" s="167" t="s">
        <v>502</v>
      </c>
      <c r="C378" s="108" t="s">
        <v>839</v>
      </c>
      <c r="D378" s="93" t="s">
        <v>87</v>
      </c>
      <c r="E378" s="92">
        <v>1</v>
      </c>
      <c r="F378" s="92">
        <v>1</v>
      </c>
      <c r="G378" s="91">
        <v>0</v>
      </c>
      <c r="H378" s="90">
        <f t="shared" si="305"/>
        <v>0</v>
      </c>
      <c r="I378" s="214"/>
      <c r="J378" s="84"/>
      <c r="K378" s="95">
        <f t="shared" si="306"/>
        <v>0</v>
      </c>
      <c r="L378" s="127">
        <v>0</v>
      </c>
      <c r="M378" s="15"/>
      <c r="N378" s="31"/>
      <c r="O378" s="15"/>
      <c r="P378" s="219"/>
      <c r="Q378" s="219"/>
      <c r="R378" s="219"/>
      <c r="S378" s="15"/>
      <c r="T378" s="20"/>
      <c r="U378" s="21">
        <v>0</v>
      </c>
      <c r="V378" s="21">
        <v>0</v>
      </c>
      <c r="W378" s="21">
        <f t="shared" si="278"/>
        <v>0</v>
      </c>
      <c r="X378" s="22">
        <v>1</v>
      </c>
      <c r="Y378" s="23">
        <f t="shared" si="315"/>
        <v>0</v>
      </c>
      <c r="Z378" s="21">
        <f t="shared" si="307"/>
        <v>0</v>
      </c>
      <c r="AA378" s="21">
        <f t="shared" si="281"/>
        <v>0</v>
      </c>
      <c r="AC378" s="9"/>
      <c r="AD378" s="9" t="str">
        <f t="shared" si="308"/>
        <v>16.6</v>
      </c>
      <c r="AE378" s="27">
        <f t="shared" si="309"/>
        <v>0</v>
      </c>
      <c r="AF378" s="21">
        <f t="shared" si="310"/>
        <v>0</v>
      </c>
      <c r="AG378" s="21">
        <v>0</v>
      </c>
      <c r="AH378" s="21">
        <f t="shared" si="311"/>
        <v>0</v>
      </c>
      <c r="AI378" s="21">
        <f t="shared" si="312"/>
        <v>0</v>
      </c>
      <c r="AJ378" s="21">
        <f t="shared" si="313"/>
        <v>0</v>
      </c>
      <c r="AK378" s="9" t="s">
        <v>57</v>
      </c>
      <c r="AL378" s="9" t="s">
        <v>57</v>
      </c>
      <c r="AM378" s="22">
        <v>0</v>
      </c>
      <c r="AN378" s="23">
        <f t="shared" si="314"/>
        <v>0</v>
      </c>
      <c r="AO378" s="9"/>
      <c r="AP378" s="26">
        <v>0</v>
      </c>
      <c r="AQ378" s="9"/>
    </row>
    <row r="379" spans="2:43" ht="63" x14ac:dyDescent="0.25">
      <c r="B379" s="167" t="s">
        <v>503</v>
      </c>
      <c r="C379" s="108" t="s">
        <v>838</v>
      </c>
      <c r="D379" s="93" t="s">
        <v>87</v>
      </c>
      <c r="E379" s="92">
        <v>1</v>
      </c>
      <c r="F379" s="92">
        <v>1</v>
      </c>
      <c r="G379" s="91">
        <v>0</v>
      </c>
      <c r="H379" s="90">
        <f t="shared" si="305"/>
        <v>0</v>
      </c>
      <c r="I379" s="214"/>
      <c r="J379" s="84"/>
      <c r="K379" s="95">
        <f t="shared" si="306"/>
        <v>0</v>
      </c>
      <c r="L379" s="127">
        <v>0</v>
      </c>
      <c r="M379" s="15"/>
      <c r="N379" s="31"/>
      <c r="O379" s="15"/>
      <c r="P379" s="219"/>
      <c r="Q379" s="219"/>
      <c r="R379" s="219"/>
      <c r="S379" s="15"/>
      <c r="T379" s="20"/>
      <c r="U379" s="21">
        <v>0</v>
      </c>
      <c r="V379" s="21">
        <v>0</v>
      </c>
      <c r="W379" s="21">
        <f t="shared" si="278"/>
        <v>0</v>
      </c>
      <c r="X379" s="22">
        <v>1</v>
      </c>
      <c r="Y379" s="23">
        <f t="shared" si="315"/>
        <v>0</v>
      </c>
      <c r="Z379" s="21">
        <f t="shared" si="307"/>
        <v>0</v>
      </c>
      <c r="AA379" s="21">
        <f t="shared" si="281"/>
        <v>0</v>
      </c>
      <c r="AC379" s="9"/>
      <c r="AD379" s="9" t="str">
        <f t="shared" si="308"/>
        <v>16.7</v>
      </c>
      <c r="AE379" s="27">
        <f t="shared" si="309"/>
        <v>0</v>
      </c>
      <c r="AF379" s="21">
        <f t="shared" si="310"/>
        <v>0</v>
      </c>
      <c r="AG379" s="21">
        <v>0</v>
      </c>
      <c r="AH379" s="21">
        <f t="shared" si="311"/>
        <v>0</v>
      </c>
      <c r="AI379" s="21">
        <f t="shared" si="312"/>
        <v>0</v>
      </c>
      <c r="AJ379" s="21">
        <f t="shared" si="313"/>
        <v>0</v>
      </c>
      <c r="AK379" s="9" t="s">
        <v>57</v>
      </c>
      <c r="AL379" s="9" t="s">
        <v>57</v>
      </c>
      <c r="AM379" s="22">
        <v>0</v>
      </c>
      <c r="AN379" s="23">
        <f t="shared" si="314"/>
        <v>0</v>
      </c>
      <c r="AO379" s="9"/>
      <c r="AP379" s="26">
        <v>0</v>
      </c>
      <c r="AQ379" s="9"/>
    </row>
    <row r="380" spans="2:43" ht="63" x14ac:dyDescent="0.25">
      <c r="B380" s="167" t="s">
        <v>504</v>
      </c>
      <c r="C380" s="108" t="s">
        <v>840</v>
      </c>
      <c r="D380" s="93" t="s">
        <v>87</v>
      </c>
      <c r="E380" s="92">
        <v>1</v>
      </c>
      <c r="F380" s="92">
        <v>1</v>
      </c>
      <c r="G380" s="91">
        <v>0</v>
      </c>
      <c r="H380" s="90">
        <f t="shared" si="305"/>
        <v>0</v>
      </c>
      <c r="I380" s="215"/>
      <c r="J380" s="84"/>
      <c r="K380" s="95">
        <f t="shared" si="306"/>
        <v>0</v>
      </c>
      <c r="L380" s="127">
        <v>0</v>
      </c>
      <c r="M380" s="15"/>
      <c r="N380" s="33"/>
      <c r="O380" s="15"/>
      <c r="P380" s="219"/>
      <c r="Q380" s="219"/>
      <c r="R380" s="219"/>
      <c r="S380" s="15"/>
      <c r="T380" s="20"/>
      <c r="U380" s="21">
        <v>0</v>
      </c>
      <c r="V380" s="21">
        <v>0</v>
      </c>
      <c r="W380" s="21">
        <f t="shared" si="278"/>
        <v>0</v>
      </c>
      <c r="X380" s="22">
        <v>1</v>
      </c>
      <c r="Y380" s="23">
        <f t="shared" si="315"/>
        <v>0</v>
      </c>
      <c r="Z380" s="21">
        <f t="shared" si="307"/>
        <v>0</v>
      </c>
      <c r="AA380" s="21">
        <f t="shared" si="281"/>
        <v>0</v>
      </c>
      <c r="AC380" s="9"/>
      <c r="AD380" s="9" t="str">
        <f t="shared" si="308"/>
        <v>16.8</v>
      </c>
      <c r="AE380" s="27">
        <f t="shared" si="309"/>
        <v>0</v>
      </c>
      <c r="AF380" s="21">
        <f t="shared" si="310"/>
        <v>0</v>
      </c>
      <c r="AG380" s="21">
        <v>0</v>
      </c>
      <c r="AH380" s="21">
        <f t="shared" si="311"/>
        <v>0</v>
      </c>
      <c r="AI380" s="21">
        <f t="shared" si="312"/>
        <v>0</v>
      </c>
      <c r="AJ380" s="21">
        <f t="shared" si="313"/>
        <v>0</v>
      </c>
      <c r="AK380" s="9" t="s">
        <v>57</v>
      </c>
      <c r="AL380" s="9" t="s">
        <v>57</v>
      </c>
      <c r="AM380" s="22">
        <v>0</v>
      </c>
      <c r="AN380" s="23">
        <f t="shared" si="314"/>
        <v>0</v>
      </c>
      <c r="AO380" s="9"/>
      <c r="AP380" s="26">
        <v>0</v>
      </c>
      <c r="AQ380" s="9"/>
    </row>
    <row r="381" spans="2:43" ht="38.25" x14ac:dyDescent="0.25">
      <c r="B381" s="165">
        <v>17</v>
      </c>
      <c r="C381" s="87" t="s">
        <v>102</v>
      </c>
      <c r="D381" s="87"/>
      <c r="E381" s="87"/>
      <c r="F381" s="87"/>
      <c r="G381" s="87"/>
      <c r="H381" s="87"/>
      <c r="I381" s="166">
        <f>SUM(H382:H405)</f>
        <v>0</v>
      </c>
      <c r="J381" s="84"/>
      <c r="K381" s="99" t="s">
        <v>75</v>
      </c>
      <c r="L381" s="98" t="str">
        <f>L$15</f>
        <v>30 DIAS</v>
      </c>
      <c r="M381" s="8"/>
      <c r="N381" s="29"/>
      <c r="O381" s="8"/>
      <c r="P381" s="218" t="s">
        <v>506</v>
      </c>
      <c r="Q381" s="218" t="s">
        <v>507</v>
      </c>
      <c r="R381" s="218" t="s">
        <v>508</v>
      </c>
      <c r="S381" s="8"/>
      <c r="T381" s="144" t="s">
        <v>22</v>
      </c>
      <c r="U381" s="145" t="s">
        <v>23</v>
      </c>
      <c r="V381" s="146" t="s">
        <v>523</v>
      </c>
      <c r="W381" s="146" t="s">
        <v>24</v>
      </c>
      <c r="X381" s="333" t="s">
        <v>68</v>
      </c>
      <c r="Y381" s="334"/>
      <c r="Z381" s="147" t="s">
        <v>25</v>
      </c>
      <c r="AA381" s="147" t="s">
        <v>26</v>
      </c>
      <c r="AB381" s="148"/>
      <c r="AC381" s="149" t="s">
        <v>16</v>
      </c>
      <c r="AD381" s="149" t="s">
        <v>17</v>
      </c>
      <c r="AE381" s="150" t="s">
        <v>22</v>
      </c>
      <c r="AF381" s="151" t="s">
        <v>23</v>
      </c>
      <c r="AG381" s="146" t="s">
        <v>523</v>
      </c>
      <c r="AH381" s="152" t="s">
        <v>24</v>
      </c>
      <c r="AI381" s="153" t="s">
        <v>25</v>
      </c>
      <c r="AJ381" s="153" t="s">
        <v>26</v>
      </c>
      <c r="AK381" s="149" t="s">
        <v>18</v>
      </c>
      <c r="AL381" s="149" t="s">
        <v>67</v>
      </c>
      <c r="AM381" s="333" t="s">
        <v>68</v>
      </c>
      <c r="AN381" s="334"/>
      <c r="AO381" s="149" t="s">
        <v>19</v>
      </c>
      <c r="AP381" s="149" t="s">
        <v>20</v>
      </c>
      <c r="AQ381" s="154" t="s">
        <v>21</v>
      </c>
    </row>
    <row r="382" spans="2:43" ht="47.25" x14ac:dyDescent="0.25">
      <c r="B382" s="170" t="s">
        <v>99</v>
      </c>
      <c r="C382" s="96" t="s">
        <v>600</v>
      </c>
      <c r="D382" s="93" t="s">
        <v>87</v>
      </c>
      <c r="E382" s="114">
        <v>1</v>
      </c>
      <c r="F382" s="114">
        <v>1</v>
      </c>
      <c r="G382" s="90">
        <v>0</v>
      </c>
      <c r="H382" s="124">
        <f t="shared" ref="H382" si="316">E382*F382*G382</f>
        <v>0</v>
      </c>
      <c r="I382" s="172"/>
      <c r="J382" s="84"/>
      <c r="K382" s="100">
        <v>0</v>
      </c>
      <c r="L382" s="88">
        <f t="shared" ref="L382" si="317">H382</f>
        <v>0</v>
      </c>
      <c r="M382" s="8"/>
      <c r="N382" s="29"/>
      <c r="O382" s="8"/>
      <c r="P382" s="220"/>
      <c r="Q382" s="220"/>
      <c r="R382" s="220"/>
      <c r="S382" s="8"/>
      <c r="T382" s="20"/>
      <c r="U382" s="21">
        <v>0</v>
      </c>
      <c r="V382" s="21">
        <v>0</v>
      </c>
      <c r="W382" s="21">
        <f t="shared" si="278"/>
        <v>0</v>
      </c>
      <c r="X382" s="22">
        <v>1</v>
      </c>
      <c r="Y382" s="23">
        <f t="shared" si="315"/>
        <v>0</v>
      </c>
      <c r="Z382" s="234">
        <f>U382*0%</f>
        <v>0</v>
      </c>
      <c r="AA382" s="21">
        <f t="shared" si="281"/>
        <v>0</v>
      </c>
      <c r="AC382" s="9"/>
      <c r="AD382" s="9" t="str">
        <f t="shared" ref="AD382:AD405" si="318">B382</f>
        <v>17.1</v>
      </c>
      <c r="AE382" s="27">
        <f t="shared" ref="AE382:AE405" si="319">T382</f>
        <v>0</v>
      </c>
      <c r="AF382" s="21">
        <f t="shared" ref="AF382:AF405" si="320">U382</f>
        <v>0</v>
      </c>
      <c r="AG382" s="21">
        <v>0</v>
      </c>
      <c r="AH382" s="21">
        <f t="shared" ref="AH382:AH405" si="321">H382-AF382</f>
        <v>0</v>
      </c>
      <c r="AI382" s="21">
        <f t="shared" ref="AI382:AI405" si="322">AF382*10%</f>
        <v>0</v>
      </c>
      <c r="AJ382" s="21">
        <f t="shared" ref="AJ382:AJ405" si="323">AN382+AI382</f>
        <v>0</v>
      </c>
      <c r="AK382" s="9" t="s">
        <v>57</v>
      </c>
      <c r="AL382" s="9" t="s">
        <v>57</v>
      </c>
      <c r="AM382" s="22">
        <v>0</v>
      </c>
      <c r="AN382" s="23">
        <f t="shared" ref="AN382:AN405" si="324">(AH382-(AH382*AM382))</f>
        <v>0</v>
      </c>
      <c r="AO382" s="9"/>
      <c r="AP382" s="26">
        <v>0</v>
      </c>
      <c r="AQ382" s="9"/>
    </row>
    <row r="383" spans="2:43" ht="78.75" x14ac:dyDescent="0.25">
      <c r="B383" s="170" t="s">
        <v>98</v>
      </c>
      <c r="C383" s="96" t="s">
        <v>841</v>
      </c>
      <c r="D383" s="93" t="s">
        <v>87</v>
      </c>
      <c r="E383" s="92">
        <v>1</v>
      </c>
      <c r="F383" s="92">
        <v>1</v>
      </c>
      <c r="G383" s="91">
        <v>0</v>
      </c>
      <c r="H383" s="90">
        <f t="shared" ref="H383:H405" si="325">E383*F383*G383</f>
        <v>0</v>
      </c>
      <c r="I383" s="168"/>
      <c r="J383" s="84"/>
      <c r="K383" s="100">
        <f t="shared" ref="K383:K405" si="326">G383</f>
        <v>0</v>
      </c>
      <c r="L383" s="88">
        <f t="shared" ref="L383:L405" si="327">H383-K383</f>
        <v>0</v>
      </c>
      <c r="M383" s="8"/>
      <c r="N383" s="29"/>
      <c r="O383" s="8"/>
      <c r="P383" s="220"/>
      <c r="Q383" s="220"/>
      <c r="R383" s="220"/>
      <c r="S383" s="8"/>
      <c r="T383" s="20"/>
      <c r="U383" s="21">
        <v>0</v>
      </c>
      <c r="V383" s="21">
        <v>0</v>
      </c>
      <c r="W383" s="21">
        <f t="shared" si="278"/>
        <v>0</v>
      </c>
      <c r="X383" s="22">
        <v>1</v>
      </c>
      <c r="Y383" s="23">
        <f t="shared" si="315"/>
        <v>0</v>
      </c>
      <c r="Z383" s="234">
        <f>U383*0%</f>
        <v>0</v>
      </c>
      <c r="AA383" s="21">
        <f t="shared" si="281"/>
        <v>0</v>
      </c>
      <c r="AC383" s="9"/>
      <c r="AD383" s="9" t="str">
        <f t="shared" si="318"/>
        <v>17.2</v>
      </c>
      <c r="AE383" s="27">
        <f t="shared" si="319"/>
        <v>0</v>
      </c>
      <c r="AF383" s="21">
        <f t="shared" si="320"/>
        <v>0</v>
      </c>
      <c r="AG383" s="21">
        <v>0</v>
      </c>
      <c r="AH383" s="21">
        <f t="shared" si="321"/>
        <v>0</v>
      </c>
      <c r="AI383" s="21">
        <f t="shared" si="322"/>
        <v>0</v>
      </c>
      <c r="AJ383" s="21">
        <f t="shared" si="323"/>
        <v>0</v>
      </c>
      <c r="AK383" s="9" t="s">
        <v>57</v>
      </c>
      <c r="AL383" s="9" t="s">
        <v>57</v>
      </c>
      <c r="AM383" s="22">
        <v>0</v>
      </c>
      <c r="AN383" s="23">
        <f t="shared" si="324"/>
        <v>0</v>
      </c>
      <c r="AO383" s="9"/>
      <c r="AP383" s="26">
        <v>0</v>
      </c>
      <c r="AQ383" s="9"/>
    </row>
    <row r="384" spans="2:43" ht="78.75" x14ac:dyDescent="0.25">
      <c r="B384" s="170" t="s">
        <v>97</v>
      </c>
      <c r="C384" s="96" t="s">
        <v>842</v>
      </c>
      <c r="D384" s="93" t="s">
        <v>87</v>
      </c>
      <c r="E384" s="92">
        <v>1</v>
      </c>
      <c r="F384" s="92">
        <v>1</v>
      </c>
      <c r="G384" s="91">
        <v>0</v>
      </c>
      <c r="H384" s="90">
        <f t="shared" si="325"/>
        <v>0</v>
      </c>
      <c r="I384" s="168"/>
      <c r="J384" s="84"/>
      <c r="K384" s="100">
        <f t="shared" si="326"/>
        <v>0</v>
      </c>
      <c r="L384" s="88">
        <f t="shared" si="327"/>
        <v>0</v>
      </c>
      <c r="M384" s="8"/>
      <c r="N384" s="29"/>
      <c r="O384" s="8"/>
      <c r="P384" s="220"/>
      <c r="Q384" s="220"/>
      <c r="R384" s="220"/>
      <c r="S384" s="8"/>
      <c r="T384" s="20"/>
      <c r="U384" s="21">
        <v>0</v>
      </c>
      <c r="V384" s="21">
        <v>0</v>
      </c>
      <c r="W384" s="21">
        <f t="shared" si="278"/>
        <v>0</v>
      </c>
      <c r="X384" s="22">
        <v>1</v>
      </c>
      <c r="Y384" s="23">
        <f t="shared" si="315"/>
        <v>0</v>
      </c>
      <c r="Z384" s="234">
        <f t="shared" ref="Z384:Z405" si="328">U384*0%</f>
        <v>0</v>
      </c>
      <c r="AA384" s="21">
        <f t="shared" si="281"/>
        <v>0</v>
      </c>
      <c r="AC384" s="9"/>
      <c r="AD384" s="9" t="str">
        <f t="shared" si="318"/>
        <v>17.3</v>
      </c>
      <c r="AE384" s="27">
        <f t="shared" si="319"/>
        <v>0</v>
      </c>
      <c r="AF384" s="21">
        <f t="shared" si="320"/>
        <v>0</v>
      </c>
      <c r="AG384" s="21">
        <v>0</v>
      </c>
      <c r="AH384" s="21">
        <f t="shared" si="321"/>
        <v>0</v>
      </c>
      <c r="AI384" s="21">
        <f t="shared" si="322"/>
        <v>0</v>
      </c>
      <c r="AJ384" s="21">
        <f t="shared" si="323"/>
        <v>0</v>
      </c>
      <c r="AK384" s="9" t="s">
        <v>57</v>
      </c>
      <c r="AL384" s="9" t="s">
        <v>57</v>
      </c>
      <c r="AM384" s="22">
        <v>0</v>
      </c>
      <c r="AN384" s="23">
        <f t="shared" si="324"/>
        <v>0</v>
      </c>
      <c r="AO384" s="9"/>
      <c r="AP384" s="26">
        <v>0</v>
      </c>
      <c r="AQ384" s="9"/>
    </row>
    <row r="385" spans="2:43" ht="78.75" x14ac:dyDescent="0.25">
      <c r="B385" s="170" t="s">
        <v>96</v>
      </c>
      <c r="C385" s="96" t="s">
        <v>843</v>
      </c>
      <c r="D385" s="93" t="s">
        <v>87</v>
      </c>
      <c r="E385" s="92">
        <v>1</v>
      </c>
      <c r="F385" s="92">
        <v>1</v>
      </c>
      <c r="G385" s="91">
        <v>0</v>
      </c>
      <c r="H385" s="90">
        <f t="shared" si="325"/>
        <v>0</v>
      </c>
      <c r="I385" s="168"/>
      <c r="J385" s="84"/>
      <c r="K385" s="100">
        <f t="shared" si="326"/>
        <v>0</v>
      </c>
      <c r="L385" s="88">
        <f t="shared" si="327"/>
        <v>0</v>
      </c>
      <c r="M385" s="8"/>
      <c r="N385" s="29"/>
      <c r="O385" s="8"/>
      <c r="P385" s="220"/>
      <c r="Q385" s="220"/>
      <c r="R385" s="220"/>
      <c r="S385" s="8"/>
      <c r="T385" s="20"/>
      <c r="U385" s="21">
        <v>0</v>
      </c>
      <c r="V385" s="21">
        <v>0</v>
      </c>
      <c r="W385" s="21">
        <f t="shared" si="278"/>
        <v>0</v>
      </c>
      <c r="X385" s="22">
        <v>1</v>
      </c>
      <c r="Y385" s="23">
        <f t="shared" si="315"/>
        <v>0</v>
      </c>
      <c r="Z385" s="234">
        <f t="shared" si="328"/>
        <v>0</v>
      </c>
      <c r="AA385" s="21">
        <f t="shared" si="281"/>
        <v>0</v>
      </c>
      <c r="AC385" s="9"/>
      <c r="AD385" s="9" t="str">
        <f t="shared" si="318"/>
        <v>17.4</v>
      </c>
      <c r="AE385" s="27">
        <f t="shared" si="319"/>
        <v>0</v>
      </c>
      <c r="AF385" s="21">
        <f t="shared" si="320"/>
        <v>0</v>
      </c>
      <c r="AG385" s="21">
        <v>0</v>
      </c>
      <c r="AH385" s="21">
        <f t="shared" si="321"/>
        <v>0</v>
      </c>
      <c r="AI385" s="21">
        <f t="shared" si="322"/>
        <v>0</v>
      </c>
      <c r="AJ385" s="21">
        <f t="shared" si="323"/>
        <v>0</v>
      </c>
      <c r="AK385" s="9" t="s">
        <v>57</v>
      </c>
      <c r="AL385" s="9" t="s">
        <v>57</v>
      </c>
      <c r="AM385" s="22">
        <v>0</v>
      </c>
      <c r="AN385" s="23">
        <f t="shared" si="324"/>
        <v>0</v>
      </c>
      <c r="AO385" s="9"/>
      <c r="AP385" s="26">
        <v>0</v>
      </c>
      <c r="AQ385" s="9"/>
    </row>
    <row r="386" spans="2:43" ht="78.75" x14ac:dyDescent="0.25">
      <c r="B386" s="170" t="s">
        <v>95</v>
      </c>
      <c r="C386" s="96" t="s">
        <v>844</v>
      </c>
      <c r="D386" s="93" t="s">
        <v>87</v>
      </c>
      <c r="E386" s="92">
        <v>1</v>
      </c>
      <c r="F386" s="92">
        <v>1</v>
      </c>
      <c r="G386" s="91">
        <v>0</v>
      </c>
      <c r="H386" s="90">
        <f t="shared" ref="H386:H387" si="329">E386*F386*G386</f>
        <v>0</v>
      </c>
      <c r="I386" s="168"/>
      <c r="J386" s="84"/>
      <c r="K386" s="100">
        <f t="shared" ref="K386:K387" si="330">G386</f>
        <v>0</v>
      </c>
      <c r="L386" s="88">
        <f t="shared" ref="L386:L387" si="331">H386-K386</f>
        <v>0</v>
      </c>
      <c r="M386" s="8"/>
      <c r="N386" s="29"/>
      <c r="O386" s="8"/>
      <c r="P386" s="220"/>
      <c r="Q386" s="220"/>
      <c r="R386" s="220"/>
      <c r="S386" s="8"/>
      <c r="T386" s="20"/>
      <c r="U386" s="21">
        <v>0</v>
      </c>
      <c r="V386" s="21">
        <v>0</v>
      </c>
      <c r="W386" s="21">
        <f t="shared" si="278"/>
        <v>0</v>
      </c>
      <c r="X386" s="22">
        <v>1</v>
      </c>
      <c r="Y386" s="23">
        <f t="shared" si="315"/>
        <v>0</v>
      </c>
      <c r="Z386" s="234">
        <f t="shared" si="328"/>
        <v>0</v>
      </c>
      <c r="AA386" s="21">
        <f t="shared" si="281"/>
        <v>0</v>
      </c>
      <c r="AC386" s="9"/>
      <c r="AD386" s="9" t="str">
        <f t="shared" si="318"/>
        <v>17.5</v>
      </c>
      <c r="AE386" s="27">
        <f t="shared" si="319"/>
        <v>0</v>
      </c>
      <c r="AF386" s="21">
        <f t="shared" si="320"/>
        <v>0</v>
      </c>
      <c r="AG386" s="21">
        <v>0</v>
      </c>
      <c r="AH386" s="21">
        <f t="shared" si="321"/>
        <v>0</v>
      </c>
      <c r="AI386" s="21">
        <f t="shared" si="322"/>
        <v>0</v>
      </c>
      <c r="AJ386" s="21">
        <f t="shared" si="323"/>
        <v>0</v>
      </c>
      <c r="AK386" s="9" t="s">
        <v>57</v>
      </c>
      <c r="AL386" s="9" t="s">
        <v>57</v>
      </c>
      <c r="AM386" s="22">
        <v>0</v>
      </c>
      <c r="AN386" s="23">
        <f t="shared" si="324"/>
        <v>0</v>
      </c>
      <c r="AO386" s="9"/>
      <c r="AP386" s="26">
        <v>0</v>
      </c>
      <c r="AQ386" s="9"/>
    </row>
    <row r="387" spans="2:43" ht="78.75" x14ac:dyDescent="0.25">
      <c r="B387" s="170" t="s">
        <v>94</v>
      </c>
      <c r="C387" s="96" t="s">
        <v>845</v>
      </c>
      <c r="D387" s="93" t="s">
        <v>87</v>
      </c>
      <c r="E387" s="92">
        <v>1</v>
      </c>
      <c r="F387" s="92">
        <v>1</v>
      </c>
      <c r="G387" s="91">
        <v>0</v>
      </c>
      <c r="H387" s="90">
        <f t="shared" si="329"/>
        <v>0</v>
      </c>
      <c r="I387" s="168"/>
      <c r="J387" s="84"/>
      <c r="K387" s="100">
        <f t="shared" si="330"/>
        <v>0</v>
      </c>
      <c r="L387" s="88">
        <f t="shared" si="331"/>
        <v>0</v>
      </c>
      <c r="M387" s="8"/>
      <c r="N387" s="29"/>
      <c r="O387" s="8"/>
      <c r="P387" s="220"/>
      <c r="Q387" s="220"/>
      <c r="R387" s="220"/>
      <c r="S387" s="8"/>
      <c r="T387" s="20"/>
      <c r="U387" s="21">
        <v>0</v>
      </c>
      <c r="V387" s="21">
        <v>0</v>
      </c>
      <c r="W387" s="21">
        <f t="shared" si="278"/>
        <v>0</v>
      </c>
      <c r="X387" s="22">
        <v>1</v>
      </c>
      <c r="Y387" s="23">
        <f t="shared" si="315"/>
        <v>0</v>
      </c>
      <c r="Z387" s="234">
        <f t="shared" si="328"/>
        <v>0</v>
      </c>
      <c r="AA387" s="21">
        <f t="shared" si="281"/>
        <v>0</v>
      </c>
      <c r="AC387" s="9"/>
      <c r="AD387" s="9" t="str">
        <f t="shared" si="318"/>
        <v>17.6</v>
      </c>
      <c r="AE387" s="27">
        <f t="shared" si="319"/>
        <v>0</v>
      </c>
      <c r="AF387" s="21">
        <f t="shared" si="320"/>
        <v>0</v>
      </c>
      <c r="AG387" s="21">
        <v>0</v>
      </c>
      <c r="AH387" s="21">
        <f t="shared" si="321"/>
        <v>0</v>
      </c>
      <c r="AI387" s="21">
        <f t="shared" si="322"/>
        <v>0</v>
      </c>
      <c r="AJ387" s="21">
        <f t="shared" si="323"/>
        <v>0</v>
      </c>
      <c r="AK387" s="9" t="s">
        <v>57</v>
      </c>
      <c r="AL387" s="9" t="s">
        <v>57</v>
      </c>
      <c r="AM387" s="22">
        <v>0</v>
      </c>
      <c r="AN387" s="23">
        <f t="shared" si="324"/>
        <v>0</v>
      </c>
      <c r="AO387" s="9"/>
      <c r="AP387" s="26">
        <v>0</v>
      </c>
      <c r="AQ387" s="9"/>
    </row>
    <row r="388" spans="2:43" ht="78.75" x14ac:dyDescent="0.25">
      <c r="B388" s="170" t="s">
        <v>93</v>
      </c>
      <c r="C388" s="96" t="s">
        <v>846</v>
      </c>
      <c r="D388" s="93" t="s">
        <v>87</v>
      </c>
      <c r="E388" s="92">
        <v>1</v>
      </c>
      <c r="F388" s="92">
        <v>1</v>
      </c>
      <c r="G388" s="91">
        <v>0</v>
      </c>
      <c r="H388" s="90">
        <f t="shared" si="325"/>
        <v>0</v>
      </c>
      <c r="I388" s="168"/>
      <c r="J388" s="84"/>
      <c r="K388" s="100">
        <f t="shared" si="326"/>
        <v>0</v>
      </c>
      <c r="L388" s="88">
        <f t="shared" si="327"/>
        <v>0</v>
      </c>
      <c r="M388" s="8"/>
      <c r="N388" s="29"/>
      <c r="O388" s="8"/>
      <c r="P388" s="220"/>
      <c r="Q388" s="220"/>
      <c r="R388" s="220"/>
      <c r="S388" s="8"/>
      <c r="T388" s="20"/>
      <c r="U388" s="21">
        <v>0</v>
      </c>
      <c r="V388" s="21">
        <v>0</v>
      </c>
      <c r="W388" s="21">
        <f t="shared" si="278"/>
        <v>0</v>
      </c>
      <c r="X388" s="22">
        <v>1</v>
      </c>
      <c r="Y388" s="23">
        <f t="shared" si="315"/>
        <v>0</v>
      </c>
      <c r="Z388" s="234">
        <f t="shared" si="328"/>
        <v>0</v>
      </c>
      <c r="AA388" s="21">
        <f t="shared" si="281"/>
        <v>0</v>
      </c>
      <c r="AC388" s="9"/>
      <c r="AD388" s="9" t="str">
        <f t="shared" si="318"/>
        <v>17.7</v>
      </c>
      <c r="AE388" s="27">
        <f t="shared" si="319"/>
        <v>0</v>
      </c>
      <c r="AF388" s="21">
        <f t="shared" si="320"/>
        <v>0</v>
      </c>
      <c r="AG388" s="21">
        <v>0</v>
      </c>
      <c r="AH388" s="21">
        <f t="shared" si="321"/>
        <v>0</v>
      </c>
      <c r="AI388" s="21">
        <f t="shared" si="322"/>
        <v>0</v>
      </c>
      <c r="AJ388" s="21">
        <f t="shared" si="323"/>
        <v>0</v>
      </c>
      <c r="AK388" s="9" t="s">
        <v>57</v>
      </c>
      <c r="AL388" s="9" t="s">
        <v>57</v>
      </c>
      <c r="AM388" s="22">
        <v>0</v>
      </c>
      <c r="AN388" s="23">
        <f t="shared" si="324"/>
        <v>0</v>
      </c>
      <c r="AO388" s="9"/>
      <c r="AP388" s="26">
        <v>0</v>
      </c>
      <c r="AQ388" s="9"/>
    </row>
    <row r="389" spans="2:43" ht="78.75" x14ac:dyDescent="0.25">
      <c r="B389" s="170" t="s">
        <v>92</v>
      </c>
      <c r="C389" s="108" t="s">
        <v>847</v>
      </c>
      <c r="D389" s="93" t="s">
        <v>87</v>
      </c>
      <c r="E389" s="92">
        <v>1</v>
      </c>
      <c r="F389" s="92">
        <v>1</v>
      </c>
      <c r="G389" s="91">
        <v>0</v>
      </c>
      <c r="H389" s="90">
        <f t="shared" si="325"/>
        <v>0</v>
      </c>
      <c r="I389" s="168"/>
      <c r="J389" s="84"/>
      <c r="K389" s="100">
        <f t="shared" si="326"/>
        <v>0</v>
      </c>
      <c r="L389" s="88">
        <f t="shared" si="327"/>
        <v>0</v>
      </c>
      <c r="M389" s="8"/>
      <c r="N389" s="29"/>
      <c r="O389" s="8"/>
      <c r="P389" s="220"/>
      <c r="Q389" s="220"/>
      <c r="R389" s="220"/>
      <c r="S389" s="8"/>
      <c r="T389" s="20"/>
      <c r="U389" s="21">
        <v>0</v>
      </c>
      <c r="V389" s="21">
        <v>0</v>
      </c>
      <c r="W389" s="21">
        <f t="shared" si="278"/>
        <v>0</v>
      </c>
      <c r="X389" s="22">
        <v>1</v>
      </c>
      <c r="Y389" s="23">
        <f t="shared" si="315"/>
        <v>0</v>
      </c>
      <c r="Z389" s="234">
        <f t="shared" si="328"/>
        <v>0</v>
      </c>
      <c r="AA389" s="21">
        <f t="shared" si="281"/>
        <v>0</v>
      </c>
      <c r="AC389" s="9"/>
      <c r="AD389" s="9" t="str">
        <f t="shared" si="318"/>
        <v>17.8</v>
      </c>
      <c r="AE389" s="27">
        <f t="shared" si="319"/>
        <v>0</v>
      </c>
      <c r="AF389" s="21">
        <f t="shared" si="320"/>
        <v>0</v>
      </c>
      <c r="AG389" s="21">
        <v>0</v>
      </c>
      <c r="AH389" s="21">
        <f t="shared" si="321"/>
        <v>0</v>
      </c>
      <c r="AI389" s="21">
        <f t="shared" si="322"/>
        <v>0</v>
      </c>
      <c r="AJ389" s="21">
        <f t="shared" si="323"/>
        <v>0</v>
      </c>
      <c r="AK389" s="9" t="s">
        <v>57</v>
      </c>
      <c r="AL389" s="9" t="s">
        <v>57</v>
      </c>
      <c r="AM389" s="22">
        <v>0</v>
      </c>
      <c r="AN389" s="23">
        <f t="shared" si="324"/>
        <v>0</v>
      </c>
      <c r="AO389" s="9"/>
      <c r="AP389" s="26">
        <v>0</v>
      </c>
      <c r="AQ389" s="9"/>
    </row>
    <row r="390" spans="2:43" ht="78.75" x14ac:dyDescent="0.25">
      <c r="B390" s="170" t="s">
        <v>418</v>
      </c>
      <c r="C390" s="108" t="s">
        <v>848</v>
      </c>
      <c r="D390" s="93" t="s">
        <v>87</v>
      </c>
      <c r="E390" s="92">
        <v>1</v>
      </c>
      <c r="F390" s="92">
        <v>1</v>
      </c>
      <c r="G390" s="91">
        <v>0</v>
      </c>
      <c r="H390" s="90">
        <f t="shared" si="325"/>
        <v>0</v>
      </c>
      <c r="I390" s="168"/>
      <c r="J390" s="84"/>
      <c r="K390" s="100">
        <f t="shared" si="326"/>
        <v>0</v>
      </c>
      <c r="L390" s="88">
        <f t="shared" si="327"/>
        <v>0</v>
      </c>
      <c r="M390" s="8"/>
      <c r="N390" s="29"/>
      <c r="O390" s="8"/>
      <c r="P390" s="220"/>
      <c r="Q390" s="220"/>
      <c r="R390" s="220"/>
      <c r="S390" s="8"/>
      <c r="T390" s="20"/>
      <c r="U390" s="21">
        <v>0</v>
      </c>
      <c r="V390" s="21">
        <v>0</v>
      </c>
      <c r="W390" s="21">
        <f t="shared" si="278"/>
        <v>0</v>
      </c>
      <c r="X390" s="22">
        <v>1</v>
      </c>
      <c r="Y390" s="23">
        <f t="shared" si="315"/>
        <v>0</v>
      </c>
      <c r="Z390" s="234">
        <f t="shared" si="328"/>
        <v>0</v>
      </c>
      <c r="AA390" s="21">
        <f t="shared" si="281"/>
        <v>0</v>
      </c>
      <c r="AC390" s="9"/>
      <c r="AD390" s="9" t="str">
        <f t="shared" si="318"/>
        <v>17.9</v>
      </c>
      <c r="AE390" s="27">
        <f t="shared" si="319"/>
        <v>0</v>
      </c>
      <c r="AF390" s="21">
        <f t="shared" si="320"/>
        <v>0</v>
      </c>
      <c r="AG390" s="21">
        <v>0</v>
      </c>
      <c r="AH390" s="21">
        <f t="shared" si="321"/>
        <v>0</v>
      </c>
      <c r="AI390" s="21">
        <f t="shared" si="322"/>
        <v>0</v>
      </c>
      <c r="AJ390" s="21">
        <f t="shared" si="323"/>
        <v>0</v>
      </c>
      <c r="AK390" s="9" t="s">
        <v>57</v>
      </c>
      <c r="AL390" s="9" t="s">
        <v>57</v>
      </c>
      <c r="AM390" s="22">
        <v>0</v>
      </c>
      <c r="AN390" s="23">
        <f t="shared" si="324"/>
        <v>0</v>
      </c>
      <c r="AO390" s="9"/>
      <c r="AP390" s="26">
        <v>0</v>
      </c>
      <c r="AQ390" s="9"/>
    </row>
    <row r="391" spans="2:43" ht="78.75" x14ac:dyDescent="0.25">
      <c r="B391" s="170" t="s">
        <v>419</v>
      </c>
      <c r="C391" s="108" t="s">
        <v>849</v>
      </c>
      <c r="D391" s="93" t="s">
        <v>87</v>
      </c>
      <c r="E391" s="92">
        <v>1</v>
      </c>
      <c r="F391" s="92">
        <v>1</v>
      </c>
      <c r="G391" s="91">
        <v>0</v>
      </c>
      <c r="H391" s="90">
        <f t="shared" si="325"/>
        <v>0</v>
      </c>
      <c r="I391" s="168"/>
      <c r="J391" s="84"/>
      <c r="K391" s="100">
        <f t="shared" si="326"/>
        <v>0</v>
      </c>
      <c r="L391" s="88">
        <f t="shared" si="327"/>
        <v>0</v>
      </c>
      <c r="M391" s="8"/>
      <c r="N391" s="29"/>
      <c r="O391" s="8"/>
      <c r="P391" s="220"/>
      <c r="Q391" s="220"/>
      <c r="R391" s="220"/>
      <c r="S391" s="8"/>
      <c r="T391" s="20"/>
      <c r="U391" s="21">
        <v>0</v>
      </c>
      <c r="V391" s="21">
        <v>0</v>
      </c>
      <c r="W391" s="21">
        <f t="shared" si="278"/>
        <v>0</v>
      </c>
      <c r="X391" s="22">
        <v>1</v>
      </c>
      <c r="Y391" s="23">
        <f t="shared" si="315"/>
        <v>0</v>
      </c>
      <c r="Z391" s="234">
        <f t="shared" si="328"/>
        <v>0</v>
      </c>
      <c r="AA391" s="21">
        <f t="shared" si="281"/>
        <v>0</v>
      </c>
      <c r="AC391" s="9"/>
      <c r="AD391" s="9" t="str">
        <f t="shared" si="318"/>
        <v>17.10</v>
      </c>
      <c r="AE391" s="27">
        <f t="shared" si="319"/>
        <v>0</v>
      </c>
      <c r="AF391" s="21">
        <f t="shared" si="320"/>
        <v>0</v>
      </c>
      <c r="AG391" s="21">
        <v>0</v>
      </c>
      <c r="AH391" s="21">
        <f t="shared" si="321"/>
        <v>0</v>
      </c>
      <c r="AI391" s="21">
        <f t="shared" si="322"/>
        <v>0</v>
      </c>
      <c r="AJ391" s="21">
        <f t="shared" si="323"/>
        <v>0</v>
      </c>
      <c r="AK391" s="9" t="s">
        <v>57</v>
      </c>
      <c r="AL391" s="9" t="s">
        <v>57</v>
      </c>
      <c r="AM391" s="22">
        <v>0</v>
      </c>
      <c r="AN391" s="23">
        <f t="shared" si="324"/>
        <v>0</v>
      </c>
      <c r="AO391" s="9"/>
      <c r="AP391" s="26">
        <v>0</v>
      </c>
      <c r="AQ391" s="9"/>
    </row>
    <row r="392" spans="2:43" ht="78.75" x14ac:dyDescent="0.25">
      <c r="B392" s="170" t="s">
        <v>420</v>
      </c>
      <c r="C392" s="108" t="s">
        <v>850</v>
      </c>
      <c r="D392" s="93" t="s">
        <v>87</v>
      </c>
      <c r="E392" s="92">
        <v>1</v>
      </c>
      <c r="F392" s="92">
        <v>1</v>
      </c>
      <c r="G392" s="91">
        <v>0</v>
      </c>
      <c r="H392" s="90">
        <f t="shared" si="325"/>
        <v>0</v>
      </c>
      <c r="I392" s="168"/>
      <c r="J392" s="84"/>
      <c r="K392" s="100">
        <f t="shared" si="326"/>
        <v>0</v>
      </c>
      <c r="L392" s="88">
        <f t="shared" si="327"/>
        <v>0</v>
      </c>
      <c r="M392" s="8"/>
      <c r="N392" s="29"/>
      <c r="O392" s="8"/>
      <c r="P392" s="220"/>
      <c r="Q392" s="220"/>
      <c r="R392" s="220"/>
      <c r="S392" s="8"/>
      <c r="T392" s="20"/>
      <c r="U392" s="21">
        <v>0</v>
      </c>
      <c r="V392" s="21">
        <v>0</v>
      </c>
      <c r="W392" s="21">
        <f t="shared" si="278"/>
        <v>0</v>
      </c>
      <c r="X392" s="22">
        <v>1</v>
      </c>
      <c r="Y392" s="23">
        <f t="shared" si="315"/>
        <v>0</v>
      </c>
      <c r="Z392" s="234">
        <f t="shared" si="328"/>
        <v>0</v>
      </c>
      <c r="AA392" s="21">
        <f t="shared" si="281"/>
        <v>0</v>
      </c>
      <c r="AC392" s="9"/>
      <c r="AD392" s="9" t="str">
        <f t="shared" si="318"/>
        <v>17.11</v>
      </c>
      <c r="AE392" s="27">
        <f t="shared" si="319"/>
        <v>0</v>
      </c>
      <c r="AF392" s="21">
        <f t="shared" si="320"/>
        <v>0</v>
      </c>
      <c r="AG392" s="21">
        <v>0</v>
      </c>
      <c r="AH392" s="21">
        <f t="shared" si="321"/>
        <v>0</v>
      </c>
      <c r="AI392" s="21">
        <f t="shared" si="322"/>
        <v>0</v>
      </c>
      <c r="AJ392" s="21">
        <f t="shared" si="323"/>
        <v>0</v>
      </c>
      <c r="AK392" s="9" t="s">
        <v>57</v>
      </c>
      <c r="AL392" s="9" t="s">
        <v>57</v>
      </c>
      <c r="AM392" s="22">
        <v>0</v>
      </c>
      <c r="AN392" s="23">
        <f t="shared" si="324"/>
        <v>0</v>
      </c>
      <c r="AO392" s="9"/>
      <c r="AP392" s="26">
        <v>0</v>
      </c>
      <c r="AQ392" s="9"/>
    </row>
    <row r="393" spans="2:43" ht="78.75" x14ac:dyDescent="0.25">
      <c r="B393" s="170" t="s">
        <v>421</v>
      </c>
      <c r="C393" s="108" t="s">
        <v>851</v>
      </c>
      <c r="D393" s="93" t="s">
        <v>87</v>
      </c>
      <c r="E393" s="92">
        <v>1</v>
      </c>
      <c r="F393" s="92">
        <v>1</v>
      </c>
      <c r="G393" s="91">
        <v>0</v>
      </c>
      <c r="H393" s="90">
        <f t="shared" si="325"/>
        <v>0</v>
      </c>
      <c r="I393" s="168"/>
      <c r="J393" s="84"/>
      <c r="K393" s="100">
        <f t="shared" si="326"/>
        <v>0</v>
      </c>
      <c r="L393" s="88">
        <f t="shared" si="327"/>
        <v>0</v>
      </c>
      <c r="M393" s="8"/>
      <c r="N393" s="29"/>
      <c r="O393" s="8"/>
      <c r="P393" s="220"/>
      <c r="Q393" s="220"/>
      <c r="R393" s="220"/>
      <c r="S393" s="8"/>
      <c r="T393" s="20"/>
      <c r="U393" s="21">
        <v>0</v>
      </c>
      <c r="V393" s="21">
        <v>0</v>
      </c>
      <c r="W393" s="21">
        <f t="shared" si="278"/>
        <v>0</v>
      </c>
      <c r="X393" s="22">
        <v>1</v>
      </c>
      <c r="Y393" s="23">
        <f t="shared" ref="Y393" si="332">W393-(W393*X393)</f>
        <v>0</v>
      </c>
      <c r="Z393" s="234">
        <f t="shared" si="328"/>
        <v>0</v>
      </c>
      <c r="AA393" s="21">
        <f t="shared" si="281"/>
        <v>0</v>
      </c>
      <c r="AC393" s="9"/>
      <c r="AD393" s="9" t="str">
        <f t="shared" si="318"/>
        <v>17.12</v>
      </c>
      <c r="AE393" s="27">
        <f t="shared" si="319"/>
        <v>0</v>
      </c>
      <c r="AF393" s="21">
        <f t="shared" si="320"/>
        <v>0</v>
      </c>
      <c r="AG393" s="21">
        <v>0</v>
      </c>
      <c r="AH393" s="21">
        <f t="shared" si="321"/>
        <v>0</v>
      </c>
      <c r="AI393" s="21">
        <f t="shared" si="322"/>
        <v>0</v>
      </c>
      <c r="AJ393" s="21">
        <f t="shared" si="323"/>
        <v>0</v>
      </c>
      <c r="AK393" s="9" t="s">
        <v>57</v>
      </c>
      <c r="AL393" s="9" t="s">
        <v>57</v>
      </c>
      <c r="AM393" s="22">
        <v>0</v>
      </c>
      <c r="AN393" s="23">
        <f t="shared" si="324"/>
        <v>0</v>
      </c>
      <c r="AO393" s="9"/>
      <c r="AP393" s="26">
        <v>0</v>
      </c>
      <c r="AQ393" s="9"/>
    </row>
    <row r="394" spans="2:43" ht="78.75" x14ac:dyDescent="0.25">
      <c r="B394" s="170" t="s">
        <v>422</v>
      </c>
      <c r="C394" s="108" t="s">
        <v>852</v>
      </c>
      <c r="D394" s="93" t="s">
        <v>87</v>
      </c>
      <c r="E394" s="92">
        <v>1</v>
      </c>
      <c r="F394" s="92">
        <v>1</v>
      </c>
      <c r="G394" s="91">
        <v>0</v>
      </c>
      <c r="H394" s="90">
        <f t="shared" si="325"/>
        <v>0</v>
      </c>
      <c r="I394" s="168"/>
      <c r="J394" s="84"/>
      <c r="K394" s="100">
        <f t="shared" si="326"/>
        <v>0</v>
      </c>
      <c r="L394" s="88">
        <f t="shared" si="327"/>
        <v>0</v>
      </c>
      <c r="M394" s="8"/>
      <c r="N394" s="29"/>
      <c r="O394" s="8"/>
      <c r="P394" s="220"/>
      <c r="Q394" s="220"/>
      <c r="R394" s="220"/>
      <c r="S394" s="8"/>
      <c r="T394" s="20"/>
      <c r="U394" s="21">
        <v>0</v>
      </c>
      <c r="V394" s="21">
        <v>0</v>
      </c>
      <c r="W394" s="21">
        <f t="shared" si="278"/>
        <v>0</v>
      </c>
      <c r="X394" s="22">
        <v>1</v>
      </c>
      <c r="Y394" s="23">
        <f t="shared" si="315"/>
        <v>0</v>
      </c>
      <c r="Z394" s="234">
        <f t="shared" si="328"/>
        <v>0</v>
      </c>
      <c r="AA394" s="21">
        <f t="shared" si="281"/>
        <v>0</v>
      </c>
      <c r="AC394" s="9"/>
      <c r="AD394" s="9" t="str">
        <f t="shared" si="318"/>
        <v>17.13</v>
      </c>
      <c r="AE394" s="27">
        <f t="shared" si="319"/>
        <v>0</v>
      </c>
      <c r="AF394" s="21">
        <f t="shared" si="320"/>
        <v>0</v>
      </c>
      <c r="AG394" s="21">
        <v>0</v>
      </c>
      <c r="AH394" s="21">
        <f t="shared" si="321"/>
        <v>0</v>
      </c>
      <c r="AI394" s="21">
        <f t="shared" si="322"/>
        <v>0</v>
      </c>
      <c r="AJ394" s="21">
        <f t="shared" si="323"/>
        <v>0</v>
      </c>
      <c r="AK394" s="9" t="s">
        <v>57</v>
      </c>
      <c r="AL394" s="9" t="s">
        <v>57</v>
      </c>
      <c r="AM394" s="22">
        <v>0</v>
      </c>
      <c r="AN394" s="23">
        <f t="shared" si="324"/>
        <v>0</v>
      </c>
      <c r="AO394" s="9"/>
      <c r="AP394" s="26">
        <v>0</v>
      </c>
      <c r="AQ394" s="9"/>
    </row>
    <row r="395" spans="2:43" ht="78.75" x14ac:dyDescent="0.25">
      <c r="B395" s="170" t="s">
        <v>423</v>
      </c>
      <c r="C395" s="209" t="s">
        <v>853</v>
      </c>
      <c r="D395" s="93" t="s">
        <v>87</v>
      </c>
      <c r="E395" s="92">
        <v>1</v>
      </c>
      <c r="F395" s="92">
        <v>1</v>
      </c>
      <c r="G395" s="91">
        <v>0</v>
      </c>
      <c r="H395" s="90">
        <f t="shared" si="325"/>
        <v>0</v>
      </c>
      <c r="I395" s="171"/>
      <c r="J395" s="84"/>
      <c r="K395" s="100">
        <f t="shared" si="326"/>
        <v>0</v>
      </c>
      <c r="L395" s="88">
        <f t="shared" si="327"/>
        <v>0</v>
      </c>
      <c r="M395" s="8"/>
      <c r="N395" s="29"/>
      <c r="O395" s="8"/>
      <c r="P395" s="220"/>
      <c r="Q395" s="220"/>
      <c r="R395" s="220"/>
      <c r="S395" s="8"/>
      <c r="T395" s="20"/>
      <c r="U395" s="21">
        <v>0</v>
      </c>
      <c r="V395" s="21">
        <v>0</v>
      </c>
      <c r="W395" s="21">
        <f t="shared" si="278"/>
        <v>0</v>
      </c>
      <c r="X395" s="22">
        <v>1</v>
      </c>
      <c r="Y395" s="23">
        <f t="shared" si="315"/>
        <v>0</v>
      </c>
      <c r="Z395" s="234">
        <f t="shared" si="328"/>
        <v>0</v>
      </c>
      <c r="AA395" s="21">
        <f t="shared" si="281"/>
        <v>0</v>
      </c>
      <c r="AC395" s="9"/>
      <c r="AD395" s="9" t="str">
        <f t="shared" si="318"/>
        <v>17.14</v>
      </c>
      <c r="AE395" s="27">
        <f t="shared" si="319"/>
        <v>0</v>
      </c>
      <c r="AF395" s="21">
        <f t="shared" si="320"/>
        <v>0</v>
      </c>
      <c r="AG395" s="21">
        <v>0</v>
      </c>
      <c r="AH395" s="21">
        <f t="shared" si="321"/>
        <v>0</v>
      </c>
      <c r="AI395" s="21">
        <f t="shared" si="322"/>
        <v>0</v>
      </c>
      <c r="AJ395" s="21">
        <f t="shared" si="323"/>
        <v>0</v>
      </c>
      <c r="AK395" s="9" t="s">
        <v>57</v>
      </c>
      <c r="AL395" s="9" t="s">
        <v>57</v>
      </c>
      <c r="AM395" s="22">
        <v>0</v>
      </c>
      <c r="AN395" s="23">
        <f t="shared" si="324"/>
        <v>0</v>
      </c>
      <c r="AO395" s="9"/>
      <c r="AP395" s="26">
        <v>0</v>
      </c>
      <c r="AQ395" s="9"/>
    </row>
    <row r="396" spans="2:43" ht="78.75" x14ac:dyDescent="0.25">
      <c r="B396" s="170" t="s">
        <v>424</v>
      </c>
      <c r="C396" s="108" t="s">
        <v>854</v>
      </c>
      <c r="D396" s="93" t="s">
        <v>87</v>
      </c>
      <c r="E396" s="92">
        <v>1</v>
      </c>
      <c r="F396" s="92">
        <v>1</v>
      </c>
      <c r="G396" s="91">
        <v>0</v>
      </c>
      <c r="H396" s="90">
        <f t="shared" si="325"/>
        <v>0</v>
      </c>
      <c r="I396" s="168"/>
      <c r="J396" s="84"/>
      <c r="K396" s="100">
        <f t="shared" si="326"/>
        <v>0</v>
      </c>
      <c r="L396" s="88">
        <f t="shared" si="327"/>
        <v>0</v>
      </c>
      <c r="M396" s="8"/>
      <c r="N396" s="29"/>
      <c r="O396" s="8"/>
      <c r="P396" s="220"/>
      <c r="Q396" s="220"/>
      <c r="R396" s="220"/>
      <c r="S396" s="8"/>
      <c r="T396" s="20"/>
      <c r="U396" s="21">
        <v>0</v>
      </c>
      <c r="V396" s="21">
        <v>0</v>
      </c>
      <c r="W396" s="21">
        <f t="shared" si="278"/>
        <v>0</v>
      </c>
      <c r="X396" s="22">
        <v>1</v>
      </c>
      <c r="Y396" s="23">
        <f t="shared" si="315"/>
        <v>0</v>
      </c>
      <c r="Z396" s="234">
        <f t="shared" si="328"/>
        <v>0</v>
      </c>
      <c r="AA396" s="21">
        <f t="shared" si="281"/>
        <v>0</v>
      </c>
      <c r="AC396" s="9"/>
      <c r="AD396" s="9" t="str">
        <f t="shared" si="318"/>
        <v>17.15</v>
      </c>
      <c r="AE396" s="27">
        <f t="shared" si="319"/>
        <v>0</v>
      </c>
      <c r="AF396" s="21">
        <f t="shared" si="320"/>
        <v>0</v>
      </c>
      <c r="AG396" s="21">
        <v>0</v>
      </c>
      <c r="AH396" s="21">
        <f t="shared" si="321"/>
        <v>0</v>
      </c>
      <c r="AI396" s="21">
        <f t="shared" si="322"/>
        <v>0</v>
      </c>
      <c r="AJ396" s="21">
        <f t="shared" si="323"/>
        <v>0</v>
      </c>
      <c r="AK396" s="9" t="s">
        <v>57</v>
      </c>
      <c r="AL396" s="9" t="s">
        <v>57</v>
      </c>
      <c r="AM396" s="22">
        <v>0</v>
      </c>
      <c r="AN396" s="23">
        <f t="shared" si="324"/>
        <v>0</v>
      </c>
      <c r="AO396" s="9"/>
      <c r="AP396" s="26">
        <v>0</v>
      </c>
      <c r="AQ396" s="9"/>
    </row>
    <row r="397" spans="2:43" ht="78.75" x14ac:dyDescent="0.25">
      <c r="B397" s="170" t="s">
        <v>425</v>
      </c>
      <c r="C397" s="108" t="s">
        <v>855</v>
      </c>
      <c r="D397" s="93" t="s">
        <v>87</v>
      </c>
      <c r="E397" s="92">
        <v>1</v>
      </c>
      <c r="F397" s="92">
        <v>1</v>
      </c>
      <c r="G397" s="91">
        <v>0</v>
      </c>
      <c r="H397" s="90">
        <f t="shared" si="325"/>
        <v>0</v>
      </c>
      <c r="I397" s="168"/>
      <c r="J397" s="84"/>
      <c r="K397" s="100">
        <f t="shared" si="326"/>
        <v>0</v>
      </c>
      <c r="L397" s="88">
        <f t="shared" si="327"/>
        <v>0</v>
      </c>
      <c r="M397" s="8"/>
      <c r="N397" s="29"/>
      <c r="O397" s="8"/>
      <c r="P397" s="220"/>
      <c r="Q397" s="220"/>
      <c r="R397" s="220"/>
      <c r="S397" s="8"/>
      <c r="T397" s="20"/>
      <c r="U397" s="21">
        <v>0</v>
      </c>
      <c r="V397" s="21">
        <v>0</v>
      </c>
      <c r="W397" s="21">
        <f t="shared" si="278"/>
        <v>0</v>
      </c>
      <c r="X397" s="22">
        <v>1</v>
      </c>
      <c r="Y397" s="23">
        <f t="shared" si="315"/>
        <v>0</v>
      </c>
      <c r="Z397" s="234">
        <f t="shared" si="328"/>
        <v>0</v>
      </c>
      <c r="AA397" s="21">
        <f t="shared" si="281"/>
        <v>0</v>
      </c>
      <c r="AC397" s="9"/>
      <c r="AD397" s="9" t="str">
        <f t="shared" si="318"/>
        <v>17.16</v>
      </c>
      <c r="AE397" s="27">
        <f t="shared" si="319"/>
        <v>0</v>
      </c>
      <c r="AF397" s="21">
        <f t="shared" si="320"/>
        <v>0</v>
      </c>
      <c r="AG397" s="21">
        <v>0</v>
      </c>
      <c r="AH397" s="21">
        <f t="shared" si="321"/>
        <v>0</v>
      </c>
      <c r="AI397" s="21">
        <f t="shared" si="322"/>
        <v>0</v>
      </c>
      <c r="AJ397" s="21">
        <f t="shared" si="323"/>
        <v>0</v>
      </c>
      <c r="AK397" s="9" t="s">
        <v>57</v>
      </c>
      <c r="AL397" s="9" t="s">
        <v>57</v>
      </c>
      <c r="AM397" s="22">
        <v>0</v>
      </c>
      <c r="AN397" s="23">
        <f t="shared" si="324"/>
        <v>0</v>
      </c>
      <c r="AO397" s="9"/>
      <c r="AP397" s="26">
        <v>0</v>
      </c>
      <c r="AQ397" s="9"/>
    </row>
    <row r="398" spans="2:43" ht="94.5" x14ac:dyDescent="0.25">
      <c r="B398" s="170" t="s">
        <v>426</v>
      </c>
      <c r="C398" s="108" t="s">
        <v>858</v>
      </c>
      <c r="D398" s="93" t="s">
        <v>87</v>
      </c>
      <c r="E398" s="92">
        <v>1</v>
      </c>
      <c r="F398" s="92">
        <v>1</v>
      </c>
      <c r="G398" s="91">
        <v>0</v>
      </c>
      <c r="H398" s="90">
        <f t="shared" si="325"/>
        <v>0</v>
      </c>
      <c r="I398" s="168"/>
      <c r="J398" s="84"/>
      <c r="K398" s="100">
        <f t="shared" si="326"/>
        <v>0</v>
      </c>
      <c r="L398" s="88">
        <f t="shared" si="327"/>
        <v>0</v>
      </c>
      <c r="M398" s="8"/>
      <c r="N398" s="29"/>
      <c r="O398" s="8"/>
      <c r="P398" s="220"/>
      <c r="Q398" s="220"/>
      <c r="R398" s="220"/>
      <c r="S398" s="8"/>
      <c r="T398" s="20"/>
      <c r="U398" s="21">
        <v>0</v>
      </c>
      <c r="V398" s="21">
        <v>0</v>
      </c>
      <c r="W398" s="21">
        <f t="shared" si="278"/>
        <v>0</v>
      </c>
      <c r="X398" s="22">
        <v>1</v>
      </c>
      <c r="Y398" s="23">
        <f t="shared" si="315"/>
        <v>0</v>
      </c>
      <c r="Z398" s="234">
        <f t="shared" si="328"/>
        <v>0</v>
      </c>
      <c r="AA398" s="21">
        <f t="shared" si="281"/>
        <v>0</v>
      </c>
      <c r="AC398" s="9"/>
      <c r="AD398" s="9" t="str">
        <f t="shared" si="318"/>
        <v>17.17</v>
      </c>
      <c r="AE398" s="27">
        <f t="shared" si="319"/>
        <v>0</v>
      </c>
      <c r="AF398" s="21">
        <f t="shared" si="320"/>
        <v>0</v>
      </c>
      <c r="AG398" s="21">
        <v>0</v>
      </c>
      <c r="AH398" s="21">
        <f t="shared" si="321"/>
        <v>0</v>
      </c>
      <c r="AI398" s="21">
        <f t="shared" si="322"/>
        <v>0</v>
      </c>
      <c r="AJ398" s="21">
        <f t="shared" si="323"/>
        <v>0</v>
      </c>
      <c r="AK398" s="9" t="s">
        <v>57</v>
      </c>
      <c r="AL398" s="9" t="s">
        <v>57</v>
      </c>
      <c r="AM398" s="22">
        <v>0</v>
      </c>
      <c r="AN398" s="23">
        <f t="shared" si="324"/>
        <v>0</v>
      </c>
      <c r="AO398" s="9"/>
      <c r="AP398" s="26">
        <v>0</v>
      </c>
      <c r="AQ398" s="9"/>
    </row>
    <row r="399" spans="2:43" ht="78.75" x14ac:dyDescent="0.25">
      <c r="B399" s="170" t="s">
        <v>427</v>
      </c>
      <c r="C399" s="108" t="s">
        <v>856</v>
      </c>
      <c r="D399" s="93" t="s">
        <v>87</v>
      </c>
      <c r="E399" s="92">
        <v>1</v>
      </c>
      <c r="F399" s="92">
        <v>1</v>
      </c>
      <c r="G399" s="91">
        <v>0</v>
      </c>
      <c r="H399" s="90">
        <f t="shared" si="325"/>
        <v>0</v>
      </c>
      <c r="I399" s="168"/>
      <c r="J399" s="84"/>
      <c r="K399" s="100">
        <f t="shared" si="326"/>
        <v>0</v>
      </c>
      <c r="L399" s="88">
        <f t="shared" si="327"/>
        <v>0</v>
      </c>
      <c r="M399" s="8"/>
      <c r="N399" s="29"/>
      <c r="O399" s="8"/>
      <c r="P399" s="220"/>
      <c r="Q399" s="220"/>
      <c r="R399" s="220"/>
      <c r="S399" s="8"/>
      <c r="T399" s="20"/>
      <c r="U399" s="21">
        <v>0</v>
      </c>
      <c r="V399" s="21">
        <v>0</v>
      </c>
      <c r="W399" s="21">
        <f t="shared" si="278"/>
        <v>0</v>
      </c>
      <c r="X399" s="22">
        <v>1</v>
      </c>
      <c r="Y399" s="23">
        <f t="shared" si="315"/>
        <v>0</v>
      </c>
      <c r="Z399" s="234">
        <f t="shared" si="328"/>
        <v>0</v>
      </c>
      <c r="AA399" s="21">
        <f t="shared" si="281"/>
        <v>0</v>
      </c>
      <c r="AC399" s="9"/>
      <c r="AD399" s="9" t="str">
        <f t="shared" si="318"/>
        <v>17.18</v>
      </c>
      <c r="AE399" s="27">
        <f t="shared" si="319"/>
        <v>0</v>
      </c>
      <c r="AF399" s="21">
        <f t="shared" si="320"/>
        <v>0</v>
      </c>
      <c r="AG399" s="21">
        <v>0</v>
      </c>
      <c r="AH399" s="21">
        <f t="shared" si="321"/>
        <v>0</v>
      </c>
      <c r="AI399" s="21">
        <f t="shared" si="322"/>
        <v>0</v>
      </c>
      <c r="AJ399" s="21">
        <f t="shared" si="323"/>
        <v>0</v>
      </c>
      <c r="AK399" s="9" t="s">
        <v>57</v>
      </c>
      <c r="AL399" s="9" t="s">
        <v>57</v>
      </c>
      <c r="AM399" s="22">
        <v>0</v>
      </c>
      <c r="AN399" s="23">
        <f t="shared" si="324"/>
        <v>0</v>
      </c>
      <c r="AO399" s="9"/>
      <c r="AP399" s="26">
        <v>0</v>
      </c>
      <c r="AQ399" s="9"/>
    </row>
    <row r="400" spans="2:43" ht="94.5" x14ac:dyDescent="0.25">
      <c r="B400" s="170" t="s">
        <v>428</v>
      </c>
      <c r="C400" s="108" t="s">
        <v>857</v>
      </c>
      <c r="D400" s="93" t="s">
        <v>87</v>
      </c>
      <c r="E400" s="92">
        <v>1</v>
      </c>
      <c r="F400" s="92">
        <v>1</v>
      </c>
      <c r="G400" s="91">
        <v>0</v>
      </c>
      <c r="H400" s="90">
        <f t="shared" ref="H400" si="333">E400*F400*G400</f>
        <v>0</v>
      </c>
      <c r="I400" s="168"/>
      <c r="J400" s="84"/>
      <c r="K400" s="100">
        <f t="shared" si="326"/>
        <v>0</v>
      </c>
      <c r="L400" s="88">
        <f t="shared" si="327"/>
        <v>0</v>
      </c>
      <c r="M400" s="8"/>
      <c r="N400" s="29"/>
      <c r="O400" s="8"/>
      <c r="P400" s="220"/>
      <c r="Q400" s="220"/>
      <c r="R400" s="220"/>
      <c r="S400" s="8"/>
      <c r="T400" s="20"/>
      <c r="U400" s="21">
        <v>0</v>
      </c>
      <c r="V400" s="21">
        <v>0</v>
      </c>
      <c r="W400" s="21">
        <f t="shared" si="278"/>
        <v>0</v>
      </c>
      <c r="X400" s="22">
        <v>1</v>
      </c>
      <c r="Y400" s="23">
        <f t="shared" si="315"/>
        <v>0</v>
      </c>
      <c r="Z400" s="234">
        <f t="shared" si="328"/>
        <v>0</v>
      </c>
      <c r="AA400" s="21">
        <f t="shared" si="281"/>
        <v>0</v>
      </c>
      <c r="AC400" s="9"/>
      <c r="AD400" s="9" t="str">
        <f t="shared" si="318"/>
        <v>17.19</v>
      </c>
      <c r="AE400" s="27">
        <f t="shared" si="319"/>
        <v>0</v>
      </c>
      <c r="AF400" s="21">
        <f t="shared" si="320"/>
        <v>0</v>
      </c>
      <c r="AG400" s="21">
        <v>0</v>
      </c>
      <c r="AH400" s="21">
        <f t="shared" si="321"/>
        <v>0</v>
      </c>
      <c r="AI400" s="21">
        <f t="shared" si="322"/>
        <v>0</v>
      </c>
      <c r="AJ400" s="21">
        <f t="shared" si="323"/>
        <v>0</v>
      </c>
      <c r="AK400" s="9" t="s">
        <v>57</v>
      </c>
      <c r="AL400" s="9" t="s">
        <v>57</v>
      </c>
      <c r="AM400" s="22">
        <v>0</v>
      </c>
      <c r="AN400" s="23">
        <f t="shared" si="324"/>
        <v>0</v>
      </c>
      <c r="AO400" s="9"/>
      <c r="AP400" s="26">
        <v>0</v>
      </c>
      <c r="AQ400" s="9"/>
    </row>
    <row r="401" spans="2:43" ht="94.5" x14ac:dyDescent="0.25">
      <c r="B401" s="170" t="s">
        <v>429</v>
      </c>
      <c r="C401" s="108" t="s">
        <v>859</v>
      </c>
      <c r="D401" s="93" t="s">
        <v>87</v>
      </c>
      <c r="E401" s="92">
        <v>1</v>
      </c>
      <c r="F401" s="92">
        <v>1</v>
      </c>
      <c r="G401" s="91">
        <v>0</v>
      </c>
      <c r="H401" s="90">
        <f t="shared" si="325"/>
        <v>0</v>
      </c>
      <c r="I401" s="168"/>
      <c r="J401" s="84"/>
      <c r="K401" s="100">
        <f t="shared" si="326"/>
        <v>0</v>
      </c>
      <c r="L401" s="88">
        <f t="shared" si="327"/>
        <v>0</v>
      </c>
      <c r="M401" s="8"/>
      <c r="N401" s="29"/>
      <c r="O401" s="8"/>
      <c r="P401" s="220"/>
      <c r="Q401" s="220"/>
      <c r="R401" s="220"/>
      <c r="S401" s="8"/>
      <c r="T401" s="20"/>
      <c r="U401" s="21">
        <v>0</v>
      </c>
      <c r="V401" s="21">
        <v>0</v>
      </c>
      <c r="W401" s="21">
        <f t="shared" si="278"/>
        <v>0</v>
      </c>
      <c r="X401" s="22">
        <v>1</v>
      </c>
      <c r="Y401" s="23">
        <f t="shared" si="315"/>
        <v>0</v>
      </c>
      <c r="Z401" s="234">
        <f t="shared" si="328"/>
        <v>0</v>
      </c>
      <c r="AA401" s="21">
        <f t="shared" si="281"/>
        <v>0</v>
      </c>
      <c r="AC401" s="9"/>
      <c r="AD401" s="9" t="str">
        <f t="shared" si="318"/>
        <v>17.20</v>
      </c>
      <c r="AE401" s="27">
        <f t="shared" si="319"/>
        <v>0</v>
      </c>
      <c r="AF401" s="21">
        <f t="shared" si="320"/>
        <v>0</v>
      </c>
      <c r="AG401" s="21">
        <v>0</v>
      </c>
      <c r="AH401" s="21">
        <f t="shared" si="321"/>
        <v>0</v>
      </c>
      <c r="AI401" s="21">
        <f t="shared" si="322"/>
        <v>0</v>
      </c>
      <c r="AJ401" s="21">
        <f t="shared" si="323"/>
        <v>0</v>
      </c>
      <c r="AK401" s="9" t="s">
        <v>57</v>
      </c>
      <c r="AL401" s="9" t="s">
        <v>57</v>
      </c>
      <c r="AM401" s="22">
        <v>0</v>
      </c>
      <c r="AN401" s="23">
        <f t="shared" si="324"/>
        <v>0</v>
      </c>
      <c r="AO401" s="9"/>
      <c r="AP401" s="26">
        <v>0</v>
      </c>
      <c r="AQ401" s="9"/>
    </row>
    <row r="402" spans="2:43" ht="94.5" x14ac:dyDescent="0.25">
      <c r="B402" s="170" t="s">
        <v>430</v>
      </c>
      <c r="C402" s="108" t="s">
        <v>860</v>
      </c>
      <c r="D402" s="93" t="s">
        <v>87</v>
      </c>
      <c r="E402" s="92">
        <v>1</v>
      </c>
      <c r="F402" s="92">
        <v>1</v>
      </c>
      <c r="G402" s="91">
        <v>0</v>
      </c>
      <c r="H402" s="90">
        <f t="shared" si="325"/>
        <v>0</v>
      </c>
      <c r="I402" s="168"/>
      <c r="J402" s="84"/>
      <c r="K402" s="100">
        <f t="shared" si="326"/>
        <v>0</v>
      </c>
      <c r="L402" s="88">
        <f t="shared" si="327"/>
        <v>0</v>
      </c>
      <c r="M402" s="8"/>
      <c r="N402" s="29"/>
      <c r="O402" s="8"/>
      <c r="P402" s="220"/>
      <c r="Q402" s="220"/>
      <c r="R402" s="220"/>
      <c r="S402" s="8"/>
      <c r="T402" s="20"/>
      <c r="U402" s="21">
        <v>0</v>
      </c>
      <c r="V402" s="21">
        <v>0</v>
      </c>
      <c r="W402" s="21">
        <f t="shared" si="278"/>
        <v>0</v>
      </c>
      <c r="X402" s="22">
        <v>1</v>
      </c>
      <c r="Y402" s="23">
        <f t="shared" si="315"/>
        <v>0</v>
      </c>
      <c r="Z402" s="234">
        <f t="shared" si="328"/>
        <v>0</v>
      </c>
      <c r="AA402" s="21">
        <f t="shared" si="281"/>
        <v>0</v>
      </c>
      <c r="AC402" s="9"/>
      <c r="AD402" s="9" t="str">
        <f t="shared" si="318"/>
        <v>17.21</v>
      </c>
      <c r="AE402" s="27">
        <f t="shared" si="319"/>
        <v>0</v>
      </c>
      <c r="AF402" s="21">
        <f t="shared" si="320"/>
        <v>0</v>
      </c>
      <c r="AG402" s="21">
        <v>0</v>
      </c>
      <c r="AH402" s="21">
        <f t="shared" si="321"/>
        <v>0</v>
      </c>
      <c r="AI402" s="21">
        <f t="shared" si="322"/>
        <v>0</v>
      </c>
      <c r="AJ402" s="21">
        <f t="shared" si="323"/>
        <v>0</v>
      </c>
      <c r="AK402" s="9" t="s">
        <v>57</v>
      </c>
      <c r="AL402" s="9" t="s">
        <v>57</v>
      </c>
      <c r="AM402" s="22">
        <v>0</v>
      </c>
      <c r="AN402" s="23">
        <f t="shared" si="324"/>
        <v>0</v>
      </c>
      <c r="AO402" s="9"/>
      <c r="AP402" s="26">
        <v>0</v>
      </c>
      <c r="AQ402" s="9"/>
    </row>
    <row r="403" spans="2:43" ht="94.5" x14ac:dyDescent="0.25">
      <c r="B403" s="170" t="s">
        <v>431</v>
      </c>
      <c r="C403" s="96" t="s">
        <v>861</v>
      </c>
      <c r="D403" s="93" t="s">
        <v>87</v>
      </c>
      <c r="E403" s="92">
        <v>1</v>
      </c>
      <c r="F403" s="92">
        <v>1</v>
      </c>
      <c r="G403" s="91">
        <v>0</v>
      </c>
      <c r="H403" s="90">
        <f t="shared" si="325"/>
        <v>0</v>
      </c>
      <c r="I403" s="168"/>
      <c r="J403" s="84"/>
      <c r="K403" s="100">
        <f t="shared" si="326"/>
        <v>0</v>
      </c>
      <c r="L403" s="88">
        <f t="shared" si="327"/>
        <v>0</v>
      </c>
      <c r="M403" s="8"/>
      <c r="N403" s="29"/>
      <c r="O403" s="8"/>
      <c r="P403" s="220"/>
      <c r="Q403" s="220"/>
      <c r="R403" s="220"/>
      <c r="S403" s="8"/>
      <c r="T403" s="20"/>
      <c r="U403" s="21">
        <v>0</v>
      </c>
      <c r="V403" s="21">
        <v>0</v>
      </c>
      <c r="W403" s="21">
        <f t="shared" si="278"/>
        <v>0</v>
      </c>
      <c r="X403" s="22">
        <v>1</v>
      </c>
      <c r="Y403" s="23">
        <f t="shared" si="315"/>
        <v>0</v>
      </c>
      <c r="Z403" s="234">
        <f t="shared" si="328"/>
        <v>0</v>
      </c>
      <c r="AA403" s="21">
        <f t="shared" si="281"/>
        <v>0</v>
      </c>
      <c r="AC403" s="9"/>
      <c r="AD403" s="9" t="str">
        <f t="shared" si="318"/>
        <v>17.22</v>
      </c>
      <c r="AE403" s="27">
        <f t="shared" si="319"/>
        <v>0</v>
      </c>
      <c r="AF403" s="21">
        <f t="shared" si="320"/>
        <v>0</v>
      </c>
      <c r="AG403" s="21">
        <v>0</v>
      </c>
      <c r="AH403" s="21">
        <f t="shared" si="321"/>
        <v>0</v>
      </c>
      <c r="AI403" s="21">
        <f t="shared" si="322"/>
        <v>0</v>
      </c>
      <c r="AJ403" s="21">
        <f t="shared" si="323"/>
        <v>0</v>
      </c>
      <c r="AK403" s="9" t="s">
        <v>57</v>
      </c>
      <c r="AL403" s="9" t="s">
        <v>57</v>
      </c>
      <c r="AM403" s="22">
        <v>0</v>
      </c>
      <c r="AN403" s="23">
        <f t="shared" si="324"/>
        <v>0</v>
      </c>
      <c r="AO403" s="9"/>
      <c r="AP403" s="26">
        <v>0</v>
      </c>
      <c r="AQ403" s="9"/>
    </row>
    <row r="404" spans="2:43" ht="94.5" x14ac:dyDescent="0.25">
      <c r="B404" s="170" t="s">
        <v>432</v>
      </c>
      <c r="C404" s="96" t="s">
        <v>862</v>
      </c>
      <c r="D404" s="93" t="s">
        <v>87</v>
      </c>
      <c r="E404" s="92">
        <v>1</v>
      </c>
      <c r="F404" s="92">
        <v>1</v>
      </c>
      <c r="G404" s="91">
        <v>0</v>
      </c>
      <c r="H404" s="90">
        <f t="shared" ref="H404" si="334">E404*F404*G404</f>
        <v>0</v>
      </c>
      <c r="I404" s="168"/>
      <c r="J404" s="84"/>
      <c r="K404" s="100">
        <f t="shared" si="326"/>
        <v>0</v>
      </c>
      <c r="L404" s="88">
        <f t="shared" si="327"/>
        <v>0</v>
      </c>
      <c r="M404" s="8"/>
      <c r="N404" s="29"/>
      <c r="O404" s="8"/>
      <c r="P404" s="220"/>
      <c r="Q404" s="220"/>
      <c r="R404" s="220"/>
      <c r="S404" s="8"/>
      <c r="T404" s="20"/>
      <c r="U404" s="21">
        <v>0</v>
      </c>
      <c r="V404" s="21">
        <v>0</v>
      </c>
      <c r="W404" s="21">
        <f t="shared" si="278"/>
        <v>0</v>
      </c>
      <c r="X404" s="22">
        <v>1</v>
      </c>
      <c r="Y404" s="23">
        <f t="shared" si="315"/>
        <v>0</v>
      </c>
      <c r="Z404" s="234">
        <f t="shared" si="328"/>
        <v>0</v>
      </c>
      <c r="AA404" s="21">
        <f t="shared" si="281"/>
        <v>0</v>
      </c>
      <c r="AC404" s="9"/>
      <c r="AD404" s="9" t="str">
        <f t="shared" si="318"/>
        <v>17.23</v>
      </c>
      <c r="AE404" s="27">
        <f t="shared" si="319"/>
        <v>0</v>
      </c>
      <c r="AF404" s="21">
        <f t="shared" si="320"/>
        <v>0</v>
      </c>
      <c r="AG404" s="21">
        <v>0</v>
      </c>
      <c r="AH404" s="21">
        <f t="shared" si="321"/>
        <v>0</v>
      </c>
      <c r="AI404" s="21">
        <f t="shared" si="322"/>
        <v>0</v>
      </c>
      <c r="AJ404" s="21">
        <f t="shared" si="323"/>
        <v>0</v>
      </c>
      <c r="AK404" s="9" t="s">
        <v>57</v>
      </c>
      <c r="AL404" s="9" t="s">
        <v>57</v>
      </c>
      <c r="AM404" s="22">
        <v>0</v>
      </c>
      <c r="AN404" s="23">
        <f t="shared" si="324"/>
        <v>0</v>
      </c>
      <c r="AO404" s="9"/>
      <c r="AP404" s="26">
        <v>0</v>
      </c>
      <c r="AQ404" s="9"/>
    </row>
    <row r="405" spans="2:43" ht="94.5" x14ac:dyDescent="0.25">
      <c r="B405" s="170" t="s">
        <v>433</v>
      </c>
      <c r="C405" s="96" t="s">
        <v>863</v>
      </c>
      <c r="D405" s="93" t="s">
        <v>87</v>
      </c>
      <c r="E405" s="92">
        <v>1</v>
      </c>
      <c r="F405" s="92">
        <v>1</v>
      </c>
      <c r="G405" s="91">
        <v>0</v>
      </c>
      <c r="H405" s="90">
        <f t="shared" si="325"/>
        <v>0</v>
      </c>
      <c r="I405" s="168"/>
      <c r="J405" s="84"/>
      <c r="K405" s="100">
        <f t="shared" si="326"/>
        <v>0</v>
      </c>
      <c r="L405" s="88">
        <f t="shared" si="327"/>
        <v>0</v>
      </c>
      <c r="M405" s="8"/>
      <c r="N405" s="29"/>
      <c r="O405" s="8"/>
      <c r="P405" s="220"/>
      <c r="Q405" s="220"/>
      <c r="R405" s="220"/>
      <c r="S405" s="8"/>
      <c r="T405" s="20"/>
      <c r="U405" s="21">
        <v>0</v>
      </c>
      <c r="V405" s="21">
        <v>0</v>
      </c>
      <c r="W405" s="21">
        <f t="shared" si="278"/>
        <v>0</v>
      </c>
      <c r="X405" s="22">
        <v>1</v>
      </c>
      <c r="Y405" s="23">
        <f t="shared" si="315"/>
        <v>0</v>
      </c>
      <c r="Z405" s="234">
        <f t="shared" si="328"/>
        <v>0</v>
      </c>
      <c r="AA405" s="21">
        <f t="shared" si="281"/>
        <v>0</v>
      </c>
      <c r="AC405" s="9"/>
      <c r="AD405" s="9" t="str">
        <f t="shared" si="318"/>
        <v>17.24</v>
      </c>
      <c r="AE405" s="27">
        <f t="shared" si="319"/>
        <v>0</v>
      </c>
      <c r="AF405" s="21">
        <f t="shared" si="320"/>
        <v>0</v>
      </c>
      <c r="AG405" s="21">
        <v>0</v>
      </c>
      <c r="AH405" s="21">
        <f t="shared" si="321"/>
        <v>0</v>
      </c>
      <c r="AI405" s="21">
        <f t="shared" si="322"/>
        <v>0</v>
      </c>
      <c r="AJ405" s="21">
        <f t="shared" si="323"/>
        <v>0</v>
      </c>
      <c r="AK405" s="9" t="s">
        <v>57</v>
      </c>
      <c r="AL405" s="9" t="s">
        <v>57</v>
      </c>
      <c r="AM405" s="22">
        <v>0</v>
      </c>
      <c r="AN405" s="23">
        <f t="shared" si="324"/>
        <v>0</v>
      </c>
      <c r="AO405" s="9"/>
      <c r="AP405" s="26">
        <v>0</v>
      </c>
      <c r="AQ405" s="9"/>
    </row>
    <row r="406" spans="2:43" ht="38.25" x14ac:dyDescent="0.25">
      <c r="B406" s="165">
        <v>18</v>
      </c>
      <c r="C406" s="87" t="s">
        <v>100</v>
      </c>
      <c r="D406" s="87"/>
      <c r="E406" s="87"/>
      <c r="F406" s="87"/>
      <c r="G406" s="87"/>
      <c r="H406" s="87"/>
      <c r="I406" s="166">
        <f>SUM(H407:H419)</f>
        <v>0</v>
      </c>
      <c r="J406" s="84"/>
      <c r="K406" s="99" t="s">
        <v>75</v>
      </c>
      <c r="L406" s="98" t="str">
        <f>L$15</f>
        <v>30 DIAS</v>
      </c>
      <c r="M406" s="8"/>
      <c r="N406" s="29"/>
      <c r="O406" s="8"/>
      <c r="P406" s="218" t="s">
        <v>506</v>
      </c>
      <c r="Q406" s="218" t="s">
        <v>507</v>
      </c>
      <c r="R406" s="218" t="s">
        <v>508</v>
      </c>
      <c r="S406" s="8"/>
      <c r="T406" s="144" t="s">
        <v>22</v>
      </c>
      <c r="U406" s="145" t="s">
        <v>23</v>
      </c>
      <c r="V406" s="146" t="s">
        <v>523</v>
      </c>
      <c r="W406" s="146" t="s">
        <v>24</v>
      </c>
      <c r="X406" s="333" t="s">
        <v>68</v>
      </c>
      <c r="Y406" s="334"/>
      <c r="Z406" s="147" t="s">
        <v>25</v>
      </c>
      <c r="AA406" s="147" t="s">
        <v>26</v>
      </c>
      <c r="AB406" s="148"/>
      <c r="AC406" s="149" t="s">
        <v>16</v>
      </c>
      <c r="AD406" s="149" t="s">
        <v>17</v>
      </c>
      <c r="AE406" s="150" t="s">
        <v>22</v>
      </c>
      <c r="AF406" s="151" t="s">
        <v>23</v>
      </c>
      <c r="AG406" s="146" t="s">
        <v>523</v>
      </c>
      <c r="AH406" s="152" t="s">
        <v>24</v>
      </c>
      <c r="AI406" s="153" t="s">
        <v>25</v>
      </c>
      <c r="AJ406" s="153" t="s">
        <v>26</v>
      </c>
      <c r="AK406" s="149" t="s">
        <v>18</v>
      </c>
      <c r="AL406" s="149" t="s">
        <v>67</v>
      </c>
      <c r="AM406" s="333" t="s">
        <v>68</v>
      </c>
      <c r="AN406" s="334"/>
      <c r="AO406" s="149" t="s">
        <v>19</v>
      </c>
      <c r="AP406" s="149" t="s">
        <v>20</v>
      </c>
      <c r="AQ406" s="154" t="s">
        <v>21</v>
      </c>
    </row>
    <row r="407" spans="2:43" ht="79.5" customHeight="1" x14ac:dyDescent="0.25">
      <c r="B407" s="170" t="s">
        <v>435</v>
      </c>
      <c r="C407" s="97" t="s">
        <v>864</v>
      </c>
      <c r="D407" s="93" t="s">
        <v>87</v>
      </c>
      <c r="E407" s="92">
        <v>1</v>
      </c>
      <c r="F407" s="92">
        <v>1</v>
      </c>
      <c r="G407" s="91">
        <v>0</v>
      </c>
      <c r="H407" s="90">
        <f t="shared" ref="H407:H419" si="335">E407*F407*G407</f>
        <v>0</v>
      </c>
      <c r="I407" s="169"/>
      <c r="J407" s="84"/>
      <c r="K407" s="89">
        <v>0</v>
      </c>
      <c r="L407" s="88">
        <f>H407</f>
        <v>0</v>
      </c>
      <c r="M407" s="8"/>
      <c r="N407" s="29"/>
      <c r="O407" s="8"/>
      <c r="P407" s="220"/>
      <c r="Q407" s="220"/>
      <c r="R407" s="220"/>
      <c r="S407" s="8"/>
      <c r="T407" s="20"/>
      <c r="U407" s="21">
        <v>0</v>
      </c>
      <c r="V407" s="21">
        <v>0</v>
      </c>
      <c r="W407" s="21">
        <f t="shared" ref="W407:W419" si="336">(H407-U407)-V407</f>
        <v>0</v>
      </c>
      <c r="X407" s="22">
        <v>1</v>
      </c>
      <c r="Y407" s="23">
        <f t="shared" si="315"/>
        <v>0</v>
      </c>
      <c r="Z407" s="234">
        <f>U407*0%</f>
        <v>0</v>
      </c>
      <c r="AA407" s="21">
        <f t="shared" si="281"/>
        <v>0</v>
      </c>
      <c r="AC407" s="9"/>
      <c r="AD407" s="9" t="str">
        <f t="shared" ref="AD407:AD419" si="337">B407</f>
        <v>18.1</v>
      </c>
      <c r="AE407" s="27">
        <f t="shared" ref="AE407:AE419" si="338">T407</f>
        <v>0</v>
      </c>
      <c r="AF407" s="21">
        <f t="shared" ref="AF407:AF419" si="339">U407</f>
        <v>0</v>
      </c>
      <c r="AG407" s="21">
        <v>0</v>
      </c>
      <c r="AH407" s="21">
        <f t="shared" ref="AH407:AH419" si="340">H407-AF407</f>
        <v>0</v>
      </c>
      <c r="AI407" s="21">
        <f t="shared" ref="AI407:AI419" si="341">AF407*10%</f>
        <v>0</v>
      </c>
      <c r="AJ407" s="21">
        <f t="shared" ref="AJ407:AJ419" si="342">AN407+AI407</f>
        <v>0</v>
      </c>
      <c r="AK407" s="9" t="s">
        <v>57</v>
      </c>
      <c r="AL407" s="9" t="s">
        <v>57</v>
      </c>
      <c r="AM407" s="22">
        <v>0</v>
      </c>
      <c r="AN407" s="23">
        <f t="shared" ref="AN407:AN419" si="343">(AH407-(AH407*AM407))</f>
        <v>0</v>
      </c>
      <c r="AO407" s="9"/>
      <c r="AP407" s="26">
        <v>0</v>
      </c>
      <c r="AQ407" s="9"/>
    </row>
    <row r="408" spans="2:43" ht="63" x14ac:dyDescent="0.25">
      <c r="B408" s="170" t="s">
        <v>436</v>
      </c>
      <c r="C408" s="108" t="s">
        <v>865</v>
      </c>
      <c r="D408" s="93" t="s">
        <v>87</v>
      </c>
      <c r="E408" s="92">
        <v>1</v>
      </c>
      <c r="F408" s="92">
        <v>1</v>
      </c>
      <c r="G408" s="91">
        <v>0</v>
      </c>
      <c r="H408" s="90">
        <f t="shared" ref="H408:H413" si="344">E408*F408*G408</f>
        <v>0</v>
      </c>
      <c r="I408" s="168"/>
      <c r="J408" s="84"/>
      <c r="K408" s="95">
        <v>0</v>
      </c>
      <c r="L408" s="127">
        <f>H408</f>
        <v>0</v>
      </c>
      <c r="M408" s="7"/>
      <c r="N408" s="33"/>
      <c r="O408" s="7"/>
      <c r="P408" s="219"/>
      <c r="Q408" s="219"/>
      <c r="R408" s="219"/>
      <c r="S408" s="7"/>
      <c r="T408" s="20"/>
      <c r="U408" s="21">
        <v>0</v>
      </c>
      <c r="V408" s="21">
        <v>0</v>
      </c>
      <c r="W408" s="21">
        <f t="shared" si="336"/>
        <v>0</v>
      </c>
      <c r="X408" s="22">
        <v>1</v>
      </c>
      <c r="Y408" s="23">
        <f t="shared" ref="Y408:Y413" si="345">W408-(W408*X408)</f>
        <v>0</v>
      </c>
      <c r="Z408" s="21">
        <f t="shared" ref="Z408:Z411" si="346">U408*10%</f>
        <v>0</v>
      </c>
      <c r="AA408" s="21">
        <f t="shared" ref="AA408:AA413" si="347">(W408+Z408)-Y408</f>
        <v>0</v>
      </c>
      <c r="AC408" s="9"/>
      <c r="AD408" s="9" t="str">
        <f t="shared" ref="AD408:AD409" si="348">B408</f>
        <v>18.2</v>
      </c>
      <c r="AE408" s="27">
        <f t="shared" ref="AE408:AE409" si="349">T408</f>
        <v>0</v>
      </c>
      <c r="AF408" s="21">
        <f t="shared" ref="AF408:AF409" si="350">U408</f>
        <v>0</v>
      </c>
      <c r="AG408" s="21">
        <v>0</v>
      </c>
      <c r="AH408" s="21">
        <f t="shared" ref="AH408:AH409" si="351">H408-AF408</f>
        <v>0</v>
      </c>
      <c r="AI408" s="21">
        <f t="shared" ref="AI408:AI409" si="352">AF408*10%</f>
        <v>0</v>
      </c>
      <c r="AJ408" s="21">
        <f t="shared" ref="AJ408:AJ409" si="353">AN408+AI408</f>
        <v>0</v>
      </c>
      <c r="AK408" s="9" t="s">
        <v>57</v>
      </c>
      <c r="AL408" s="9" t="s">
        <v>57</v>
      </c>
      <c r="AM408" s="22">
        <v>0</v>
      </c>
      <c r="AN408" s="23">
        <f t="shared" ref="AN408:AN409" si="354">(AH408-(AH408*AM408))</f>
        <v>0</v>
      </c>
      <c r="AO408" s="9"/>
      <c r="AP408" s="26">
        <v>0</v>
      </c>
      <c r="AQ408" s="9"/>
    </row>
    <row r="409" spans="2:43" ht="63" x14ac:dyDescent="0.25">
      <c r="B409" s="170" t="s">
        <v>437</v>
      </c>
      <c r="C409" s="108" t="s">
        <v>866</v>
      </c>
      <c r="D409" s="93" t="s">
        <v>87</v>
      </c>
      <c r="E409" s="92">
        <v>1</v>
      </c>
      <c r="F409" s="92">
        <v>1</v>
      </c>
      <c r="G409" s="91">
        <v>0</v>
      </c>
      <c r="H409" s="90">
        <f t="shared" si="344"/>
        <v>0</v>
      </c>
      <c r="I409" s="168"/>
      <c r="J409" s="84"/>
      <c r="K409" s="95">
        <v>0</v>
      </c>
      <c r="L409" s="127">
        <f>H409</f>
        <v>0</v>
      </c>
      <c r="M409" s="16"/>
      <c r="N409" s="33"/>
      <c r="O409" s="16"/>
      <c r="P409" s="219"/>
      <c r="Q409" s="219"/>
      <c r="R409" s="219"/>
      <c r="S409" s="16"/>
      <c r="T409" s="20"/>
      <c r="U409" s="21">
        <v>0</v>
      </c>
      <c r="V409" s="21">
        <v>0</v>
      </c>
      <c r="W409" s="21">
        <f t="shared" si="336"/>
        <v>0</v>
      </c>
      <c r="X409" s="22">
        <v>1</v>
      </c>
      <c r="Y409" s="23">
        <f t="shared" si="345"/>
        <v>0</v>
      </c>
      <c r="Z409" s="21">
        <f t="shared" si="346"/>
        <v>0</v>
      </c>
      <c r="AA409" s="21">
        <f t="shared" si="347"/>
        <v>0</v>
      </c>
      <c r="AC409" s="9"/>
      <c r="AD409" s="9" t="str">
        <f t="shared" si="348"/>
        <v>18.3</v>
      </c>
      <c r="AE409" s="27">
        <f t="shared" si="349"/>
        <v>0</v>
      </c>
      <c r="AF409" s="21">
        <f t="shared" si="350"/>
        <v>0</v>
      </c>
      <c r="AG409" s="21">
        <v>0</v>
      </c>
      <c r="AH409" s="21">
        <f t="shared" si="351"/>
        <v>0</v>
      </c>
      <c r="AI409" s="21">
        <f t="shared" si="352"/>
        <v>0</v>
      </c>
      <c r="AJ409" s="21">
        <f t="shared" si="353"/>
        <v>0</v>
      </c>
      <c r="AK409" s="9" t="s">
        <v>57</v>
      </c>
      <c r="AL409" s="9" t="s">
        <v>57</v>
      </c>
      <c r="AM409" s="22">
        <v>0</v>
      </c>
      <c r="AN409" s="23">
        <f t="shared" si="354"/>
        <v>0</v>
      </c>
      <c r="AO409" s="9"/>
      <c r="AP409" s="26">
        <v>0</v>
      </c>
      <c r="AQ409" s="9"/>
    </row>
    <row r="410" spans="2:43" ht="126" x14ac:dyDescent="0.25">
      <c r="B410" s="170" t="s">
        <v>438</v>
      </c>
      <c r="C410" s="108" t="s">
        <v>867</v>
      </c>
      <c r="D410" s="93" t="s">
        <v>87</v>
      </c>
      <c r="E410" s="92">
        <v>1</v>
      </c>
      <c r="F410" s="92">
        <v>1</v>
      </c>
      <c r="G410" s="91">
        <v>0</v>
      </c>
      <c r="H410" s="90">
        <f t="shared" si="344"/>
        <v>0</v>
      </c>
      <c r="I410" s="214"/>
      <c r="J410" s="84"/>
      <c r="K410" s="95">
        <f>H410</f>
        <v>0</v>
      </c>
      <c r="L410" s="127">
        <v>0</v>
      </c>
      <c r="M410" s="11"/>
      <c r="N410" s="29"/>
      <c r="O410" s="11"/>
      <c r="P410" s="219"/>
      <c r="Q410" s="219"/>
      <c r="R410" s="219"/>
      <c r="S410" s="11"/>
      <c r="T410" s="20"/>
      <c r="U410" s="21">
        <v>0</v>
      </c>
      <c r="V410" s="21">
        <v>0</v>
      </c>
      <c r="W410" s="21">
        <f t="shared" si="336"/>
        <v>0</v>
      </c>
      <c r="X410" s="22">
        <v>1</v>
      </c>
      <c r="Y410" s="23">
        <f t="shared" si="345"/>
        <v>0</v>
      </c>
      <c r="Z410" s="21">
        <f t="shared" si="346"/>
        <v>0</v>
      </c>
      <c r="AA410" s="21">
        <f t="shared" si="347"/>
        <v>0</v>
      </c>
      <c r="AC410" s="9"/>
      <c r="AD410" s="9" t="str">
        <f>B410</f>
        <v>18.4</v>
      </c>
      <c r="AE410" s="27">
        <f t="shared" ref="AE410:AF413" si="355">T410</f>
        <v>0</v>
      </c>
      <c r="AF410" s="21">
        <f t="shared" si="355"/>
        <v>0</v>
      </c>
      <c r="AG410" s="21">
        <v>0</v>
      </c>
      <c r="AH410" s="21">
        <f>H410-AF410</f>
        <v>0</v>
      </c>
      <c r="AI410" s="21">
        <f>AF410*10%</f>
        <v>0</v>
      </c>
      <c r="AJ410" s="21">
        <f>AN410+AI410</f>
        <v>0</v>
      </c>
      <c r="AK410" s="9" t="s">
        <v>57</v>
      </c>
      <c r="AL410" s="9" t="s">
        <v>57</v>
      </c>
      <c r="AM410" s="22">
        <v>0</v>
      </c>
      <c r="AN410" s="23">
        <f>(AH410-(AH410*AM410))</f>
        <v>0</v>
      </c>
      <c r="AO410" s="9"/>
      <c r="AP410" s="26">
        <v>0</v>
      </c>
      <c r="AQ410" s="9"/>
    </row>
    <row r="411" spans="2:43" ht="126" x14ac:dyDescent="0.25">
      <c r="B411" s="170" t="s">
        <v>439</v>
      </c>
      <c r="C411" s="108" t="s">
        <v>868</v>
      </c>
      <c r="D411" s="93" t="s">
        <v>87</v>
      </c>
      <c r="E411" s="92">
        <v>1</v>
      </c>
      <c r="F411" s="92">
        <v>1</v>
      </c>
      <c r="G411" s="91">
        <v>0</v>
      </c>
      <c r="H411" s="90">
        <f t="shared" si="344"/>
        <v>0</v>
      </c>
      <c r="I411" s="214"/>
      <c r="J411" s="84"/>
      <c r="K411" s="95">
        <f>H411</f>
        <v>0</v>
      </c>
      <c r="L411" s="127">
        <v>0</v>
      </c>
      <c r="N411" s="29"/>
      <c r="P411" s="219"/>
      <c r="Q411" s="219"/>
      <c r="R411" s="219"/>
      <c r="T411" s="20"/>
      <c r="U411" s="21">
        <v>0</v>
      </c>
      <c r="V411" s="21">
        <v>0</v>
      </c>
      <c r="W411" s="21">
        <f t="shared" si="336"/>
        <v>0</v>
      </c>
      <c r="X411" s="22">
        <v>1</v>
      </c>
      <c r="Y411" s="23">
        <f t="shared" si="345"/>
        <v>0</v>
      </c>
      <c r="Z411" s="21">
        <f t="shared" si="346"/>
        <v>0</v>
      </c>
      <c r="AA411" s="21">
        <f t="shared" si="347"/>
        <v>0</v>
      </c>
      <c r="AC411" s="9"/>
      <c r="AD411" s="9" t="str">
        <f>B411</f>
        <v>18.5</v>
      </c>
      <c r="AE411" s="27">
        <f t="shared" si="355"/>
        <v>0</v>
      </c>
      <c r="AF411" s="21">
        <f t="shared" si="355"/>
        <v>0</v>
      </c>
      <c r="AG411" s="21">
        <v>0</v>
      </c>
      <c r="AH411" s="21">
        <f>H411-AF411</f>
        <v>0</v>
      </c>
      <c r="AI411" s="21">
        <f>AF411*10%</f>
        <v>0</v>
      </c>
      <c r="AJ411" s="21">
        <f>AN411+AI411</f>
        <v>0</v>
      </c>
      <c r="AK411" s="9" t="s">
        <v>57</v>
      </c>
      <c r="AL411" s="9" t="s">
        <v>57</v>
      </c>
      <c r="AM411" s="22">
        <v>0</v>
      </c>
      <c r="AN411" s="23">
        <f>(AH411-(AH411*AM411))</f>
        <v>0</v>
      </c>
      <c r="AO411" s="9"/>
      <c r="AP411" s="26">
        <v>0</v>
      </c>
      <c r="AQ411" s="9"/>
    </row>
    <row r="412" spans="2:43" ht="157.5" x14ac:dyDescent="0.25">
      <c r="B412" s="170" t="s">
        <v>440</v>
      </c>
      <c r="C412" s="108" t="s">
        <v>870</v>
      </c>
      <c r="D412" s="235" t="s">
        <v>87</v>
      </c>
      <c r="E412" s="236">
        <f>GRADE!N$82</f>
        <v>0</v>
      </c>
      <c r="F412" s="236">
        <v>1</v>
      </c>
      <c r="G412" s="237">
        <v>0</v>
      </c>
      <c r="H412" s="238">
        <f t="shared" si="344"/>
        <v>0</v>
      </c>
      <c r="I412" s="168"/>
      <c r="J412" s="84"/>
      <c r="K412" s="95">
        <v>0</v>
      </c>
      <c r="L412" s="88">
        <f>H412</f>
        <v>0</v>
      </c>
      <c r="M412" s="8"/>
      <c r="N412" s="29"/>
      <c r="O412" s="8"/>
      <c r="P412" s="220"/>
      <c r="Q412" s="220"/>
      <c r="R412" s="220"/>
      <c r="S412" s="8"/>
      <c r="T412" s="20"/>
      <c r="U412" s="21">
        <v>0</v>
      </c>
      <c r="V412" s="21">
        <v>0</v>
      </c>
      <c r="W412" s="21">
        <f t="shared" si="336"/>
        <v>0</v>
      </c>
      <c r="X412" s="22">
        <v>1</v>
      </c>
      <c r="Y412" s="23">
        <f t="shared" si="345"/>
        <v>0</v>
      </c>
      <c r="Z412" s="234">
        <f>U412*0%</f>
        <v>0</v>
      </c>
      <c r="AA412" s="21">
        <f t="shared" si="347"/>
        <v>0</v>
      </c>
      <c r="AC412" s="9"/>
      <c r="AD412" s="9" t="str">
        <f>B412</f>
        <v>18.6</v>
      </c>
      <c r="AE412" s="27">
        <f t="shared" si="355"/>
        <v>0</v>
      </c>
      <c r="AF412" s="21">
        <f t="shared" si="355"/>
        <v>0</v>
      </c>
      <c r="AG412" s="21">
        <v>0</v>
      </c>
      <c r="AH412" s="21">
        <f>H412-AF412</f>
        <v>0</v>
      </c>
      <c r="AI412" s="21">
        <f>AF412*10%</f>
        <v>0</v>
      </c>
      <c r="AJ412" s="21">
        <f>AN412+AI412</f>
        <v>0</v>
      </c>
      <c r="AK412" s="9" t="s">
        <v>57</v>
      </c>
      <c r="AL412" s="9" t="s">
        <v>57</v>
      </c>
      <c r="AM412" s="22">
        <v>0</v>
      </c>
      <c r="AN412" s="23">
        <f>(AH412-(AH412*AM412))</f>
        <v>0</v>
      </c>
      <c r="AO412" s="9"/>
      <c r="AP412" s="26">
        <v>0</v>
      </c>
      <c r="AQ412" s="9"/>
    </row>
    <row r="413" spans="2:43" ht="94.5" x14ac:dyDescent="0.25">
      <c r="B413" s="170" t="s">
        <v>441</v>
      </c>
      <c r="C413" s="108" t="s">
        <v>869</v>
      </c>
      <c r="D413" s="242" t="s">
        <v>87</v>
      </c>
      <c r="E413" s="243">
        <v>1</v>
      </c>
      <c r="F413" s="243">
        <v>1</v>
      </c>
      <c r="G413" s="244">
        <v>0</v>
      </c>
      <c r="H413" s="244">
        <f t="shared" si="344"/>
        <v>0</v>
      </c>
      <c r="I413" s="168"/>
      <c r="J413" s="84"/>
      <c r="K413" s="95">
        <f>H413</f>
        <v>0</v>
      </c>
      <c r="L413" s="127">
        <v>0</v>
      </c>
      <c r="M413" s="8"/>
      <c r="N413" s="29"/>
      <c r="O413" s="8"/>
      <c r="P413" s="219"/>
      <c r="Q413" s="219"/>
      <c r="R413" s="219"/>
      <c r="S413" s="8"/>
      <c r="T413" s="20"/>
      <c r="U413" s="21">
        <v>0</v>
      </c>
      <c r="V413" s="21">
        <v>0</v>
      </c>
      <c r="W413" s="21">
        <f t="shared" si="336"/>
        <v>0</v>
      </c>
      <c r="X413" s="22">
        <v>1</v>
      </c>
      <c r="Y413" s="23">
        <f t="shared" si="345"/>
        <v>0</v>
      </c>
      <c r="Z413" s="234">
        <f t="shared" ref="Z413:Z414" si="356">U413*0%</f>
        <v>0</v>
      </c>
      <c r="AA413" s="21">
        <f t="shared" si="347"/>
        <v>0</v>
      </c>
      <c r="AC413" s="9"/>
      <c r="AD413" s="9" t="str">
        <f>B413</f>
        <v>18.7</v>
      </c>
      <c r="AE413" s="27">
        <f t="shared" si="355"/>
        <v>0</v>
      </c>
      <c r="AF413" s="21">
        <f t="shared" si="355"/>
        <v>0</v>
      </c>
      <c r="AG413" s="21">
        <v>0</v>
      </c>
      <c r="AH413" s="21">
        <f>H413-AF413</f>
        <v>0</v>
      </c>
      <c r="AI413" s="21">
        <f>AF413*10%</f>
        <v>0</v>
      </c>
      <c r="AJ413" s="21">
        <f>AN413+AI413</f>
        <v>0</v>
      </c>
      <c r="AK413" s="9" t="s">
        <v>57</v>
      </c>
      <c r="AL413" s="9" t="s">
        <v>57</v>
      </c>
      <c r="AM413" s="22">
        <v>0</v>
      </c>
      <c r="AN413" s="23">
        <f>(AH413-(AH413*AM413))</f>
        <v>0</v>
      </c>
      <c r="AO413" s="9"/>
      <c r="AP413" s="26">
        <v>0</v>
      </c>
      <c r="AQ413" s="9"/>
    </row>
    <row r="414" spans="2:43" ht="94.5" x14ac:dyDescent="0.25">
      <c r="B414" s="170" t="s">
        <v>512</v>
      </c>
      <c r="C414" s="96" t="s">
        <v>871</v>
      </c>
      <c r="D414" s="239" t="s">
        <v>87</v>
      </c>
      <c r="E414" s="111">
        <v>1</v>
      </c>
      <c r="F414" s="111">
        <v>1</v>
      </c>
      <c r="G414" s="90">
        <v>0</v>
      </c>
      <c r="H414" s="90">
        <f t="shared" si="335"/>
        <v>0</v>
      </c>
      <c r="I414" s="168"/>
      <c r="J414" s="84"/>
      <c r="K414" s="89">
        <v>0</v>
      </c>
      <c r="L414" s="88">
        <f>H414</f>
        <v>0</v>
      </c>
      <c r="M414" s="8"/>
      <c r="N414" s="29"/>
      <c r="O414" s="8"/>
      <c r="P414" s="220"/>
      <c r="Q414" s="220"/>
      <c r="R414" s="220"/>
      <c r="S414" s="8"/>
      <c r="T414" s="20"/>
      <c r="U414" s="21">
        <v>0</v>
      </c>
      <c r="V414" s="21">
        <v>0</v>
      </c>
      <c r="W414" s="21">
        <f t="shared" si="336"/>
        <v>0</v>
      </c>
      <c r="X414" s="22">
        <v>1</v>
      </c>
      <c r="Y414" s="23">
        <f t="shared" si="315"/>
        <v>0</v>
      </c>
      <c r="Z414" s="234">
        <f t="shared" si="356"/>
        <v>0</v>
      </c>
      <c r="AA414" s="21">
        <f t="shared" si="281"/>
        <v>0</v>
      </c>
      <c r="AC414" s="9"/>
      <c r="AD414" s="9" t="str">
        <f t="shared" si="337"/>
        <v>18.8</v>
      </c>
      <c r="AE414" s="27">
        <f t="shared" si="338"/>
        <v>0</v>
      </c>
      <c r="AF414" s="21">
        <f t="shared" si="339"/>
        <v>0</v>
      </c>
      <c r="AG414" s="21">
        <v>0</v>
      </c>
      <c r="AH414" s="21">
        <f t="shared" si="340"/>
        <v>0</v>
      </c>
      <c r="AI414" s="21">
        <f t="shared" si="341"/>
        <v>0</v>
      </c>
      <c r="AJ414" s="21">
        <f t="shared" si="342"/>
        <v>0</v>
      </c>
      <c r="AK414" s="9" t="s">
        <v>57</v>
      </c>
      <c r="AL414" s="9" t="s">
        <v>57</v>
      </c>
      <c r="AM414" s="22">
        <v>0</v>
      </c>
      <c r="AN414" s="23">
        <f t="shared" si="343"/>
        <v>0</v>
      </c>
      <c r="AO414" s="9"/>
      <c r="AP414" s="26">
        <v>0</v>
      </c>
      <c r="AQ414" s="9"/>
    </row>
    <row r="415" spans="2:43" ht="78.75" x14ac:dyDescent="0.25">
      <c r="B415" s="170" t="s">
        <v>513</v>
      </c>
      <c r="C415" s="94" t="s">
        <v>888</v>
      </c>
      <c r="D415" s="93" t="s">
        <v>87</v>
      </c>
      <c r="E415" s="92">
        <v>1</v>
      </c>
      <c r="F415" s="92">
        <v>1</v>
      </c>
      <c r="G415" s="91">
        <v>0</v>
      </c>
      <c r="H415" s="90">
        <f t="shared" si="335"/>
        <v>0</v>
      </c>
      <c r="I415" s="169"/>
      <c r="J415" s="84"/>
      <c r="K415" s="89">
        <v>0</v>
      </c>
      <c r="L415" s="88">
        <f>H415</f>
        <v>0</v>
      </c>
      <c r="M415" s="8"/>
      <c r="N415" s="29"/>
      <c r="O415" s="8"/>
      <c r="P415" s="220"/>
      <c r="Q415" s="220"/>
      <c r="R415" s="220"/>
      <c r="S415" s="8"/>
      <c r="T415" s="20"/>
      <c r="U415" s="21">
        <v>0</v>
      </c>
      <c r="V415" s="21">
        <v>0</v>
      </c>
      <c r="W415" s="21">
        <f t="shared" si="336"/>
        <v>0</v>
      </c>
      <c r="X415" s="22">
        <v>1</v>
      </c>
      <c r="Y415" s="23">
        <f t="shared" si="315"/>
        <v>0</v>
      </c>
      <c r="Z415" s="21">
        <f t="shared" ref="Z415" si="357">U415*10%</f>
        <v>0</v>
      </c>
      <c r="AA415" s="21">
        <f t="shared" si="281"/>
        <v>0</v>
      </c>
      <c r="AC415" s="9"/>
      <c r="AD415" s="9" t="str">
        <f t="shared" si="337"/>
        <v>18.9</v>
      </c>
      <c r="AE415" s="27">
        <f t="shared" si="338"/>
        <v>0</v>
      </c>
      <c r="AF415" s="21">
        <f t="shared" si="339"/>
        <v>0</v>
      </c>
      <c r="AG415" s="21">
        <v>0</v>
      </c>
      <c r="AH415" s="21">
        <f t="shared" si="340"/>
        <v>0</v>
      </c>
      <c r="AI415" s="21">
        <f t="shared" si="341"/>
        <v>0</v>
      </c>
      <c r="AJ415" s="21">
        <f t="shared" si="342"/>
        <v>0</v>
      </c>
      <c r="AK415" s="9" t="s">
        <v>57</v>
      </c>
      <c r="AL415" s="9" t="s">
        <v>57</v>
      </c>
      <c r="AM415" s="22">
        <v>0</v>
      </c>
      <c r="AN415" s="23">
        <f t="shared" si="343"/>
        <v>0</v>
      </c>
      <c r="AO415" s="9"/>
      <c r="AP415" s="26">
        <v>0</v>
      </c>
      <c r="AQ415" s="9"/>
    </row>
    <row r="416" spans="2:43" ht="63" x14ac:dyDescent="0.25">
      <c r="B416" s="170" t="s">
        <v>514</v>
      </c>
      <c r="C416" s="94" t="s">
        <v>872</v>
      </c>
      <c r="D416" s="93" t="s">
        <v>87</v>
      </c>
      <c r="E416" s="92">
        <v>1</v>
      </c>
      <c r="F416" s="92">
        <v>1</v>
      </c>
      <c r="G416" s="91">
        <v>0</v>
      </c>
      <c r="H416" s="90">
        <f t="shared" si="335"/>
        <v>0</v>
      </c>
      <c r="I416" s="168"/>
      <c r="J416" s="84"/>
      <c r="K416" s="89">
        <v>0</v>
      </c>
      <c r="L416" s="88">
        <f>H416-K416</f>
        <v>0</v>
      </c>
      <c r="M416" s="8"/>
      <c r="N416" s="29"/>
      <c r="O416" s="8"/>
      <c r="P416" s="220"/>
      <c r="Q416" s="220"/>
      <c r="R416" s="220"/>
      <c r="S416" s="8"/>
      <c r="T416" s="20"/>
      <c r="U416" s="21">
        <v>0</v>
      </c>
      <c r="V416" s="21">
        <v>0</v>
      </c>
      <c r="W416" s="21">
        <f t="shared" si="336"/>
        <v>0</v>
      </c>
      <c r="X416" s="22">
        <v>1</v>
      </c>
      <c r="Y416" s="23">
        <f t="shared" si="315"/>
        <v>0</v>
      </c>
      <c r="Z416" s="234">
        <f t="shared" ref="Z416:Z419" si="358">U416*0%</f>
        <v>0</v>
      </c>
      <c r="AA416" s="21">
        <f t="shared" si="281"/>
        <v>0</v>
      </c>
      <c r="AC416" s="9"/>
      <c r="AD416" s="9" t="str">
        <f t="shared" si="337"/>
        <v>18.10</v>
      </c>
      <c r="AE416" s="27">
        <f t="shared" si="338"/>
        <v>0</v>
      </c>
      <c r="AF416" s="21">
        <f t="shared" si="339"/>
        <v>0</v>
      </c>
      <c r="AG416" s="21">
        <v>0</v>
      </c>
      <c r="AH416" s="21">
        <f t="shared" si="340"/>
        <v>0</v>
      </c>
      <c r="AI416" s="21">
        <f t="shared" si="341"/>
        <v>0</v>
      </c>
      <c r="AJ416" s="21">
        <f t="shared" si="342"/>
        <v>0</v>
      </c>
      <c r="AK416" s="9" t="s">
        <v>57</v>
      </c>
      <c r="AL416" s="9" t="s">
        <v>57</v>
      </c>
      <c r="AM416" s="22">
        <v>0</v>
      </c>
      <c r="AN416" s="23">
        <f t="shared" si="343"/>
        <v>0</v>
      </c>
      <c r="AO416" s="9"/>
      <c r="AP416" s="26">
        <v>0</v>
      </c>
      <c r="AQ416" s="9"/>
    </row>
    <row r="417" spans="2:43" ht="31.5" x14ac:dyDescent="0.25">
      <c r="B417" s="170" t="s">
        <v>515</v>
      </c>
      <c r="C417" s="97" t="s">
        <v>873</v>
      </c>
      <c r="D417" s="93" t="s">
        <v>87</v>
      </c>
      <c r="E417" s="92">
        <v>1</v>
      </c>
      <c r="F417" s="92">
        <v>1</v>
      </c>
      <c r="G417" s="91">
        <v>0</v>
      </c>
      <c r="H417" s="90">
        <f>E417*F417*G417</f>
        <v>0</v>
      </c>
      <c r="I417" s="169"/>
      <c r="J417" s="84"/>
      <c r="K417" s="89">
        <v>0</v>
      </c>
      <c r="L417" s="88">
        <f>H417</f>
        <v>0</v>
      </c>
      <c r="M417" s="8"/>
      <c r="N417" s="29"/>
      <c r="O417" s="8"/>
      <c r="P417" s="220"/>
      <c r="Q417" s="220"/>
      <c r="R417" s="220"/>
      <c r="S417" s="8"/>
      <c r="T417" s="20"/>
      <c r="U417" s="21">
        <v>0</v>
      </c>
      <c r="V417" s="21">
        <v>0</v>
      </c>
      <c r="W417" s="21">
        <f t="shared" si="336"/>
        <v>0</v>
      </c>
      <c r="X417" s="22">
        <v>1</v>
      </c>
      <c r="Y417" s="23">
        <f>W417-(W417*X417)</f>
        <v>0</v>
      </c>
      <c r="Z417" s="234">
        <f t="shared" si="358"/>
        <v>0</v>
      </c>
      <c r="AA417" s="21">
        <f>(W417+Z417)-Y417</f>
        <v>0</v>
      </c>
      <c r="AC417" s="9"/>
      <c r="AD417" s="9" t="str">
        <f t="shared" si="337"/>
        <v>18.11</v>
      </c>
      <c r="AE417" s="27">
        <f t="shared" si="338"/>
        <v>0</v>
      </c>
      <c r="AF417" s="21">
        <f t="shared" si="339"/>
        <v>0</v>
      </c>
      <c r="AG417" s="21">
        <v>0</v>
      </c>
      <c r="AH417" s="21">
        <f t="shared" si="340"/>
        <v>0</v>
      </c>
      <c r="AI417" s="21">
        <f t="shared" si="341"/>
        <v>0</v>
      </c>
      <c r="AJ417" s="21">
        <f t="shared" si="342"/>
        <v>0</v>
      </c>
      <c r="AK417" s="9" t="s">
        <v>57</v>
      </c>
      <c r="AL417" s="9" t="s">
        <v>57</v>
      </c>
      <c r="AM417" s="22">
        <v>0</v>
      </c>
      <c r="AN417" s="23">
        <f t="shared" si="343"/>
        <v>0</v>
      </c>
      <c r="AO417" s="9"/>
      <c r="AP417" s="26">
        <v>0</v>
      </c>
      <c r="AQ417" s="9"/>
    </row>
    <row r="418" spans="2:43" ht="47.25" x14ac:dyDescent="0.25">
      <c r="B418" s="170" t="s">
        <v>516</v>
      </c>
      <c r="C418" s="94" t="s">
        <v>874</v>
      </c>
      <c r="D418" s="93" t="s">
        <v>87</v>
      </c>
      <c r="E418" s="92">
        <v>1</v>
      </c>
      <c r="F418" s="92">
        <v>1</v>
      </c>
      <c r="G418" s="91">
        <v>0</v>
      </c>
      <c r="H418" s="90">
        <f t="shared" si="335"/>
        <v>0</v>
      </c>
      <c r="I418" s="168"/>
      <c r="J418" s="84"/>
      <c r="K418" s="89">
        <v>0</v>
      </c>
      <c r="L418" s="88">
        <f>H418-K418</f>
        <v>0</v>
      </c>
      <c r="M418" s="8"/>
      <c r="N418" s="29"/>
      <c r="O418" s="8"/>
      <c r="P418" s="220"/>
      <c r="Q418" s="220"/>
      <c r="R418" s="220"/>
      <c r="S418" s="8"/>
      <c r="T418" s="20"/>
      <c r="U418" s="21">
        <v>0</v>
      </c>
      <c r="V418" s="21">
        <v>0</v>
      </c>
      <c r="W418" s="21">
        <f t="shared" si="336"/>
        <v>0</v>
      </c>
      <c r="X418" s="22">
        <v>1</v>
      </c>
      <c r="Y418" s="23">
        <f t="shared" si="315"/>
        <v>0</v>
      </c>
      <c r="Z418" s="234">
        <f t="shared" si="358"/>
        <v>0</v>
      </c>
      <c r="AA418" s="21">
        <f t="shared" si="281"/>
        <v>0</v>
      </c>
      <c r="AC418" s="9"/>
      <c r="AD418" s="9" t="str">
        <f t="shared" si="337"/>
        <v>18.12</v>
      </c>
      <c r="AE418" s="27">
        <f t="shared" si="338"/>
        <v>0</v>
      </c>
      <c r="AF418" s="21">
        <f t="shared" si="339"/>
        <v>0</v>
      </c>
      <c r="AG418" s="21">
        <v>0</v>
      </c>
      <c r="AH418" s="21">
        <f t="shared" si="340"/>
        <v>0</v>
      </c>
      <c r="AI418" s="21">
        <f t="shared" si="341"/>
        <v>0</v>
      </c>
      <c r="AJ418" s="21">
        <f t="shared" si="342"/>
        <v>0</v>
      </c>
      <c r="AK418" s="9" t="s">
        <v>57</v>
      </c>
      <c r="AL418" s="9" t="s">
        <v>57</v>
      </c>
      <c r="AM418" s="22">
        <v>0</v>
      </c>
      <c r="AN418" s="23">
        <f t="shared" si="343"/>
        <v>0</v>
      </c>
      <c r="AO418" s="9"/>
      <c r="AP418" s="26">
        <v>0</v>
      </c>
      <c r="AQ418" s="9"/>
    </row>
    <row r="419" spans="2:43" ht="63" x14ac:dyDescent="0.25">
      <c r="B419" s="170" t="s">
        <v>517</v>
      </c>
      <c r="C419" s="94" t="s">
        <v>875</v>
      </c>
      <c r="D419" s="93" t="s">
        <v>87</v>
      </c>
      <c r="E419" s="92">
        <v>1</v>
      </c>
      <c r="F419" s="92">
        <v>1</v>
      </c>
      <c r="G419" s="91">
        <v>0</v>
      </c>
      <c r="H419" s="90">
        <f t="shared" si="335"/>
        <v>0</v>
      </c>
      <c r="I419" s="168"/>
      <c r="J419" s="84"/>
      <c r="K419" s="89">
        <v>0</v>
      </c>
      <c r="L419" s="88">
        <f>H419-K419</f>
        <v>0</v>
      </c>
      <c r="M419" s="8"/>
      <c r="N419" s="29"/>
      <c r="O419" s="8"/>
      <c r="P419" s="220"/>
      <c r="Q419" s="220"/>
      <c r="R419" s="220"/>
      <c r="S419" s="8"/>
      <c r="T419" s="20"/>
      <c r="U419" s="21">
        <v>0</v>
      </c>
      <c r="V419" s="21">
        <v>0</v>
      </c>
      <c r="W419" s="21">
        <f t="shared" si="336"/>
        <v>0</v>
      </c>
      <c r="X419" s="22">
        <v>1</v>
      </c>
      <c r="Y419" s="23">
        <f t="shared" si="315"/>
        <v>0</v>
      </c>
      <c r="Z419" s="234">
        <f t="shared" si="358"/>
        <v>0</v>
      </c>
      <c r="AA419" s="21">
        <f t="shared" si="281"/>
        <v>0</v>
      </c>
      <c r="AC419" s="9"/>
      <c r="AD419" s="9" t="str">
        <f t="shared" si="337"/>
        <v>18.13</v>
      </c>
      <c r="AE419" s="27">
        <f t="shared" si="338"/>
        <v>0</v>
      </c>
      <c r="AF419" s="21">
        <f t="shared" si="339"/>
        <v>0</v>
      </c>
      <c r="AG419" s="21">
        <v>0</v>
      </c>
      <c r="AH419" s="21">
        <f t="shared" si="340"/>
        <v>0</v>
      </c>
      <c r="AI419" s="21">
        <f t="shared" si="341"/>
        <v>0</v>
      </c>
      <c r="AJ419" s="21">
        <f t="shared" si="342"/>
        <v>0</v>
      </c>
      <c r="AK419" s="9" t="s">
        <v>57</v>
      </c>
      <c r="AL419" s="9" t="s">
        <v>57</v>
      </c>
      <c r="AM419" s="22">
        <v>0</v>
      </c>
      <c r="AN419" s="23">
        <f t="shared" si="343"/>
        <v>0</v>
      </c>
      <c r="AO419" s="9"/>
      <c r="AP419" s="26">
        <v>0</v>
      </c>
      <c r="AQ419" s="9"/>
    </row>
    <row r="420" spans="2:43" ht="27.95" customHeight="1" thickBot="1" x14ac:dyDescent="0.3">
      <c r="B420" s="245"/>
      <c r="C420" s="246"/>
      <c r="D420" s="246"/>
      <c r="E420" s="246"/>
      <c r="F420" s="246"/>
      <c r="G420" s="246"/>
      <c r="H420" s="247" t="s">
        <v>62</v>
      </c>
      <c r="I420" s="248">
        <f>SUM(I15:I419)</f>
        <v>0</v>
      </c>
      <c r="J420" s="84"/>
      <c r="K420" s="86">
        <f>SUM(K15:K419)</f>
        <v>0</v>
      </c>
      <c r="L420" s="85">
        <f>SUM(L15:L419)</f>
        <v>0</v>
      </c>
      <c r="M420" s="8"/>
      <c r="N420" s="29"/>
      <c r="O420" s="8"/>
      <c r="P420" s="222"/>
      <c r="Q420" s="222"/>
      <c r="R420" s="222"/>
      <c r="S420" s="8"/>
      <c r="T420" s="144" t="s">
        <v>22</v>
      </c>
      <c r="U420" s="204" t="s">
        <v>23</v>
      </c>
      <c r="V420" s="146" t="s">
        <v>523</v>
      </c>
      <c r="W420" s="205" t="s">
        <v>24</v>
      </c>
      <c r="X420" s="333" t="s">
        <v>68</v>
      </c>
      <c r="Y420" s="334"/>
      <c r="Z420" s="206" t="s">
        <v>25</v>
      </c>
      <c r="AA420" s="206" t="s">
        <v>26</v>
      </c>
      <c r="AB420" s="148"/>
      <c r="AC420" s="149"/>
      <c r="AD420" s="149"/>
      <c r="AE420" s="150"/>
      <c r="AF420" s="151" t="s">
        <v>23</v>
      </c>
      <c r="AG420" s="146" t="s">
        <v>523</v>
      </c>
      <c r="AH420" s="152" t="s">
        <v>24</v>
      </c>
      <c r="AI420" s="153" t="s">
        <v>25</v>
      </c>
      <c r="AJ420" s="153" t="s">
        <v>26</v>
      </c>
      <c r="AK420" s="149"/>
      <c r="AL420" s="149"/>
      <c r="AM420" s="333" t="s">
        <v>68</v>
      </c>
      <c r="AN420" s="334"/>
      <c r="AO420" s="149"/>
      <c r="AP420" s="149"/>
      <c r="AQ420" s="154"/>
    </row>
    <row r="421" spans="2:43" ht="27.95" customHeight="1" thickBot="1" x14ac:dyDescent="0.3">
      <c r="B421" s="357" t="s">
        <v>91</v>
      </c>
      <c r="C421" s="358"/>
      <c r="D421" s="358"/>
      <c r="E421" s="358"/>
      <c r="F421" s="358"/>
      <c r="G421" s="358"/>
      <c r="H421" s="358"/>
      <c r="I421" s="250">
        <f>SUMIF(D:D,"( I )",H:H)</f>
        <v>0</v>
      </c>
      <c r="K421" s="83"/>
      <c r="L421" s="82"/>
      <c r="M421" s="8"/>
      <c r="N421" s="29"/>
      <c r="O421" s="8"/>
      <c r="P421" s="82"/>
      <c r="Q421" s="82"/>
      <c r="R421" s="82"/>
      <c r="S421" s="8"/>
      <c r="T421" s="18"/>
      <c r="U421" s="207">
        <f>SUM(U15:U420)</f>
        <v>0</v>
      </c>
      <c r="V421" s="207">
        <f>SUM(V15:V420)</f>
        <v>0</v>
      </c>
      <c r="W421" s="207">
        <f>SUM(W15:W420)</f>
        <v>0</v>
      </c>
      <c r="X421" s="208"/>
      <c r="Y421" s="208">
        <f>SUM(Y15:Y420)</f>
        <v>0</v>
      </c>
      <c r="Z421" s="208">
        <f t="shared" ref="Z421" si="359">SUM(Z15:Z420)</f>
        <v>0</v>
      </c>
      <c r="AA421" s="208">
        <f>SUM(AA15:AA420)</f>
        <v>0</v>
      </c>
      <c r="AB421" s="3"/>
      <c r="AD421" s="1"/>
      <c r="AE421" s="25"/>
      <c r="AF421" s="189">
        <f>SUM(AF15:AF420)</f>
        <v>0</v>
      </c>
      <c r="AG421" s="189">
        <f>SUM(AG15:AG420)</f>
        <v>0</v>
      </c>
      <c r="AH421" s="189"/>
      <c r="AI421" s="201">
        <f>SUM(AI15:AI420)</f>
        <v>0</v>
      </c>
      <c r="AJ421" s="201">
        <f>SUM(AJ15:AJ420)</f>
        <v>0</v>
      </c>
      <c r="AK421" s="189"/>
      <c r="AN421" s="201">
        <f>SUM(AN15:AN420)</f>
        <v>0</v>
      </c>
      <c r="AP421" s="4"/>
      <c r="AQ421"/>
    </row>
    <row r="422" spans="2:43" ht="27.95" customHeight="1" x14ac:dyDescent="0.25">
      <c r="B422" s="359" t="s">
        <v>90</v>
      </c>
      <c r="C422" s="360"/>
      <c r="D422" s="360"/>
      <c r="E422" s="360"/>
      <c r="F422" s="360"/>
      <c r="G422" s="360"/>
      <c r="H422" s="360"/>
      <c r="I422" s="251">
        <f>SUMIF(D:D,"( T )",H:H)</f>
        <v>0</v>
      </c>
      <c r="K422" s="83"/>
      <c r="L422" s="82"/>
      <c r="M422" s="8"/>
      <c r="N422" s="29"/>
      <c r="O422" s="8"/>
      <c r="P422" s="82"/>
      <c r="Q422" s="82"/>
      <c r="R422" s="82"/>
      <c r="S422" s="8"/>
      <c r="T422" s="18"/>
      <c r="U422" s="18"/>
      <c r="V422" s="18"/>
      <c r="W422" s="18"/>
      <c r="Z422" s="348" t="s">
        <v>877</v>
      </c>
      <c r="AB422" s="3"/>
      <c r="AD422" s="7"/>
      <c r="AE422" s="25"/>
      <c r="AF422" s="25"/>
      <c r="AG422"/>
      <c r="AJ422" s="3"/>
      <c r="AP422" s="4"/>
      <c r="AQ422" s="25"/>
    </row>
    <row r="423" spans="2:43" ht="27.95" customHeight="1" thickBot="1" x14ac:dyDescent="0.3">
      <c r="B423" s="359" t="s">
        <v>89</v>
      </c>
      <c r="C423" s="360"/>
      <c r="D423" s="360"/>
      <c r="E423" s="360"/>
      <c r="F423" s="360"/>
      <c r="G423" s="360"/>
      <c r="H423" s="360"/>
      <c r="I423" s="252">
        <f>SUMIF(D:D,"( C )",H:H)</f>
        <v>0</v>
      </c>
      <c r="K423" s="83"/>
      <c r="L423" s="82"/>
      <c r="M423" s="8"/>
      <c r="N423" s="29"/>
      <c r="O423" s="8"/>
      <c r="P423" s="82"/>
      <c r="Q423" s="82"/>
      <c r="R423" s="82"/>
      <c r="S423" s="8"/>
      <c r="T423" s="18"/>
      <c r="U423" s="18"/>
      <c r="V423" s="18"/>
      <c r="W423" s="18"/>
      <c r="Z423" s="349"/>
      <c r="AB423" s="3"/>
      <c r="AD423" s="7"/>
      <c r="AE423" s="25"/>
      <c r="AF423" s="25"/>
      <c r="AG423"/>
      <c r="AJ423" s="3"/>
      <c r="AP423" s="4"/>
      <c r="AQ423" s="25"/>
    </row>
    <row r="424" spans="2:43" ht="39" customHeight="1" thickBot="1" x14ac:dyDescent="0.3">
      <c r="B424" s="361" t="s">
        <v>565</v>
      </c>
      <c r="C424" s="362"/>
      <c r="D424" s="362"/>
      <c r="E424" s="362"/>
      <c r="F424" s="362"/>
      <c r="G424" s="362"/>
      <c r="H424" s="363"/>
      <c r="I424" s="249">
        <f>SUM(I421:I423)</f>
        <v>0</v>
      </c>
      <c r="K424" s="81" t="s">
        <v>75</v>
      </c>
      <c r="L424" s="80" t="str">
        <f>L$15</f>
        <v>30 DIAS</v>
      </c>
      <c r="M424" s="8"/>
      <c r="N424" s="29"/>
      <c r="O424" s="8"/>
      <c r="P424" s="82"/>
      <c r="Q424" s="82"/>
      <c r="R424" s="82"/>
      <c r="S424" s="8"/>
      <c r="T424" s="335" t="s">
        <v>63</v>
      </c>
      <c r="U424" s="336"/>
      <c r="V424" s="227"/>
      <c r="W424" s="191">
        <f>SUM(AA421+I425+I426)</f>
        <v>0</v>
      </c>
      <c r="AB424" s="3"/>
      <c r="AD424" s="337" t="s">
        <v>63</v>
      </c>
      <c r="AE424" s="338"/>
      <c r="AF424" s="200">
        <f>SUM(AN421+AI421+I425+I426)</f>
        <v>0</v>
      </c>
      <c r="AG424"/>
      <c r="AJ424" s="3"/>
      <c r="AP424" s="4"/>
      <c r="AQ424" s="25"/>
    </row>
    <row r="425" spans="2:43" ht="27.95" customHeight="1" thickBot="1" x14ac:dyDescent="0.3">
      <c r="B425" s="364" t="s">
        <v>566</v>
      </c>
      <c r="C425" s="365"/>
      <c r="D425" s="365"/>
      <c r="E425" s="365"/>
      <c r="F425" s="365"/>
      <c r="G425" s="365"/>
      <c r="H425" s="79">
        <v>0</v>
      </c>
      <c r="I425" s="178">
        <f>SUM(I421+I422)*H425</f>
        <v>0</v>
      </c>
      <c r="K425" s="76">
        <v>0</v>
      </c>
      <c r="L425" s="75">
        <f>I425</f>
        <v>0</v>
      </c>
      <c r="M425" s="8"/>
      <c r="N425" s="29"/>
      <c r="O425" s="8"/>
      <c r="P425" s="217"/>
      <c r="Q425" s="217"/>
      <c r="R425" s="217"/>
      <c r="S425" s="8"/>
      <c r="T425" s="7"/>
      <c r="U425" s="192" t="s">
        <v>88</v>
      </c>
      <c r="V425" s="228"/>
      <c r="W425" s="193" t="e">
        <f>W424/I428</f>
        <v>#DIV/0!</v>
      </c>
      <c r="AB425" s="3"/>
      <c r="AD425" s="194"/>
      <c r="AE425" s="195" t="s">
        <v>88</v>
      </c>
      <c r="AF425" s="196" t="e">
        <f>AF424/I428</f>
        <v>#DIV/0!</v>
      </c>
      <c r="AG425"/>
      <c r="AJ425" s="3"/>
      <c r="AP425" s="4"/>
      <c r="AQ425" s="25"/>
    </row>
    <row r="426" spans="2:43" ht="27.95" customHeight="1" thickBot="1" x14ac:dyDescent="0.3">
      <c r="B426" s="366" t="s">
        <v>85</v>
      </c>
      <c r="C426" s="367"/>
      <c r="D426" s="367"/>
      <c r="E426" s="367"/>
      <c r="F426" s="367"/>
      <c r="G426" s="367"/>
      <c r="H426" s="78">
        <v>0.1</v>
      </c>
      <c r="I426" s="179">
        <f>(I421+I422)*H426</f>
        <v>0</v>
      </c>
      <c r="K426" s="76">
        <v>0</v>
      </c>
      <c r="L426" s="75">
        <f>I426</f>
        <v>0</v>
      </c>
      <c r="M426" s="8"/>
      <c r="N426" s="29"/>
      <c r="O426" s="8"/>
      <c r="P426" s="217"/>
      <c r="Q426" s="217"/>
      <c r="R426" s="217"/>
      <c r="S426" s="8"/>
      <c r="T426" s="7"/>
      <c r="U426" s="17"/>
      <c r="V426" s="17"/>
      <c r="W426" s="10"/>
      <c r="AD426" s="194"/>
      <c r="AE426" s="197"/>
      <c r="AF426" s="197"/>
      <c r="AG426"/>
      <c r="AJ426" s="3"/>
      <c r="AP426" s="4"/>
      <c r="AQ426" s="25"/>
    </row>
    <row r="427" spans="2:43" ht="27.95" customHeight="1" thickBot="1" x14ac:dyDescent="0.3">
      <c r="B427" s="350" t="s">
        <v>892</v>
      </c>
      <c r="C427" s="351"/>
      <c r="D427" s="351"/>
      <c r="E427" s="351"/>
      <c r="F427" s="351"/>
      <c r="G427" s="351"/>
      <c r="H427" s="77" t="s">
        <v>912</v>
      </c>
      <c r="I427" s="180">
        <f>(I421+I425+I426+I423)/(1-H427)-(I421+I425+I426+I423)</f>
        <v>0</v>
      </c>
      <c r="K427" s="76">
        <v>0</v>
      </c>
      <c r="L427" s="75">
        <f>I427</f>
        <v>0</v>
      </c>
      <c r="M427" s="8"/>
      <c r="N427" s="29"/>
      <c r="O427" s="8"/>
      <c r="P427" s="217"/>
      <c r="Q427" s="217"/>
      <c r="R427" s="217"/>
      <c r="S427" s="8"/>
      <c r="T427" s="7"/>
      <c r="U427" s="19" t="s">
        <v>70</v>
      </c>
      <c r="V427" s="19"/>
      <c r="W427" s="191">
        <f>SUM(AA421)</f>
        <v>0</v>
      </c>
      <c r="AD427" s="194"/>
      <c r="AE427" s="198" t="s">
        <v>70</v>
      </c>
      <c r="AF427" s="199">
        <f>AI421+AN421</f>
        <v>0</v>
      </c>
      <c r="AG427"/>
      <c r="AJ427" s="3"/>
      <c r="AP427" s="4"/>
      <c r="AQ427" s="25"/>
    </row>
    <row r="428" spans="2:43" ht="27.95" customHeight="1" thickBot="1" x14ac:dyDescent="0.3">
      <c r="B428" s="352" t="s">
        <v>65</v>
      </c>
      <c r="C428" s="353"/>
      <c r="D428" s="353"/>
      <c r="E428" s="353"/>
      <c r="F428" s="353"/>
      <c r="G428" s="353"/>
      <c r="H428" s="354"/>
      <c r="I428" s="181">
        <f>SUM(I424:I427)</f>
        <v>0</v>
      </c>
      <c r="K428" s="74">
        <f>SUM(K420:K427)</f>
        <v>0</v>
      </c>
      <c r="L428" s="73">
        <f>SUM(L420:L427)</f>
        <v>0</v>
      </c>
      <c r="M428" s="8"/>
      <c r="N428" s="29"/>
      <c r="O428" s="8"/>
      <c r="P428" s="217"/>
      <c r="Q428" s="217"/>
      <c r="R428" s="217"/>
      <c r="S428" s="8"/>
      <c r="T428" s="7"/>
      <c r="U428" s="192" t="s">
        <v>83</v>
      </c>
      <c r="V428" s="228"/>
      <c r="W428" s="193" t="e">
        <f>W427/I428</f>
        <v>#DIV/0!</v>
      </c>
      <c r="AD428" s="194"/>
      <c r="AE428" s="195" t="s">
        <v>83</v>
      </c>
      <c r="AF428" s="196" t="e">
        <f>AF427/H428</f>
        <v>#DIV/0!</v>
      </c>
      <c r="AG428"/>
      <c r="AJ428" s="3"/>
      <c r="AP428" s="4"/>
      <c r="AQ428" s="25"/>
    </row>
    <row r="429" spans="2:43" ht="7.5" customHeight="1" thickBot="1" x14ac:dyDescent="0.3">
      <c r="B429" s="64"/>
      <c r="C429" s="72"/>
      <c r="D429" s="71"/>
      <c r="E429" s="70"/>
      <c r="F429" s="70"/>
      <c r="G429" s="69"/>
      <c r="H429" s="69"/>
      <c r="I429" s="62"/>
      <c r="K429" s="355">
        <f>SUM(K428:L428)</f>
        <v>0</v>
      </c>
      <c r="L429" s="356"/>
      <c r="M429" s="8"/>
      <c r="N429" s="29"/>
      <c r="O429" s="8"/>
      <c r="P429" s="217"/>
      <c r="Q429" s="217"/>
      <c r="R429" s="217"/>
      <c r="S429" s="8"/>
      <c r="AG429"/>
      <c r="AI429" s="3"/>
      <c r="AJ429" s="3"/>
      <c r="AO429" s="4"/>
      <c r="AP429" s="65"/>
      <c r="AQ429" s="25"/>
    </row>
    <row r="430" spans="2:43" ht="18" x14ac:dyDescent="0.25">
      <c r="B430" s="331" t="s">
        <v>889</v>
      </c>
      <c r="C430" s="331"/>
      <c r="D430" s="331"/>
      <c r="E430" s="331"/>
      <c r="F430" s="331"/>
      <c r="G430" s="331"/>
      <c r="H430" s="331"/>
      <c r="I430" s="328"/>
      <c r="K430" s="68"/>
      <c r="L430" s="67"/>
      <c r="M430" s="8"/>
      <c r="N430" s="29"/>
      <c r="O430" s="8"/>
      <c r="P430" s="217"/>
      <c r="Q430" s="217"/>
      <c r="R430" s="217"/>
      <c r="S430" s="8"/>
      <c r="AE430" s="225" t="s">
        <v>518</v>
      </c>
      <c r="AF430" s="226" t="s">
        <v>64</v>
      </c>
      <c r="AG430"/>
      <c r="AI430" s="3"/>
      <c r="AJ430" s="3"/>
      <c r="AO430" s="4"/>
      <c r="AP430" s="65"/>
      <c r="AQ430" s="25"/>
    </row>
    <row r="431" spans="2:43" ht="37.5" customHeight="1" x14ac:dyDescent="0.25">
      <c r="B431" s="332" t="s">
        <v>890</v>
      </c>
      <c r="C431" s="332"/>
      <c r="D431" s="332"/>
      <c r="E431" s="332"/>
      <c r="F431" s="332"/>
      <c r="G431" s="332"/>
      <c r="H431" s="332"/>
      <c r="I431" s="329"/>
      <c r="K431" s="61"/>
      <c r="L431" s="60"/>
      <c r="M431" s="8"/>
      <c r="N431" s="29"/>
      <c r="O431" s="8"/>
      <c r="P431" s="60"/>
      <c r="Q431" s="60"/>
      <c r="R431" s="60"/>
      <c r="S431" s="8"/>
      <c r="AE431" s="225" t="s">
        <v>519</v>
      </c>
      <c r="AF431" s="241" t="s">
        <v>87</v>
      </c>
      <c r="AG431" s="240" t="s">
        <v>520</v>
      </c>
      <c r="AJ431" s="3"/>
      <c r="AP431" s="4"/>
      <c r="AQ431" s="65"/>
    </row>
    <row r="432" spans="2:43" ht="18" customHeight="1" x14ac:dyDescent="0.25">
      <c r="B432" s="331" t="s">
        <v>891</v>
      </c>
      <c r="C432" s="331"/>
      <c r="D432" s="331"/>
      <c r="E432" s="331"/>
      <c r="F432" s="331"/>
      <c r="G432" s="331"/>
      <c r="H432" s="331"/>
      <c r="I432" s="328"/>
      <c r="AE432" s="225" t="s">
        <v>521</v>
      </c>
      <c r="AF432" s="241" t="s">
        <v>86</v>
      </c>
      <c r="AG432" s="240" t="s">
        <v>57</v>
      </c>
      <c r="AJ432" s="3"/>
      <c r="AP432" s="4"/>
      <c r="AQ432" s="25"/>
    </row>
    <row r="433" spans="31:43" ht="18" x14ac:dyDescent="0.25">
      <c r="AE433" s="225" t="s">
        <v>522</v>
      </c>
      <c r="AF433" s="241" t="s">
        <v>84</v>
      </c>
      <c r="AG433" s="25"/>
      <c r="AJ433" s="3"/>
      <c r="AP433" s="4"/>
      <c r="AQ433" s="25"/>
    </row>
    <row r="434" spans="31:43" x14ac:dyDescent="0.25">
      <c r="AF434"/>
      <c r="AG434"/>
      <c r="AJ434" s="3"/>
      <c r="AP434" s="4"/>
      <c r="AQ434" s="25"/>
    </row>
    <row r="435" spans="31:43" x14ac:dyDescent="0.25">
      <c r="AF435"/>
      <c r="AG435"/>
      <c r="AJ435" s="3"/>
      <c r="AP435" s="4"/>
      <c r="AQ435" s="25"/>
    </row>
    <row r="438" spans="31:43" x14ac:dyDescent="0.25">
      <c r="AE438" t="s">
        <v>526</v>
      </c>
    </row>
    <row r="439" spans="31:43" x14ac:dyDescent="0.25">
      <c r="AE439" t="s">
        <v>527</v>
      </c>
    </row>
    <row r="440" spans="31:43" x14ac:dyDescent="0.25">
      <c r="AE440" t="s">
        <v>528</v>
      </c>
    </row>
  </sheetData>
  <mergeCells count="60">
    <mergeCell ref="Z422:Z423"/>
    <mergeCell ref="B427:G427"/>
    <mergeCell ref="B428:H428"/>
    <mergeCell ref="K429:L429"/>
    <mergeCell ref="B421:H421"/>
    <mergeCell ref="B422:H422"/>
    <mergeCell ref="B424:H424"/>
    <mergeCell ref="B425:G425"/>
    <mergeCell ref="B426:G426"/>
    <mergeCell ref="B423:H423"/>
    <mergeCell ref="K14:L14"/>
    <mergeCell ref="K9:L9"/>
    <mergeCell ref="T14:AA14"/>
    <mergeCell ref="AC14:AQ14"/>
    <mergeCell ref="AM15:AN15"/>
    <mergeCell ref="P9:Q9"/>
    <mergeCell ref="P14:R14"/>
    <mergeCell ref="V11:W11"/>
    <mergeCell ref="AM381:AN381"/>
    <mergeCell ref="AM406:AN406"/>
    <mergeCell ref="AM420:AN420"/>
    <mergeCell ref="T424:U424"/>
    <mergeCell ref="AM43:AN43"/>
    <mergeCell ref="AM55:AN55"/>
    <mergeCell ref="AD424:AE424"/>
    <mergeCell ref="AM191:AN191"/>
    <mergeCell ref="AM206:AN206"/>
    <mergeCell ref="AM271:AN271"/>
    <mergeCell ref="AM319:AN319"/>
    <mergeCell ref="AM317:AN317"/>
    <mergeCell ref="AM100:AN100"/>
    <mergeCell ref="AM313:AN313"/>
    <mergeCell ref="AM355:AN355"/>
    <mergeCell ref="AM372:AN372"/>
    <mergeCell ref="AM82:AN82"/>
    <mergeCell ref="AM149:AN149"/>
    <mergeCell ref="AM161:AN161"/>
    <mergeCell ref="AM26:AN26"/>
    <mergeCell ref="X15:Y15"/>
    <mergeCell ref="X26:Y26"/>
    <mergeCell ref="X43:Y43"/>
    <mergeCell ref="X55:Y55"/>
    <mergeCell ref="X82:Y82"/>
    <mergeCell ref="X100:Y100"/>
    <mergeCell ref="X149:Y149"/>
    <mergeCell ref="X161:Y161"/>
    <mergeCell ref="B430:H430"/>
    <mergeCell ref="B431:H431"/>
    <mergeCell ref="B432:H432"/>
    <mergeCell ref="X191:Y191"/>
    <mergeCell ref="X206:Y206"/>
    <mergeCell ref="X271:Y271"/>
    <mergeCell ref="X313:Y313"/>
    <mergeCell ref="X317:Y317"/>
    <mergeCell ref="X420:Y420"/>
    <mergeCell ref="X319:Y319"/>
    <mergeCell ref="X355:Y355"/>
    <mergeCell ref="X372:Y372"/>
    <mergeCell ref="X381:Y381"/>
    <mergeCell ref="X406:Y406"/>
  </mergeCells>
  <phoneticPr fontId="29" type="noConversion"/>
  <conditionalFormatting sqref="AC16:AC20 AC407:AC415">
    <cfRule type="expression" dxfId="20" priority="461">
      <formula>$AC16=$AE$431</formula>
    </cfRule>
  </conditionalFormatting>
  <conditionalFormatting sqref="AC16:AF25 AC407:AF419 AC27:AF42 AC44:AF54 AC56:AF68 AC70:AF81 AC83:AF99 AC101:AF148 AC150:AF160 AC163:AF167 AC169:AF170 AC172:AF173 AC175:AF179 AC181:AF185 AC187:AF190 AC192:AF205 AC207:AF270 AC272:AF312 AC314:AF316 AC318:AF318 AC320:AF354 AC357:AF369 AC371:AF371 AC373:AF380 AC382:AF405 AH16:AQ25 AH27:AQ42 AH44:AQ54 AH56:AQ68 AH70:AQ81 AH83:AQ99 AH101:AQ148 AH150:AQ160 AH163:AQ167 AH169:AQ170 AH172:AQ173 AH175:AQ179 AH181:AQ185 AH187:AQ190 AH192:AQ205 AH207:AQ270 AH272:AQ312 AH314:AQ316 AH318:AQ318 AH320:AQ354 AH357:AQ369 AH371:AQ371 AH373:AQ380 AH382:AQ405 AH407:AQ419">
    <cfRule type="expression" dxfId="6" priority="559">
      <formula>$AC16=$AE$431</formula>
    </cfRule>
  </conditionalFormatting>
  <dataValidations count="3">
    <dataValidation type="list" allowBlank="1" showInputMessage="1" showErrorMessage="1" sqref="AO429:AO430 AQ436:AQ1048576 AP431:AP435 AJ422:AK428 AI429:AJ430 AK1:AL421 AK436:AL1048576 AJ431:AK435 AP422:AP428 AQ1:AQ421" xr:uid="{9737E582-3AB2-4429-A59E-D623FABB4745}">
      <formula1>$AG$431:$AG$432</formula1>
    </dataValidation>
    <dataValidation type="list" allowBlank="1" showInputMessage="1" showErrorMessage="1" sqref="D1:D429 D433:D1048576" xr:uid="{00000000-0002-0000-0100-000000000000}">
      <formula1>$AF$431:$AF$433</formula1>
    </dataValidation>
    <dataValidation type="list" allowBlank="1" showInputMessage="1" showErrorMessage="1" sqref="AC1:AC1048576" xr:uid="{6CED22A5-691D-4129-99C7-A73E42B1E018}">
      <formula1>$AE$430:$AE$433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98" operator="containsText" id="{6795458D-640B-47CA-9A83-D92F4FAAB44B}">
            <xm:f>NOT(ISERROR(SEARCH($AE$432,AC1)))</xm:f>
            <xm:f>$AE$432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299" operator="containsText" id="{225AF7CE-F159-4FED-8002-3F69668D6060}">
            <xm:f>NOT(ISERROR(SEARCH($AE$431,AC1)))</xm:f>
            <xm:f>$AE$431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300" operator="containsText" id="{756D140C-72E7-4CAB-958D-5875935A8AB1}">
            <xm:f>NOT(ISERROR(SEARCH($AE$430,AC1)))</xm:f>
            <xm:f>$AE$430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AC1:AC17 AC19:AC1048576</xm:sqref>
        </x14:conditionalFormatting>
        <x14:conditionalFormatting xmlns:xm="http://schemas.microsoft.com/office/excel/2006/main">
          <x14:cfRule type="containsText" priority="462" operator="containsText" id="{C54DE42D-6A17-4317-9754-F82CCC7A189F}">
            <xm:f>NOT(ISERROR(SEARCH($AE$433,AC16)))</xm:f>
            <xm:f>$AE$433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463" operator="containsText" id="{5CF9B3BE-BCAB-493D-B2D6-C2F2313F3DBE}">
            <xm:f>NOT(ISERROR(SEARCH($AE$432,AC16)))</xm:f>
            <xm:f>$AE$432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464" operator="containsText" id="{7D231679-CF50-48FE-83BC-F5EAAF594139}">
            <xm:f>NOT(ISERROR(SEARCH($AE$431,AC16)))</xm:f>
            <xm:f>$AE$431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465" operator="containsText" id="{E401C577-AB9B-4721-B87B-4EF0BEFB5BAE}">
            <xm:f>NOT(ISERROR(SEARCH($AE$430,AC16)))</xm:f>
            <xm:f>$AE$430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AC16:AC20 AC407:AC415</xm:sqref>
        </x14:conditionalFormatting>
        <x14:conditionalFormatting xmlns:xm="http://schemas.microsoft.com/office/excel/2006/main">
          <x14:cfRule type="containsText" priority="297" operator="containsText" id="{5D756DC1-11DD-4547-8CEB-57FF54F4FC0C}">
            <xm:f>NOT(ISERROR(SEARCH($AE$433,AC1)))</xm:f>
            <xm:f>$AE$433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m:sqref>AC19:AC1048576 AC1:AC17</xm:sqref>
        </x14:conditionalFormatting>
        <x14:conditionalFormatting xmlns:xm="http://schemas.microsoft.com/office/excel/2006/main">
          <x14:cfRule type="containsText" priority="7" operator="containsText" id="{89AF468A-788C-421F-A2B5-B95BBE61228C}">
            <xm:f>NOT(ISERROR(SEARCH($AE$433,AC27)))</xm:f>
            <xm:f>$AE$433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8" operator="containsText" id="{A9D7D2CF-FC9E-4A9F-B050-7ECF4B0F092A}">
            <xm:f>NOT(ISERROR(SEARCH($AE$432,AC27)))</xm:f>
            <xm:f>$AE$432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9" operator="containsText" id="{B5C9D362-ED89-43DD-A46A-C535DF46537C}">
            <xm:f>NOT(ISERROR(SEARCH($AE$431,AC27)))</xm:f>
            <xm:f>$AE$431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10" operator="containsText" id="{03A25BEC-2CB4-48C9-81CA-594469EDB4E9}">
            <xm:f>NOT(ISERROR(SEARCH($AE$430,AC27)))</xm:f>
            <xm:f>$AE$430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AC27:AC42</xm:sqref>
        </x14:conditionalFormatting>
        <x14:conditionalFormatting xmlns:xm="http://schemas.microsoft.com/office/excel/2006/main">
          <x14:cfRule type="containsText" priority="17" operator="containsText" id="{F7F578B9-7EA2-4224-823E-8E9627C906FA}">
            <xm:f>NOT(ISERROR(SEARCH($AE$433,AC44)))</xm:f>
            <xm:f>$AE$433</xm:f>
            <x14:dxf>
              <fill>
                <patternFill>
                  <fgColor rgb="FFFF0000"/>
                  <bgColor rgb="FFFF0000"/>
                </patternFill>
              </fill>
            </x14:dxf>
          </x14:cfRule>
          <x14:cfRule type="containsText" priority="18" operator="containsText" id="{FFEE9508-41C4-468D-A2DD-8B59DEDE1008}">
            <xm:f>NOT(ISERROR(SEARCH($AE$432,AC44)))</xm:f>
            <xm:f>$AE$432</xm:f>
            <x14:dxf>
              <fill>
                <patternFill>
                  <fgColor rgb="FFFFC000"/>
                  <bgColor rgb="FFFFC000"/>
                </patternFill>
              </fill>
            </x14:dxf>
          </x14:cfRule>
          <x14:cfRule type="containsText" priority="19" operator="containsText" id="{D0075A27-2E13-4C31-AD4F-53D4C2B71941}">
            <xm:f>NOT(ISERROR(SEARCH($AE$431,AC44)))</xm:f>
            <xm:f>$AE$431</xm:f>
            <x14:dxf>
              <fill>
                <patternFill>
                  <fgColor rgb="FF92D050"/>
                  <bgColor rgb="FF92D050"/>
                </patternFill>
              </fill>
            </x14:dxf>
          </x14:cfRule>
          <x14:cfRule type="containsText" priority="20" operator="containsText" id="{4007AE35-5653-4100-B5D2-0093BD22696E}">
            <xm:f>NOT(ISERROR(SEARCH($AE$430,AC44)))</xm:f>
            <xm:f>$AE$430</xm:f>
            <x14:dxf>
              <fill>
                <patternFill>
                  <fgColor rgb="FFFFFF00"/>
                  <bgColor rgb="FFFFFF00"/>
                </patternFill>
              </fill>
            </x14:dxf>
          </x14:cfRule>
          <xm:sqref>AC44:AC54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EACD-9CB1-44EF-A1F3-F6FD7A84521D}">
  <dimension ref="B7:N122"/>
  <sheetViews>
    <sheetView showGridLines="0" zoomScale="60" zoomScaleNormal="60" workbookViewId="0">
      <selection activeCell="B22" sqref="B22"/>
    </sheetView>
  </sheetViews>
  <sheetFormatPr defaultRowHeight="15" x14ac:dyDescent="0.25"/>
  <cols>
    <col min="2" max="2" width="34" bestFit="1" customWidth="1"/>
    <col min="3" max="3" width="12" style="5" bestFit="1" customWidth="1"/>
    <col min="4" max="10" width="9.140625" style="5"/>
    <col min="11" max="12" width="9.140625" style="5" customWidth="1"/>
    <col min="13" max="13" width="7.5703125" style="5" bestFit="1" customWidth="1"/>
    <col min="14" max="14" width="9.140625" customWidth="1"/>
  </cols>
  <sheetData>
    <row r="7" spans="2:14" ht="15.75" thickBot="1" x14ac:dyDescent="0.3"/>
    <row r="8" spans="2:14" ht="21.75" thickBot="1" x14ac:dyDescent="0.3">
      <c r="C8" s="391" t="s">
        <v>540</v>
      </c>
      <c r="D8" s="392"/>
      <c r="E8" s="392"/>
      <c r="F8" s="392"/>
      <c r="G8" s="391" t="s">
        <v>541</v>
      </c>
      <c r="H8" s="392"/>
      <c r="I8" s="392"/>
      <c r="J8" s="392"/>
      <c r="K8" s="391" t="s">
        <v>542</v>
      </c>
      <c r="L8" s="392"/>
      <c r="M8" s="393"/>
    </row>
    <row r="9" spans="2:14" ht="21.75" thickBot="1" x14ac:dyDescent="0.3">
      <c r="C9" s="253" t="s">
        <v>533</v>
      </c>
      <c r="D9" s="253" t="s">
        <v>534</v>
      </c>
      <c r="E9" s="253" t="s">
        <v>535</v>
      </c>
      <c r="F9" s="253" t="s">
        <v>536</v>
      </c>
      <c r="G9" s="253" t="s">
        <v>537</v>
      </c>
      <c r="H9" s="253" t="s">
        <v>538</v>
      </c>
      <c r="I9" s="253" t="s">
        <v>539</v>
      </c>
      <c r="J9" s="253" t="s">
        <v>533</v>
      </c>
      <c r="K9" s="253" t="s">
        <v>534</v>
      </c>
      <c r="L9" s="253" t="s">
        <v>535</v>
      </c>
      <c r="M9" s="253" t="s">
        <v>536</v>
      </c>
      <c r="N9" s="259" t="s">
        <v>543</v>
      </c>
    </row>
    <row r="10" spans="2:14" ht="21" x14ac:dyDescent="0.25">
      <c r="B10" s="260" t="s">
        <v>544</v>
      </c>
      <c r="C10" s="268">
        <v>45505</v>
      </c>
      <c r="D10" s="268">
        <v>45506</v>
      </c>
      <c r="E10" s="268">
        <v>45507</v>
      </c>
      <c r="F10" s="268">
        <v>45508</v>
      </c>
      <c r="G10" s="268">
        <v>45509</v>
      </c>
      <c r="H10" s="268">
        <v>45510</v>
      </c>
      <c r="I10" s="268">
        <v>45511</v>
      </c>
      <c r="J10" s="268">
        <v>45512</v>
      </c>
      <c r="K10" s="268">
        <v>45513</v>
      </c>
      <c r="L10" s="268">
        <v>45514</v>
      </c>
      <c r="M10" s="268">
        <v>45515</v>
      </c>
      <c r="N10" s="269"/>
    </row>
    <row r="11" spans="2:14" ht="21" x14ac:dyDescent="0.25">
      <c r="B11" s="261" t="s">
        <v>529</v>
      </c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6">
        <f t="shared" ref="N11:N14" si="0">SUM(C11:M11)</f>
        <v>0</v>
      </c>
    </row>
    <row r="12" spans="2:14" ht="21" x14ac:dyDescent="0.25">
      <c r="B12" s="261" t="s">
        <v>530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6">
        <f t="shared" si="0"/>
        <v>0</v>
      </c>
    </row>
    <row r="13" spans="2:14" ht="21" x14ac:dyDescent="0.25">
      <c r="B13" s="261" t="s">
        <v>531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6">
        <f t="shared" si="0"/>
        <v>0</v>
      </c>
    </row>
    <row r="14" spans="2:14" ht="21.75" thickBot="1" x14ac:dyDescent="0.3">
      <c r="B14" s="262" t="s">
        <v>532</v>
      </c>
      <c r="C14" s="257"/>
      <c r="D14" s="257"/>
      <c r="E14" s="257"/>
      <c r="F14" s="257"/>
      <c r="G14" s="257"/>
      <c r="H14" s="257"/>
      <c r="I14" s="257"/>
      <c r="J14" s="257"/>
      <c r="K14" s="257"/>
      <c r="L14" s="257"/>
      <c r="M14" s="257"/>
      <c r="N14" s="258">
        <f t="shared" si="0"/>
        <v>0</v>
      </c>
    </row>
    <row r="15" spans="2:14" ht="15.75" thickBot="1" x14ac:dyDescent="0.3">
      <c r="N15" s="255">
        <f>SUM(N11:N14)</f>
        <v>0</v>
      </c>
    </row>
    <row r="18" spans="2:14" ht="15.75" thickBot="1" x14ac:dyDescent="0.3"/>
    <row r="19" spans="2:14" ht="21.75" thickBot="1" x14ac:dyDescent="0.3">
      <c r="C19" s="394" t="s">
        <v>540</v>
      </c>
      <c r="D19" s="395"/>
      <c r="E19" s="395"/>
      <c r="F19" s="395"/>
      <c r="G19" s="394" t="s">
        <v>541</v>
      </c>
      <c r="H19" s="395"/>
      <c r="I19" s="395"/>
      <c r="J19" s="395"/>
      <c r="K19" s="394" t="s">
        <v>542</v>
      </c>
      <c r="L19" s="395"/>
      <c r="M19" s="396"/>
    </row>
    <row r="20" spans="2:14" ht="21.75" thickBot="1" x14ac:dyDescent="0.3">
      <c r="C20" s="253" t="s">
        <v>533</v>
      </c>
      <c r="D20" s="253" t="s">
        <v>534</v>
      </c>
      <c r="E20" s="253" t="s">
        <v>535</v>
      </c>
      <c r="F20" s="253" t="s">
        <v>536</v>
      </c>
      <c r="G20" s="253" t="s">
        <v>537</v>
      </c>
      <c r="H20" s="253" t="s">
        <v>538</v>
      </c>
      <c r="I20" s="253" t="s">
        <v>539</v>
      </c>
      <c r="J20" s="253" t="s">
        <v>533</v>
      </c>
      <c r="K20" s="253" t="s">
        <v>534</v>
      </c>
      <c r="L20" s="253" t="s">
        <v>535</v>
      </c>
      <c r="M20" s="253" t="s">
        <v>536</v>
      </c>
      <c r="N20" s="259" t="s">
        <v>543</v>
      </c>
    </row>
    <row r="21" spans="2:14" ht="21" x14ac:dyDescent="0.25">
      <c r="B21" s="260" t="s">
        <v>893</v>
      </c>
      <c r="C21" s="268">
        <v>45505</v>
      </c>
      <c r="D21" s="268">
        <v>45506</v>
      </c>
      <c r="E21" s="268">
        <v>45507</v>
      </c>
      <c r="F21" s="268">
        <v>45508</v>
      </c>
      <c r="G21" s="268">
        <v>45509</v>
      </c>
      <c r="H21" s="268">
        <v>45510</v>
      </c>
      <c r="I21" s="268">
        <v>45511</v>
      </c>
      <c r="J21" s="268">
        <v>45512</v>
      </c>
      <c r="K21" s="268">
        <v>45513</v>
      </c>
      <c r="L21" s="268">
        <v>45514</v>
      </c>
      <c r="M21" s="268">
        <v>45515</v>
      </c>
      <c r="N21" s="269"/>
    </row>
    <row r="22" spans="2:14" ht="21" x14ac:dyDescent="0.25">
      <c r="B22" s="261" t="s">
        <v>529</v>
      </c>
      <c r="C22" s="254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6">
        <f t="shared" ref="N22:N25" si="1">SUM(C22:M22)</f>
        <v>0</v>
      </c>
    </row>
    <row r="23" spans="2:14" ht="21" x14ac:dyDescent="0.25">
      <c r="B23" s="261" t="s">
        <v>530</v>
      </c>
      <c r="C23" s="254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6">
        <f t="shared" si="1"/>
        <v>0</v>
      </c>
    </row>
    <row r="24" spans="2:14" ht="21" x14ac:dyDescent="0.25">
      <c r="B24" s="261" t="s">
        <v>531</v>
      </c>
      <c r="C24" s="254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6">
        <f t="shared" si="1"/>
        <v>0</v>
      </c>
    </row>
    <row r="25" spans="2:14" ht="21.75" thickBot="1" x14ac:dyDescent="0.3">
      <c r="B25" s="262" t="s">
        <v>532</v>
      </c>
      <c r="C25" s="257"/>
      <c r="D25" s="257"/>
      <c r="E25" s="257"/>
      <c r="F25" s="257"/>
      <c r="G25" s="257"/>
      <c r="H25" s="257"/>
      <c r="I25" s="257"/>
      <c r="J25" s="257"/>
      <c r="K25" s="257"/>
      <c r="L25" s="257"/>
      <c r="M25" s="257"/>
      <c r="N25" s="258">
        <f t="shared" si="1"/>
        <v>0</v>
      </c>
    </row>
    <row r="26" spans="2:14" ht="15.75" thickBot="1" x14ac:dyDescent="0.3">
      <c r="N26" s="255">
        <f>SUM(N22:N25)</f>
        <v>0</v>
      </c>
    </row>
    <row r="29" spans="2:14" ht="15.75" thickBot="1" x14ac:dyDescent="0.3"/>
    <row r="30" spans="2:14" ht="21.75" thickBot="1" x14ac:dyDescent="0.3">
      <c r="C30" s="387" t="s">
        <v>540</v>
      </c>
      <c r="D30" s="388"/>
      <c r="E30" s="388"/>
      <c r="F30" s="388"/>
      <c r="G30" s="387" t="s">
        <v>541</v>
      </c>
      <c r="H30" s="388"/>
      <c r="I30" s="388"/>
      <c r="J30" s="388"/>
      <c r="K30" s="387" t="s">
        <v>542</v>
      </c>
      <c r="L30" s="388"/>
      <c r="M30" s="389"/>
    </row>
    <row r="31" spans="2:14" ht="21.75" thickBot="1" x14ac:dyDescent="0.3">
      <c r="C31" s="253" t="s">
        <v>533</v>
      </c>
      <c r="D31" s="253" t="s">
        <v>534</v>
      </c>
      <c r="E31" s="253" t="s">
        <v>535</v>
      </c>
      <c r="F31" s="253" t="s">
        <v>536</v>
      </c>
      <c r="G31" s="253" t="s">
        <v>537</v>
      </c>
      <c r="H31" s="253" t="s">
        <v>538</v>
      </c>
      <c r="I31" s="253" t="s">
        <v>539</v>
      </c>
      <c r="J31" s="253" t="s">
        <v>533</v>
      </c>
      <c r="K31" s="253" t="s">
        <v>534</v>
      </c>
      <c r="L31" s="253" t="s">
        <v>535</v>
      </c>
      <c r="M31" s="253" t="s">
        <v>536</v>
      </c>
      <c r="N31" s="259" t="s">
        <v>543</v>
      </c>
    </row>
    <row r="32" spans="2:14" ht="21" x14ac:dyDescent="0.25">
      <c r="B32" s="260" t="s">
        <v>545</v>
      </c>
      <c r="C32" s="268">
        <v>45505</v>
      </c>
      <c r="D32" s="268">
        <v>45506</v>
      </c>
      <c r="E32" s="268">
        <v>45507</v>
      </c>
      <c r="F32" s="268">
        <v>45508</v>
      </c>
      <c r="G32" s="268">
        <v>45509</v>
      </c>
      <c r="H32" s="268">
        <v>45510</v>
      </c>
      <c r="I32" s="268">
        <v>45511</v>
      </c>
      <c r="J32" s="268">
        <v>45512</v>
      </c>
      <c r="K32" s="268">
        <v>45513</v>
      </c>
      <c r="L32" s="268">
        <v>45514</v>
      </c>
      <c r="M32" s="268">
        <v>45515</v>
      </c>
      <c r="N32" s="269"/>
    </row>
    <row r="33" spans="2:14" ht="21" x14ac:dyDescent="0.25">
      <c r="B33" s="261" t="s">
        <v>529</v>
      </c>
      <c r="C33" s="254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6">
        <f t="shared" ref="N33:N36" si="2">SUM(C33:M33)</f>
        <v>0</v>
      </c>
    </row>
    <row r="34" spans="2:14" ht="21" x14ac:dyDescent="0.25">
      <c r="B34" s="261" t="s">
        <v>530</v>
      </c>
      <c r="C34" s="254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6">
        <f t="shared" si="2"/>
        <v>0</v>
      </c>
    </row>
    <row r="35" spans="2:14" ht="21" x14ac:dyDescent="0.25">
      <c r="B35" s="261" t="s">
        <v>531</v>
      </c>
      <c r="C35" s="254"/>
      <c r="D35" s="254"/>
      <c r="E35" s="254"/>
      <c r="F35" s="254"/>
      <c r="G35" s="254"/>
      <c r="H35" s="254"/>
      <c r="I35" s="254"/>
      <c r="J35" s="254"/>
      <c r="K35" s="254"/>
      <c r="L35" s="254"/>
      <c r="M35" s="254"/>
      <c r="N35" s="256">
        <f t="shared" si="2"/>
        <v>0</v>
      </c>
    </row>
    <row r="36" spans="2:14" ht="21.75" thickBot="1" x14ac:dyDescent="0.3">
      <c r="B36" s="262" t="s">
        <v>532</v>
      </c>
      <c r="C36" s="257"/>
      <c r="D36" s="257"/>
      <c r="E36" s="257"/>
      <c r="F36" s="257"/>
      <c r="G36" s="257"/>
      <c r="H36" s="257"/>
      <c r="I36" s="257"/>
      <c r="J36" s="257"/>
      <c r="K36" s="257"/>
      <c r="L36" s="257"/>
      <c r="M36" s="257"/>
      <c r="N36" s="258">
        <f t="shared" si="2"/>
        <v>0</v>
      </c>
    </row>
    <row r="37" spans="2:14" ht="15.75" thickBot="1" x14ac:dyDescent="0.3">
      <c r="N37" s="255">
        <f>SUM(N33:N36)</f>
        <v>0</v>
      </c>
    </row>
    <row r="40" spans="2:14" ht="15.75" thickBot="1" x14ac:dyDescent="0.3"/>
    <row r="41" spans="2:14" ht="21.75" thickBot="1" x14ac:dyDescent="0.3">
      <c r="C41" s="384" t="s">
        <v>540</v>
      </c>
      <c r="D41" s="385"/>
      <c r="E41" s="385"/>
      <c r="F41" s="385"/>
      <c r="G41" s="384" t="s">
        <v>541</v>
      </c>
      <c r="H41" s="385"/>
      <c r="I41" s="385"/>
      <c r="J41" s="385"/>
      <c r="K41" s="384" t="s">
        <v>542</v>
      </c>
      <c r="L41" s="385"/>
      <c r="M41" s="386"/>
    </row>
    <row r="42" spans="2:14" ht="21.75" thickBot="1" x14ac:dyDescent="0.3">
      <c r="C42" s="253" t="s">
        <v>533</v>
      </c>
      <c r="D42" s="253" t="s">
        <v>534</v>
      </c>
      <c r="E42" s="253" t="s">
        <v>535</v>
      </c>
      <c r="F42" s="253" t="s">
        <v>536</v>
      </c>
      <c r="G42" s="253" t="s">
        <v>537</v>
      </c>
      <c r="H42" s="253" t="s">
        <v>538</v>
      </c>
      <c r="I42" s="253" t="s">
        <v>539</v>
      </c>
      <c r="J42" s="253" t="s">
        <v>533</v>
      </c>
      <c r="K42" s="253" t="s">
        <v>534</v>
      </c>
      <c r="L42" s="253" t="s">
        <v>535</v>
      </c>
      <c r="M42" s="253" t="s">
        <v>536</v>
      </c>
      <c r="N42" s="259" t="s">
        <v>543</v>
      </c>
    </row>
    <row r="43" spans="2:14" ht="21" x14ac:dyDescent="0.25">
      <c r="B43" s="260" t="s">
        <v>546</v>
      </c>
      <c r="C43" s="268">
        <v>45505</v>
      </c>
      <c r="D43" s="268">
        <v>45506</v>
      </c>
      <c r="E43" s="268">
        <v>45507</v>
      </c>
      <c r="F43" s="268">
        <v>45508</v>
      </c>
      <c r="G43" s="268">
        <v>45509</v>
      </c>
      <c r="H43" s="268">
        <v>45510</v>
      </c>
      <c r="I43" s="268">
        <v>45511</v>
      </c>
      <c r="J43" s="268">
        <v>45512</v>
      </c>
      <c r="K43" s="268">
        <v>45513</v>
      </c>
      <c r="L43" s="268">
        <v>45514</v>
      </c>
      <c r="M43" s="268">
        <v>45515</v>
      </c>
      <c r="N43" s="269"/>
    </row>
    <row r="44" spans="2:14" ht="21" x14ac:dyDescent="0.25">
      <c r="B44" s="261" t="s">
        <v>529</v>
      </c>
      <c r="C44" s="254"/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6">
        <f t="shared" ref="N44:N47" si="3">SUM(C44:M44)</f>
        <v>0</v>
      </c>
    </row>
    <row r="45" spans="2:14" ht="21" x14ac:dyDescent="0.25">
      <c r="B45" s="261" t="s">
        <v>530</v>
      </c>
      <c r="C45" s="254"/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6">
        <f t="shared" si="3"/>
        <v>0</v>
      </c>
    </row>
    <row r="46" spans="2:14" ht="21" x14ac:dyDescent="0.25">
      <c r="B46" s="261" t="s">
        <v>531</v>
      </c>
      <c r="C46" s="254"/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6">
        <f t="shared" si="3"/>
        <v>0</v>
      </c>
    </row>
    <row r="47" spans="2:14" ht="21.75" thickBot="1" x14ac:dyDescent="0.3">
      <c r="B47" s="262" t="s">
        <v>532</v>
      </c>
      <c r="C47" s="257"/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8">
        <f t="shared" si="3"/>
        <v>0</v>
      </c>
    </row>
    <row r="48" spans="2:14" ht="15.75" thickBot="1" x14ac:dyDescent="0.3">
      <c r="N48" s="255">
        <f>SUM(N44:N47)</f>
        <v>0</v>
      </c>
    </row>
    <row r="50" spans="2:14" ht="15.75" thickBot="1" x14ac:dyDescent="0.3"/>
    <row r="51" spans="2:14" ht="21.75" thickBot="1" x14ac:dyDescent="0.3">
      <c r="C51" s="391" t="s">
        <v>540</v>
      </c>
      <c r="D51" s="392"/>
      <c r="E51" s="392"/>
      <c r="F51" s="392"/>
      <c r="G51" s="391" t="s">
        <v>541</v>
      </c>
      <c r="H51" s="392"/>
      <c r="I51" s="392"/>
      <c r="J51" s="392"/>
      <c r="K51" s="391" t="s">
        <v>542</v>
      </c>
      <c r="L51" s="392"/>
      <c r="M51" s="393"/>
    </row>
    <row r="52" spans="2:14" ht="21.75" thickBot="1" x14ac:dyDescent="0.3">
      <c r="C52" s="253" t="s">
        <v>533</v>
      </c>
      <c r="D52" s="253" t="s">
        <v>534</v>
      </c>
      <c r="E52" s="253" t="s">
        <v>535</v>
      </c>
      <c r="F52" s="253" t="s">
        <v>536</v>
      </c>
      <c r="G52" s="253" t="s">
        <v>537</v>
      </c>
      <c r="H52" s="253" t="s">
        <v>538</v>
      </c>
      <c r="I52" s="253" t="s">
        <v>539</v>
      </c>
      <c r="J52" s="253" t="s">
        <v>533</v>
      </c>
      <c r="K52" s="253" t="s">
        <v>534</v>
      </c>
      <c r="L52" s="253" t="s">
        <v>535</v>
      </c>
      <c r="M52" s="253" t="s">
        <v>536</v>
      </c>
      <c r="N52" s="259" t="s">
        <v>543</v>
      </c>
    </row>
    <row r="53" spans="2:14" ht="21" x14ac:dyDescent="0.25">
      <c r="B53" s="260" t="s">
        <v>878</v>
      </c>
      <c r="C53" s="268">
        <v>45505</v>
      </c>
      <c r="D53" s="268">
        <v>45506</v>
      </c>
      <c r="E53" s="268">
        <v>45507</v>
      </c>
      <c r="F53" s="268">
        <v>45508</v>
      </c>
      <c r="G53" s="268">
        <v>45509</v>
      </c>
      <c r="H53" s="268">
        <v>45510</v>
      </c>
      <c r="I53" s="268">
        <v>45511</v>
      </c>
      <c r="J53" s="268">
        <v>45512</v>
      </c>
      <c r="K53" s="268">
        <v>45513</v>
      </c>
      <c r="L53" s="268">
        <v>45514</v>
      </c>
      <c r="M53" s="268">
        <v>45515</v>
      </c>
      <c r="N53" s="269"/>
    </row>
    <row r="54" spans="2:14" ht="21" x14ac:dyDescent="0.25">
      <c r="B54" s="261" t="s">
        <v>529</v>
      </c>
      <c r="C54" s="254"/>
      <c r="D54" s="254"/>
      <c r="E54" s="254"/>
      <c r="F54" s="254"/>
      <c r="G54" s="254"/>
      <c r="H54" s="254"/>
      <c r="I54" s="254"/>
      <c r="J54" s="254"/>
      <c r="K54" s="254"/>
      <c r="L54" s="254"/>
      <c r="M54" s="254"/>
      <c r="N54" s="256">
        <f t="shared" ref="N54:N57" si="4">SUM(C54:M54)</f>
        <v>0</v>
      </c>
    </row>
    <row r="55" spans="2:14" ht="21" x14ac:dyDescent="0.25">
      <c r="B55" s="261" t="s">
        <v>530</v>
      </c>
      <c r="C55" s="254"/>
      <c r="D55" s="254"/>
      <c r="E55" s="254"/>
      <c r="F55" s="254"/>
      <c r="G55" s="254"/>
      <c r="H55" s="254"/>
      <c r="I55" s="254"/>
      <c r="J55" s="254"/>
      <c r="K55" s="254"/>
      <c r="L55" s="254"/>
      <c r="M55" s="254"/>
      <c r="N55" s="256">
        <f t="shared" si="4"/>
        <v>0</v>
      </c>
    </row>
    <row r="56" spans="2:14" ht="21" x14ac:dyDescent="0.25">
      <c r="B56" s="261" t="s">
        <v>531</v>
      </c>
      <c r="C56" s="254"/>
      <c r="D56" s="254"/>
      <c r="E56" s="254"/>
      <c r="F56" s="254"/>
      <c r="G56" s="254"/>
      <c r="H56" s="254"/>
      <c r="I56" s="254"/>
      <c r="J56" s="254"/>
      <c r="K56" s="254"/>
      <c r="L56" s="254"/>
      <c r="M56" s="254"/>
      <c r="N56" s="256">
        <f t="shared" si="4"/>
        <v>0</v>
      </c>
    </row>
    <row r="57" spans="2:14" ht="21.75" thickBot="1" x14ac:dyDescent="0.3">
      <c r="B57" s="262" t="s">
        <v>532</v>
      </c>
      <c r="C57" s="257"/>
      <c r="D57" s="257"/>
      <c r="E57" s="257"/>
      <c r="F57" s="257"/>
      <c r="G57" s="257"/>
      <c r="H57" s="257"/>
      <c r="I57" s="257"/>
      <c r="J57" s="257"/>
      <c r="K57" s="257"/>
      <c r="L57" s="257"/>
      <c r="M57" s="257"/>
      <c r="N57" s="258">
        <f t="shared" si="4"/>
        <v>0</v>
      </c>
    </row>
    <row r="58" spans="2:14" ht="15.75" thickBot="1" x14ac:dyDescent="0.3">
      <c r="N58" s="255">
        <f>SUM(N54:N57)</f>
        <v>0</v>
      </c>
    </row>
    <row r="61" spans="2:14" ht="15.75" thickBot="1" x14ac:dyDescent="0.3"/>
    <row r="62" spans="2:14" ht="21.75" thickBot="1" x14ac:dyDescent="0.3">
      <c r="C62" s="394" t="s">
        <v>540</v>
      </c>
      <c r="D62" s="395"/>
      <c r="E62" s="395"/>
      <c r="F62" s="395"/>
      <c r="G62" s="394" t="s">
        <v>541</v>
      </c>
      <c r="H62" s="395"/>
      <c r="I62" s="395"/>
      <c r="J62" s="395"/>
      <c r="K62" s="394" t="s">
        <v>542</v>
      </c>
      <c r="L62" s="395"/>
      <c r="M62" s="395"/>
    </row>
    <row r="63" spans="2:14" ht="21.75" thickBot="1" x14ac:dyDescent="0.3">
      <c r="C63" s="253" t="s">
        <v>533</v>
      </c>
      <c r="D63" s="253" t="s">
        <v>534</v>
      </c>
      <c r="E63" s="253" t="s">
        <v>535</v>
      </c>
      <c r="F63" s="253" t="s">
        <v>536</v>
      </c>
      <c r="G63" s="253" t="s">
        <v>537</v>
      </c>
      <c r="H63" s="253" t="s">
        <v>538</v>
      </c>
      <c r="I63" s="253" t="s">
        <v>539</v>
      </c>
      <c r="J63" s="253" t="s">
        <v>533</v>
      </c>
      <c r="K63" s="253" t="s">
        <v>534</v>
      </c>
      <c r="L63" s="253" t="s">
        <v>535</v>
      </c>
      <c r="M63" s="253" t="s">
        <v>536</v>
      </c>
      <c r="N63" s="259" t="s">
        <v>543</v>
      </c>
    </row>
    <row r="64" spans="2:14" ht="21" x14ac:dyDescent="0.25">
      <c r="B64" s="260" t="s">
        <v>879</v>
      </c>
      <c r="C64" s="268">
        <v>45505</v>
      </c>
      <c r="D64" s="268">
        <v>45506</v>
      </c>
      <c r="E64" s="268">
        <v>45507</v>
      </c>
      <c r="F64" s="268">
        <v>45508</v>
      </c>
      <c r="G64" s="268">
        <v>45509</v>
      </c>
      <c r="H64" s="268">
        <v>45510</v>
      </c>
      <c r="I64" s="268">
        <v>45511</v>
      </c>
      <c r="J64" s="268">
        <v>45512</v>
      </c>
      <c r="K64" s="268">
        <v>45513</v>
      </c>
      <c r="L64" s="268">
        <v>45514</v>
      </c>
      <c r="M64" s="268">
        <v>45515</v>
      </c>
      <c r="N64" s="269"/>
    </row>
    <row r="65" spans="2:14" ht="21" x14ac:dyDescent="0.25">
      <c r="B65" s="261" t="s">
        <v>529</v>
      </c>
      <c r="C65" s="254"/>
      <c r="D65" s="254"/>
      <c r="E65" s="254"/>
      <c r="F65" s="254"/>
      <c r="G65" s="254"/>
      <c r="H65" s="254"/>
      <c r="I65" s="254"/>
      <c r="J65" s="254"/>
      <c r="K65" s="254"/>
      <c r="L65" s="254"/>
      <c r="M65" s="254"/>
      <c r="N65" s="256">
        <f t="shared" ref="N65:N68" si="5">SUM(C65:M65)</f>
        <v>0</v>
      </c>
    </row>
    <row r="66" spans="2:14" ht="21" x14ac:dyDescent="0.25">
      <c r="B66" s="261" t="s">
        <v>530</v>
      </c>
      <c r="C66" s="254"/>
      <c r="D66" s="254"/>
      <c r="E66" s="254"/>
      <c r="F66" s="254"/>
      <c r="G66" s="254"/>
      <c r="H66" s="254"/>
      <c r="I66" s="254"/>
      <c r="J66" s="254"/>
      <c r="K66" s="254"/>
      <c r="L66" s="254"/>
      <c r="M66" s="254"/>
      <c r="N66" s="256">
        <f t="shared" si="5"/>
        <v>0</v>
      </c>
    </row>
    <row r="67" spans="2:14" ht="21" x14ac:dyDescent="0.25">
      <c r="B67" s="261" t="s">
        <v>531</v>
      </c>
      <c r="C67" s="254"/>
      <c r="D67" s="254"/>
      <c r="E67" s="254"/>
      <c r="F67" s="254"/>
      <c r="G67" s="254"/>
      <c r="H67" s="254"/>
      <c r="I67" s="254"/>
      <c r="J67" s="254"/>
      <c r="K67" s="254"/>
      <c r="L67" s="254"/>
      <c r="M67" s="254"/>
      <c r="N67" s="256">
        <f t="shared" si="5"/>
        <v>0</v>
      </c>
    </row>
    <row r="68" spans="2:14" ht="21.75" thickBot="1" x14ac:dyDescent="0.3">
      <c r="B68" s="262" t="s">
        <v>532</v>
      </c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8">
        <f t="shared" si="5"/>
        <v>0</v>
      </c>
    </row>
    <row r="69" spans="2:14" ht="15.75" thickBot="1" x14ac:dyDescent="0.3">
      <c r="N69" s="255">
        <f>SUM(N65:N68)</f>
        <v>0</v>
      </c>
    </row>
    <row r="70" spans="2:14" x14ac:dyDescent="0.25">
      <c r="N70" s="327"/>
    </row>
    <row r="72" spans="2:14" ht="15.75" thickBot="1" x14ac:dyDescent="0.3"/>
    <row r="73" spans="2:14" ht="21.75" thickBot="1" x14ac:dyDescent="0.3">
      <c r="B73" s="390" t="s">
        <v>554</v>
      </c>
      <c r="C73" s="387" t="s">
        <v>540</v>
      </c>
      <c r="D73" s="388"/>
      <c r="E73" s="388"/>
      <c r="F73" s="388"/>
      <c r="G73" s="387" t="s">
        <v>541</v>
      </c>
      <c r="H73" s="388"/>
      <c r="I73" s="388"/>
      <c r="J73" s="388"/>
      <c r="K73" s="387" t="s">
        <v>542</v>
      </c>
      <c r="L73" s="388"/>
      <c r="M73" s="389"/>
    </row>
    <row r="74" spans="2:14" ht="21.75" thickBot="1" x14ac:dyDescent="0.3">
      <c r="B74" s="390"/>
      <c r="C74" s="270" t="s">
        <v>533</v>
      </c>
      <c r="D74" s="253" t="s">
        <v>534</v>
      </c>
      <c r="E74" s="253" t="s">
        <v>535</v>
      </c>
      <c r="F74" s="253" t="s">
        <v>536</v>
      </c>
      <c r="G74" s="253" t="s">
        <v>537</v>
      </c>
      <c r="H74" s="253" t="s">
        <v>538</v>
      </c>
      <c r="I74" s="253" t="s">
        <v>539</v>
      </c>
      <c r="J74" s="253" t="s">
        <v>533</v>
      </c>
      <c r="K74" s="253" t="s">
        <v>534</v>
      </c>
      <c r="L74" s="253" t="s">
        <v>535</v>
      </c>
      <c r="M74" s="253" t="s">
        <v>536</v>
      </c>
      <c r="N74" s="263" t="s">
        <v>543</v>
      </c>
    </row>
    <row r="75" spans="2:14" ht="21" x14ac:dyDescent="0.25">
      <c r="B75" s="264" t="s">
        <v>547</v>
      </c>
      <c r="C75" s="268">
        <v>45505</v>
      </c>
      <c r="D75" s="268">
        <v>45506</v>
      </c>
      <c r="E75" s="268">
        <v>45507</v>
      </c>
      <c r="F75" s="268">
        <v>45508</v>
      </c>
      <c r="G75" s="268">
        <v>45509</v>
      </c>
      <c r="H75" s="268">
        <v>45510</v>
      </c>
      <c r="I75" s="268">
        <v>45511</v>
      </c>
      <c r="J75" s="268">
        <v>45512</v>
      </c>
      <c r="K75" s="268">
        <v>45513</v>
      </c>
      <c r="L75" s="268">
        <v>45514</v>
      </c>
      <c r="M75" s="268">
        <v>45515</v>
      </c>
      <c r="N75" s="269"/>
    </row>
    <row r="76" spans="2:14" ht="21" x14ac:dyDescent="0.25">
      <c r="B76" s="265" t="s">
        <v>548</v>
      </c>
      <c r="C76" s="254"/>
      <c r="D76" s="254"/>
      <c r="E76" s="254"/>
      <c r="F76" s="254"/>
      <c r="G76" s="254"/>
      <c r="H76" s="254"/>
      <c r="I76" s="254"/>
      <c r="J76" s="254"/>
      <c r="K76" s="254"/>
      <c r="L76" s="254"/>
      <c r="M76" s="254"/>
      <c r="N76" s="254">
        <f t="shared" ref="N76:N81" si="6">SUM(C76:M76)</f>
        <v>0</v>
      </c>
    </row>
    <row r="77" spans="2:14" ht="21" x14ac:dyDescent="0.25">
      <c r="B77" s="265" t="s">
        <v>549</v>
      </c>
      <c r="C77" s="254"/>
      <c r="D77" s="254"/>
      <c r="E77" s="254"/>
      <c r="F77" s="254"/>
      <c r="G77" s="254"/>
      <c r="H77" s="254"/>
      <c r="I77" s="254"/>
      <c r="J77" s="254"/>
      <c r="K77" s="254"/>
      <c r="L77" s="254"/>
      <c r="M77" s="254"/>
      <c r="N77" s="254">
        <f t="shared" si="6"/>
        <v>0</v>
      </c>
    </row>
    <row r="78" spans="2:14" ht="21" x14ac:dyDescent="0.25">
      <c r="B78" s="265" t="s">
        <v>550</v>
      </c>
      <c r="C78" s="254"/>
      <c r="D78" s="254"/>
      <c r="E78" s="254"/>
      <c r="F78" s="254"/>
      <c r="G78" s="254"/>
      <c r="H78" s="254"/>
      <c r="I78" s="254"/>
      <c r="J78" s="254"/>
      <c r="K78" s="254"/>
      <c r="L78" s="254"/>
      <c r="M78" s="254"/>
      <c r="N78" s="254">
        <f t="shared" si="6"/>
        <v>0</v>
      </c>
    </row>
    <row r="79" spans="2:14" ht="21" x14ac:dyDescent="0.25">
      <c r="B79" s="265" t="s">
        <v>551</v>
      </c>
      <c r="C79" s="254"/>
      <c r="D79" s="254"/>
      <c r="E79" s="254"/>
      <c r="F79" s="254"/>
      <c r="G79" s="254"/>
      <c r="H79" s="254"/>
      <c r="I79" s="254"/>
      <c r="J79" s="254"/>
      <c r="K79" s="254"/>
      <c r="L79" s="254"/>
      <c r="M79" s="254"/>
      <c r="N79" s="254">
        <f t="shared" ref="N79:N80" si="7">SUM(C79:M79)</f>
        <v>0</v>
      </c>
    </row>
    <row r="80" spans="2:14" ht="21" x14ac:dyDescent="0.25">
      <c r="B80" s="266" t="s">
        <v>552</v>
      </c>
      <c r="C80" s="254"/>
      <c r="D80" s="254"/>
      <c r="E80" s="254"/>
      <c r="F80" s="254"/>
      <c r="G80" s="254"/>
      <c r="H80" s="254"/>
      <c r="I80" s="254"/>
      <c r="J80" s="254"/>
      <c r="K80" s="254"/>
      <c r="L80" s="254"/>
      <c r="M80" s="254"/>
      <c r="N80" s="254">
        <f t="shared" si="7"/>
        <v>0</v>
      </c>
    </row>
    <row r="81" spans="2:14" ht="21" x14ac:dyDescent="0.25">
      <c r="B81" s="266" t="s">
        <v>553</v>
      </c>
      <c r="C81" s="254"/>
      <c r="D81" s="254"/>
      <c r="E81" s="254"/>
      <c r="F81" s="254"/>
      <c r="G81" s="254"/>
      <c r="H81" s="254"/>
      <c r="I81" s="254"/>
      <c r="J81" s="254"/>
      <c r="K81" s="254"/>
      <c r="L81" s="254"/>
      <c r="M81" s="254"/>
      <c r="N81" s="254">
        <f t="shared" si="6"/>
        <v>0</v>
      </c>
    </row>
    <row r="82" spans="2:14" x14ac:dyDescent="0.25">
      <c r="C82" s="267">
        <f>SUM(C76:C81)</f>
        <v>0</v>
      </c>
      <c r="D82" s="267">
        <f t="shared" ref="D82:L82" si="8">SUM(D76:D81)</f>
        <v>0</v>
      </c>
      <c r="E82" s="267">
        <f t="shared" si="8"/>
        <v>0</v>
      </c>
      <c r="F82" s="267">
        <f t="shared" si="8"/>
        <v>0</v>
      </c>
      <c r="G82" s="267">
        <f t="shared" si="8"/>
        <v>0</v>
      </c>
      <c r="H82" s="267">
        <f t="shared" si="8"/>
        <v>0</v>
      </c>
      <c r="I82" s="267">
        <f t="shared" si="8"/>
        <v>0</v>
      </c>
      <c r="J82" s="267">
        <f t="shared" si="8"/>
        <v>0</v>
      </c>
      <c r="K82" s="267">
        <f t="shared" si="8"/>
        <v>0</v>
      </c>
      <c r="L82" s="267">
        <f t="shared" si="8"/>
        <v>0</v>
      </c>
      <c r="M82" s="267">
        <f>SUM(M76:M81)</f>
        <v>0</v>
      </c>
      <c r="N82" s="267">
        <f>SUM(N76:N81)</f>
        <v>0</v>
      </c>
    </row>
    <row r="86" spans="2:14" ht="15.75" thickBot="1" x14ac:dyDescent="0.3"/>
    <row r="87" spans="2:14" ht="21.75" thickBot="1" x14ac:dyDescent="0.3">
      <c r="B87" s="383"/>
      <c r="C87" s="384" t="s">
        <v>540</v>
      </c>
      <c r="D87" s="385"/>
      <c r="E87" s="385"/>
      <c r="F87" s="385"/>
      <c r="G87" s="384" t="s">
        <v>541</v>
      </c>
      <c r="H87" s="385"/>
      <c r="I87" s="385"/>
      <c r="J87" s="385"/>
      <c r="K87" s="384" t="s">
        <v>542</v>
      </c>
      <c r="L87" s="385"/>
      <c r="M87" s="386"/>
    </row>
    <row r="88" spans="2:14" ht="21.75" thickBot="1" x14ac:dyDescent="0.3">
      <c r="B88" s="383"/>
      <c r="C88" s="270" t="s">
        <v>533</v>
      </c>
      <c r="D88" s="253" t="s">
        <v>534</v>
      </c>
      <c r="E88" s="253" t="s">
        <v>535</v>
      </c>
      <c r="F88" s="253" t="s">
        <v>536</v>
      </c>
      <c r="G88" s="253" t="s">
        <v>537</v>
      </c>
      <c r="H88" s="253" t="s">
        <v>538</v>
      </c>
      <c r="I88" s="253" t="s">
        <v>539</v>
      </c>
      <c r="J88" s="253" t="s">
        <v>533</v>
      </c>
      <c r="K88" s="253" t="s">
        <v>534</v>
      </c>
      <c r="L88" s="253" t="s">
        <v>535</v>
      </c>
      <c r="M88" s="253" t="s">
        <v>536</v>
      </c>
      <c r="N88" s="263" t="s">
        <v>543</v>
      </c>
    </row>
    <row r="89" spans="2:14" ht="21" x14ac:dyDescent="0.25">
      <c r="B89" s="264" t="s">
        <v>555</v>
      </c>
      <c r="C89" s="268">
        <v>45505</v>
      </c>
      <c r="D89" s="268">
        <v>45506</v>
      </c>
      <c r="E89" s="268">
        <v>45507</v>
      </c>
      <c r="F89" s="268">
        <v>45508</v>
      </c>
      <c r="G89" s="268">
        <v>45509</v>
      </c>
      <c r="H89" s="268">
        <v>45510</v>
      </c>
      <c r="I89" s="268">
        <v>45511</v>
      </c>
      <c r="J89" s="268">
        <v>45512</v>
      </c>
      <c r="K89" s="268">
        <v>45513</v>
      </c>
      <c r="L89" s="268">
        <v>45514</v>
      </c>
      <c r="M89" s="268">
        <v>45515</v>
      </c>
      <c r="N89" s="269"/>
    </row>
    <row r="90" spans="2:14" ht="21" x14ac:dyDescent="0.25">
      <c r="B90" s="265" t="s">
        <v>548</v>
      </c>
      <c r="C90" s="254"/>
      <c r="D90" s="254"/>
      <c r="E90" s="254"/>
      <c r="F90" s="254"/>
      <c r="G90" s="254"/>
      <c r="H90" s="254"/>
      <c r="I90" s="254"/>
      <c r="J90" s="254"/>
      <c r="K90" s="254"/>
      <c r="L90" s="254"/>
      <c r="M90" s="254"/>
      <c r="N90" s="254">
        <f t="shared" ref="N90:N95" si="9">SUM(C90:M90)</f>
        <v>0</v>
      </c>
    </row>
    <row r="91" spans="2:14" ht="21" x14ac:dyDescent="0.25">
      <c r="B91" s="265" t="s">
        <v>549</v>
      </c>
      <c r="C91" s="254"/>
      <c r="D91" s="254"/>
      <c r="E91" s="254"/>
      <c r="F91" s="254"/>
      <c r="G91" s="254"/>
      <c r="H91" s="254"/>
      <c r="I91" s="254"/>
      <c r="J91" s="254"/>
      <c r="K91" s="254"/>
      <c r="L91" s="254"/>
      <c r="M91" s="254"/>
      <c r="N91" s="254">
        <f t="shared" si="9"/>
        <v>0</v>
      </c>
    </row>
    <row r="92" spans="2:14" ht="21" x14ac:dyDescent="0.25">
      <c r="B92" s="265" t="s">
        <v>550</v>
      </c>
      <c r="C92" s="254"/>
      <c r="D92" s="254"/>
      <c r="E92" s="254"/>
      <c r="F92" s="254"/>
      <c r="G92" s="254"/>
      <c r="H92" s="254"/>
      <c r="I92" s="254"/>
      <c r="J92" s="254"/>
      <c r="K92" s="254"/>
      <c r="L92" s="254"/>
      <c r="M92" s="254"/>
      <c r="N92" s="254">
        <f t="shared" si="9"/>
        <v>0</v>
      </c>
    </row>
    <row r="93" spans="2:14" ht="21" x14ac:dyDescent="0.25">
      <c r="B93" s="265" t="s">
        <v>551</v>
      </c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>
        <f t="shared" si="9"/>
        <v>0</v>
      </c>
    </row>
    <row r="94" spans="2:14" ht="21" x14ac:dyDescent="0.25">
      <c r="B94" s="266" t="s">
        <v>552</v>
      </c>
      <c r="C94" s="254"/>
      <c r="D94" s="254"/>
      <c r="E94" s="254"/>
      <c r="F94" s="254"/>
      <c r="G94" s="254"/>
      <c r="H94" s="254"/>
      <c r="I94" s="254"/>
      <c r="J94" s="254"/>
      <c r="K94" s="254"/>
      <c r="L94" s="254"/>
      <c r="M94" s="254"/>
      <c r="N94" s="254">
        <f t="shared" si="9"/>
        <v>0</v>
      </c>
    </row>
    <row r="95" spans="2:14" ht="21" x14ac:dyDescent="0.25">
      <c r="B95" s="266" t="s">
        <v>553</v>
      </c>
      <c r="C95" s="254"/>
      <c r="D95" s="254"/>
      <c r="E95" s="254"/>
      <c r="F95" s="254"/>
      <c r="G95" s="254"/>
      <c r="H95" s="254"/>
      <c r="I95" s="254"/>
      <c r="J95" s="254"/>
      <c r="K95" s="254"/>
      <c r="L95" s="254"/>
      <c r="M95" s="254"/>
      <c r="N95" s="254">
        <f t="shared" si="9"/>
        <v>0</v>
      </c>
    </row>
    <row r="96" spans="2:14" x14ac:dyDescent="0.25">
      <c r="C96" s="267">
        <f>SUM(C90:C95)</f>
        <v>0</v>
      </c>
      <c r="D96" s="267">
        <f t="shared" ref="D96" si="10">SUM(D90:D95)</f>
        <v>0</v>
      </c>
      <c r="E96" s="267">
        <f t="shared" ref="E96" si="11">SUM(E90:E95)</f>
        <v>0</v>
      </c>
      <c r="F96" s="267">
        <f t="shared" ref="F96" si="12">SUM(F90:F95)</f>
        <v>0</v>
      </c>
      <c r="G96" s="267">
        <f t="shared" ref="G96" si="13">SUM(G90:G95)</f>
        <v>0</v>
      </c>
      <c r="H96" s="267">
        <f t="shared" ref="H96" si="14">SUM(H90:H95)</f>
        <v>0</v>
      </c>
      <c r="I96" s="267">
        <f t="shared" ref="I96" si="15">SUM(I90:I95)</f>
        <v>0</v>
      </c>
      <c r="J96" s="267">
        <f t="shared" ref="J96" si="16">SUM(J90:J95)</f>
        <v>0</v>
      </c>
      <c r="K96" s="267">
        <f t="shared" ref="K96" si="17">SUM(K90:K95)</f>
        <v>0</v>
      </c>
      <c r="L96" s="267">
        <f t="shared" ref="L96" si="18">SUM(L90:L95)</f>
        <v>0</v>
      </c>
      <c r="M96" s="267">
        <f>SUM(M90:M95)</f>
        <v>0</v>
      </c>
      <c r="N96" s="267">
        <f>SUM(N90:N95)</f>
        <v>0</v>
      </c>
    </row>
    <row r="100" spans="2:14" ht="15.75" thickBot="1" x14ac:dyDescent="0.3"/>
    <row r="101" spans="2:14" ht="21.75" thickBot="1" x14ac:dyDescent="0.3">
      <c r="B101" s="383"/>
      <c r="C101" s="391" t="s">
        <v>540</v>
      </c>
      <c r="D101" s="392"/>
      <c r="E101" s="392"/>
      <c r="F101" s="392"/>
      <c r="G101" s="391" t="s">
        <v>541</v>
      </c>
      <c r="H101" s="392"/>
      <c r="I101" s="392"/>
      <c r="J101" s="392"/>
      <c r="K101" s="391" t="s">
        <v>542</v>
      </c>
      <c r="L101" s="392"/>
      <c r="M101" s="393"/>
    </row>
    <row r="102" spans="2:14" ht="21.75" thickBot="1" x14ac:dyDescent="0.3">
      <c r="B102" s="383"/>
      <c r="C102" s="270" t="s">
        <v>533</v>
      </c>
      <c r="D102" s="253" t="s">
        <v>534</v>
      </c>
      <c r="E102" s="253" t="s">
        <v>535</v>
      </c>
      <c r="F102" s="253" t="s">
        <v>536</v>
      </c>
      <c r="G102" s="253" t="s">
        <v>537</v>
      </c>
      <c r="H102" s="253" t="s">
        <v>538</v>
      </c>
      <c r="I102" s="253" t="s">
        <v>539</v>
      </c>
      <c r="J102" s="253" t="s">
        <v>533</v>
      </c>
      <c r="K102" s="253" t="s">
        <v>534</v>
      </c>
      <c r="L102" s="253" t="s">
        <v>535</v>
      </c>
      <c r="M102" s="253" t="s">
        <v>536</v>
      </c>
      <c r="N102" s="263" t="s">
        <v>543</v>
      </c>
    </row>
    <row r="103" spans="2:14" ht="21" x14ac:dyDescent="0.25">
      <c r="B103" s="264" t="s">
        <v>568</v>
      </c>
      <c r="C103" s="268">
        <v>45505</v>
      </c>
      <c r="D103" s="268">
        <v>45506</v>
      </c>
      <c r="E103" s="268">
        <v>45507</v>
      </c>
      <c r="F103" s="268">
        <v>45508</v>
      </c>
      <c r="G103" s="268">
        <v>45509</v>
      </c>
      <c r="H103" s="268">
        <v>45510</v>
      </c>
      <c r="I103" s="268">
        <v>45511</v>
      </c>
      <c r="J103" s="268">
        <v>45512</v>
      </c>
      <c r="K103" s="268">
        <v>45513</v>
      </c>
      <c r="L103" s="268">
        <v>45514</v>
      </c>
      <c r="M103" s="268">
        <v>45515</v>
      </c>
      <c r="N103" s="269"/>
    </row>
    <row r="104" spans="2:14" ht="21" x14ac:dyDescent="0.25">
      <c r="B104" s="265" t="s">
        <v>548</v>
      </c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>
        <f t="shared" ref="N104:N109" si="19">SUM(C104:M104)</f>
        <v>0</v>
      </c>
    </row>
    <row r="105" spans="2:14" ht="21" x14ac:dyDescent="0.25">
      <c r="B105" s="265" t="s">
        <v>549</v>
      </c>
      <c r="C105" s="254"/>
      <c r="D105" s="254"/>
      <c r="E105" s="254"/>
      <c r="F105" s="254"/>
      <c r="G105" s="254"/>
      <c r="H105" s="254"/>
      <c r="I105" s="254"/>
      <c r="J105" s="254"/>
      <c r="K105" s="254"/>
      <c r="L105" s="254"/>
      <c r="M105" s="254"/>
      <c r="N105" s="254">
        <f t="shared" si="19"/>
        <v>0</v>
      </c>
    </row>
    <row r="106" spans="2:14" ht="21" x14ac:dyDescent="0.25">
      <c r="B106" s="265" t="s">
        <v>550</v>
      </c>
      <c r="C106" s="254"/>
      <c r="D106" s="254"/>
      <c r="E106" s="254"/>
      <c r="F106" s="254"/>
      <c r="G106" s="254"/>
      <c r="H106" s="254"/>
      <c r="I106" s="254"/>
      <c r="J106" s="254"/>
      <c r="K106" s="254"/>
      <c r="L106" s="254"/>
      <c r="M106" s="254"/>
      <c r="N106" s="254">
        <f t="shared" si="19"/>
        <v>0</v>
      </c>
    </row>
    <row r="107" spans="2:14" ht="21" x14ac:dyDescent="0.25">
      <c r="B107" s="265" t="s">
        <v>551</v>
      </c>
      <c r="C107" s="254"/>
      <c r="D107" s="254"/>
      <c r="E107" s="254"/>
      <c r="F107" s="254"/>
      <c r="G107" s="254"/>
      <c r="H107" s="254"/>
      <c r="I107" s="254"/>
      <c r="J107" s="254"/>
      <c r="K107" s="254"/>
      <c r="L107" s="254"/>
      <c r="M107" s="254"/>
      <c r="N107" s="254">
        <f t="shared" si="19"/>
        <v>0</v>
      </c>
    </row>
    <row r="108" spans="2:14" ht="21" x14ac:dyDescent="0.25">
      <c r="B108" s="266" t="s">
        <v>552</v>
      </c>
      <c r="C108" s="254"/>
      <c r="D108" s="254"/>
      <c r="E108" s="254"/>
      <c r="F108" s="254"/>
      <c r="G108" s="254"/>
      <c r="H108" s="254"/>
      <c r="I108" s="254"/>
      <c r="J108" s="254"/>
      <c r="K108" s="254"/>
      <c r="L108" s="254"/>
      <c r="M108" s="254"/>
      <c r="N108" s="254">
        <f t="shared" si="19"/>
        <v>0</v>
      </c>
    </row>
    <row r="109" spans="2:14" ht="21" x14ac:dyDescent="0.25">
      <c r="B109" s="266" t="s">
        <v>553</v>
      </c>
      <c r="C109" s="254"/>
      <c r="D109" s="254"/>
      <c r="E109" s="254"/>
      <c r="F109" s="254"/>
      <c r="G109" s="254"/>
      <c r="H109" s="254"/>
      <c r="I109" s="254"/>
      <c r="J109" s="254"/>
      <c r="K109" s="254"/>
      <c r="L109" s="254"/>
      <c r="M109" s="254"/>
      <c r="N109" s="254">
        <f t="shared" si="19"/>
        <v>0</v>
      </c>
    </row>
    <row r="110" spans="2:14" x14ac:dyDescent="0.25">
      <c r="C110" s="267">
        <f>SUM(C104:C109)</f>
        <v>0</v>
      </c>
      <c r="D110" s="267">
        <f t="shared" ref="D110:L110" si="20">SUM(D104:D109)</f>
        <v>0</v>
      </c>
      <c r="E110" s="267">
        <f t="shared" si="20"/>
        <v>0</v>
      </c>
      <c r="F110" s="267">
        <f t="shared" si="20"/>
        <v>0</v>
      </c>
      <c r="G110" s="267">
        <f t="shared" si="20"/>
        <v>0</v>
      </c>
      <c r="H110" s="267">
        <f t="shared" si="20"/>
        <v>0</v>
      </c>
      <c r="I110" s="267">
        <f t="shared" si="20"/>
        <v>0</v>
      </c>
      <c r="J110" s="267">
        <f t="shared" si="20"/>
        <v>0</v>
      </c>
      <c r="K110" s="267">
        <f t="shared" si="20"/>
        <v>0</v>
      </c>
      <c r="L110" s="267">
        <f t="shared" si="20"/>
        <v>0</v>
      </c>
      <c r="M110" s="267">
        <f>SUM(M104:M109)</f>
        <v>0</v>
      </c>
      <c r="N110" s="267">
        <f>SUM(N104:N109)</f>
        <v>0</v>
      </c>
    </row>
    <row r="114" spans="2:14" ht="15.75" thickBot="1" x14ac:dyDescent="0.3"/>
    <row r="115" spans="2:14" ht="21.75" thickBot="1" x14ac:dyDescent="0.3">
      <c r="C115" s="394" t="s">
        <v>540</v>
      </c>
      <c r="D115" s="395"/>
      <c r="E115" s="395"/>
      <c r="F115" s="395"/>
      <c r="G115" s="394" t="s">
        <v>541</v>
      </c>
      <c r="H115" s="395"/>
      <c r="I115" s="395"/>
      <c r="J115" s="395"/>
      <c r="K115" s="394" t="s">
        <v>542</v>
      </c>
      <c r="L115" s="395"/>
      <c r="M115" s="395"/>
    </row>
    <row r="116" spans="2:14" ht="21.75" thickBot="1" x14ac:dyDescent="0.3">
      <c r="C116" s="253" t="s">
        <v>533</v>
      </c>
      <c r="D116" s="253" t="s">
        <v>534</v>
      </c>
      <c r="E116" s="253" t="s">
        <v>535</v>
      </c>
      <c r="F116" s="253" t="s">
        <v>536</v>
      </c>
      <c r="G116" s="253" t="s">
        <v>537</v>
      </c>
      <c r="H116" s="253" t="s">
        <v>538</v>
      </c>
      <c r="I116" s="253" t="s">
        <v>539</v>
      </c>
      <c r="J116" s="253" t="s">
        <v>533</v>
      </c>
      <c r="K116" s="253" t="s">
        <v>534</v>
      </c>
      <c r="L116" s="253" t="s">
        <v>535</v>
      </c>
      <c r="M116" s="253" t="s">
        <v>536</v>
      </c>
      <c r="N116" s="259" t="s">
        <v>543</v>
      </c>
    </row>
    <row r="117" spans="2:14" ht="21" x14ac:dyDescent="0.25">
      <c r="B117" s="260" t="s">
        <v>880</v>
      </c>
      <c r="C117" s="268">
        <v>45505</v>
      </c>
      <c r="D117" s="268">
        <v>45506</v>
      </c>
      <c r="E117" s="268">
        <v>45507</v>
      </c>
      <c r="F117" s="268">
        <v>45508</v>
      </c>
      <c r="G117" s="268">
        <v>45509</v>
      </c>
      <c r="H117" s="268">
        <v>45510</v>
      </c>
      <c r="I117" s="268">
        <v>45511</v>
      </c>
      <c r="J117" s="268">
        <v>45512</v>
      </c>
      <c r="K117" s="268">
        <v>45513</v>
      </c>
      <c r="L117" s="268">
        <v>45514</v>
      </c>
      <c r="M117" s="268">
        <v>45515</v>
      </c>
      <c r="N117" s="269"/>
    </row>
    <row r="118" spans="2:14" ht="21" x14ac:dyDescent="0.25">
      <c r="B118" s="261" t="s">
        <v>529</v>
      </c>
      <c r="C118" s="254"/>
      <c r="D118" s="254"/>
      <c r="E118" s="254"/>
      <c r="F118" s="254"/>
      <c r="G118" s="254"/>
      <c r="H118" s="254"/>
      <c r="I118" s="254"/>
      <c r="J118" s="254"/>
      <c r="K118" s="254"/>
      <c r="L118" s="254"/>
      <c r="M118" s="254"/>
      <c r="N118" s="256">
        <f t="shared" ref="N118:N121" si="21">SUM(C118:M118)</f>
        <v>0</v>
      </c>
    </row>
    <row r="119" spans="2:14" ht="21" x14ac:dyDescent="0.25">
      <c r="B119" s="261" t="s">
        <v>530</v>
      </c>
      <c r="C119" s="254"/>
      <c r="D119" s="254"/>
      <c r="E119" s="254"/>
      <c r="F119" s="254"/>
      <c r="G119" s="254"/>
      <c r="H119" s="254"/>
      <c r="I119" s="254"/>
      <c r="J119" s="254"/>
      <c r="K119" s="254"/>
      <c r="L119" s="254"/>
      <c r="M119" s="254"/>
      <c r="N119" s="256">
        <f t="shared" si="21"/>
        <v>0</v>
      </c>
    </row>
    <row r="120" spans="2:14" ht="21" x14ac:dyDescent="0.25">
      <c r="B120" s="261" t="s">
        <v>531</v>
      </c>
      <c r="C120" s="254"/>
      <c r="D120" s="254"/>
      <c r="E120" s="254"/>
      <c r="F120" s="254"/>
      <c r="G120" s="254"/>
      <c r="H120" s="254"/>
      <c r="I120" s="254"/>
      <c r="J120" s="254"/>
      <c r="K120" s="254"/>
      <c r="L120" s="254"/>
      <c r="M120" s="254"/>
      <c r="N120" s="256">
        <f t="shared" si="21"/>
        <v>0</v>
      </c>
    </row>
    <row r="121" spans="2:14" ht="21.75" thickBot="1" x14ac:dyDescent="0.3">
      <c r="B121" s="262" t="s">
        <v>532</v>
      </c>
      <c r="C121" s="257"/>
      <c r="D121" s="257"/>
      <c r="E121" s="257"/>
      <c r="F121" s="257"/>
      <c r="G121" s="257"/>
      <c r="H121" s="257"/>
      <c r="I121" s="257"/>
      <c r="J121" s="257"/>
      <c r="K121" s="257"/>
      <c r="L121" s="257"/>
      <c r="M121" s="257"/>
      <c r="N121" s="258">
        <f t="shared" si="21"/>
        <v>0</v>
      </c>
    </row>
    <row r="122" spans="2:14" ht="15.75" thickBot="1" x14ac:dyDescent="0.3">
      <c r="N122" s="255">
        <f>SUM(N118:N121)</f>
        <v>0</v>
      </c>
    </row>
  </sheetData>
  <mergeCells count="33">
    <mergeCell ref="C115:F115"/>
    <mergeCell ref="G115:J115"/>
    <mergeCell ref="K115:M115"/>
    <mergeCell ref="C51:F51"/>
    <mergeCell ref="G51:J51"/>
    <mergeCell ref="K51:M51"/>
    <mergeCell ref="C62:F62"/>
    <mergeCell ref="G62:J62"/>
    <mergeCell ref="K62:M62"/>
    <mergeCell ref="B101:B102"/>
    <mergeCell ref="C101:F101"/>
    <mergeCell ref="G101:J101"/>
    <mergeCell ref="K101:M101"/>
    <mergeCell ref="C8:F8"/>
    <mergeCell ref="G8:J8"/>
    <mergeCell ref="K8:M8"/>
    <mergeCell ref="C19:F19"/>
    <mergeCell ref="G19:J19"/>
    <mergeCell ref="K19:M19"/>
    <mergeCell ref="C30:F30"/>
    <mergeCell ref="G30:J30"/>
    <mergeCell ref="K30:M30"/>
    <mergeCell ref="C41:F41"/>
    <mergeCell ref="G41:J41"/>
    <mergeCell ref="K41:M41"/>
    <mergeCell ref="B87:B88"/>
    <mergeCell ref="C87:F87"/>
    <mergeCell ref="G87:J87"/>
    <mergeCell ref="K87:M87"/>
    <mergeCell ref="C73:F73"/>
    <mergeCell ref="G73:J73"/>
    <mergeCell ref="K73:M73"/>
    <mergeCell ref="B73:B74"/>
  </mergeCells>
  <pageMargins left="0.511811024" right="0.511811024" top="0.78740157499999996" bottom="0.78740157499999996" header="0.31496062000000002" footer="0.31496062000000002"/>
  <ignoredErrors>
    <ignoredError sqref="L82:M82 D82:K82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D0B68-9E3F-43D3-99A4-90B0B34D11AB}">
  <dimension ref="C2:NQ41"/>
  <sheetViews>
    <sheetView showGridLines="0" zoomScale="70" zoomScaleNormal="70" workbookViewId="0">
      <selection activeCell="C1" sqref="C1"/>
    </sheetView>
  </sheetViews>
  <sheetFormatPr defaultColWidth="9.140625" defaultRowHeight="20.100000000000001" customHeight="1" x14ac:dyDescent="0.25"/>
  <cols>
    <col min="1" max="1" width="3.28515625" style="277" customWidth="1"/>
    <col min="2" max="2" width="2.7109375" style="277" customWidth="1"/>
    <col min="3" max="3" width="51.140625" style="277" customWidth="1"/>
    <col min="4" max="4" width="8.28515625" style="318" customWidth="1"/>
    <col min="5" max="5" width="9.7109375" style="318" customWidth="1"/>
    <col min="6" max="6" width="6.28515625" style="285" customWidth="1"/>
    <col min="7" max="7" width="21" style="277" customWidth="1"/>
    <col min="8" max="8" width="20.7109375" style="286" customWidth="1"/>
    <col min="9" max="9" width="40.28515625" style="287" customWidth="1"/>
    <col min="10" max="100" width="4.7109375" style="276" customWidth="1"/>
    <col min="101" max="374" width="4.7109375" style="277" customWidth="1"/>
    <col min="375" max="376" width="2.7109375" style="277" customWidth="1"/>
    <col min="377" max="16384" width="9.140625" style="277"/>
  </cols>
  <sheetData>
    <row r="2" spans="3:381" ht="20.100000000000001" customHeight="1" x14ac:dyDescent="0.25">
      <c r="C2" s="271"/>
      <c r="D2" s="272"/>
      <c r="E2" s="272"/>
      <c r="F2" s="273"/>
      <c r="G2" s="271"/>
      <c r="H2" s="274"/>
      <c r="I2" s="275"/>
    </row>
    <row r="6" spans="3:381" ht="20.100000000000001" customHeight="1" x14ac:dyDescent="0.25">
      <c r="C6" s="278"/>
      <c r="D6" s="279"/>
      <c r="E6" s="279"/>
      <c r="F6" s="280"/>
      <c r="G6" s="278"/>
      <c r="H6" s="281"/>
      <c r="I6" s="282"/>
    </row>
    <row r="7" spans="3:381" ht="20.100000000000001" customHeight="1" x14ac:dyDescent="0.25">
      <c r="C7" s="283"/>
      <c r="D7" s="284"/>
      <c r="E7" s="285"/>
      <c r="CF7" s="288"/>
    </row>
    <row r="8" spans="3:381" ht="20.100000000000001" customHeight="1" x14ac:dyDescent="0.25">
      <c r="C8" s="289" t="s">
        <v>556</v>
      </c>
      <c r="D8" s="290">
        <f ca="1">TODAY()</f>
        <v>46196</v>
      </c>
      <c r="E8" s="291"/>
      <c r="F8" s="277"/>
      <c r="I8" s="277"/>
      <c r="J8" s="292" t="s">
        <v>881</v>
      </c>
      <c r="K8" s="292" t="s">
        <v>882</v>
      </c>
      <c r="L8" s="292" t="s">
        <v>883</v>
      </c>
      <c r="M8" s="293" t="s">
        <v>884</v>
      </c>
      <c r="N8" s="293" t="s">
        <v>885</v>
      </c>
      <c r="O8" s="292" t="s">
        <v>886</v>
      </c>
      <c r="P8" s="292" t="s">
        <v>887</v>
      </c>
      <c r="Q8" s="292" t="s">
        <v>881</v>
      </c>
      <c r="R8" s="292" t="s">
        <v>882</v>
      </c>
      <c r="S8" s="292" t="s">
        <v>883</v>
      </c>
      <c r="T8" s="293" t="s">
        <v>884</v>
      </c>
      <c r="U8" s="293" t="s">
        <v>885</v>
      </c>
      <c r="V8" s="292" t="s">
        <v>886</v>
      </c>
      <c r="W8" s="292" t="s">
        <v>887</v>
      </c>
      <c r="X8" s="292" t="s">
        <v>881</v>
      </c>
      <c r="Y8" s="292" t="s">
        <v>882</v>
      </c>
      <c r="Z8" s="292" t="s">
        <v>883</v>
      </c>
      <c r="AA8" s="293" t="s">
        <v>884</v>
      </c>
      <c r="AB8" s="293" t="s">
        <v>885</v>
      </c>
      <c r="AC8" s="292" t="s">
        <v>886</v>
      </c>
      <c r="AD8" s="292" t="s">
        <v>887</v>
      </c>
      <c r="AE8" s="292" t="s">
        <v>881</v>
      </c>
      <c r="AF8" s="292" t="s">
        <v>882</v>
      </c>
      <c r="AG8" s="292" t="s">
        <v>883</v>
      </c>
      <c r="AH8" s="293" t="s">
        <v>884</v>
      </c>
      <c r="AI8" s="293" t="s">
        <v>885</v>
      </c>
      <c r="AJ8" s="292" t="s">
        <v>886</v>
      </c>
      <c r="AK8" s="292" t="s">
        <v>887</v>
      </c>
      <c r="AL8" s="292" t="s">
        <v>881</v>
      </c>
      <c r="AM8" s="292" t="s">
        <v>882</v>
      </c>
      <c r="AN8" s="292" t="s">
        <v>883</v>
      </c>
      <c r="AO8" s="293" t="s">
        <v>884</v>
      </c>
      <c r="AP8" s="293" t="s">
        <v>885</v>
      </c>
      <c r="AQ8" s="292" t="s">
        <v>886</v>
      </c>
      <c r="AR8" s="292" t="s">
        <v>887</v>
      </c>
      <c r="AS8" s="292" t="s">
        <v>881</v>
      </c>
      <c r="AT8" s="292" t="s">
        <v>882</v>
      </c>
      <c r="AU8" s="292" t="s">
        <v>883</v>
      </c>
      <c r="AV8" s="293" t="s">
        <v>884</v>
      </c>
      <c r="AW8" s="293" t="s">
        <v>885</v>
      </c>
      <c r="AX8" s="292" t="s">
        <v>886</v>
      </c>
      <c r="AY8" s="292" t="s">
        <v>887</v>
      </c>
      <c r="AZ8" s="292" t="s">
        <v>881</v>
      </c>
      <c r="BA8" s="292" t="s">
        <v>882</v>
      </c>
      <c r="BB8" s="292" t="s">
        <v>883</v>
      </c>
      <c r="BC8" s="293" t="s">
        <v>884</v>
      </c>
      <c r="BD8" s="293" t="s">
        <v>885</v>
      </c>
      <c r="BE8" s="292" t="s">
        <v>886</v>
      </c>
      <c r="BF8" s="292" t="s">
        <v>887</v>
      </c>
      <c r="BG8" s="292" t="s">
        <v>881</v>
      </c>
      <c r="BH8" s="292" t="s">
        <v>882</v>
      </c>
      <c r="BI8" s="292" t="s">
        <v>883</v>
      </c>
      <c r="BJ8" s="293" t="s">
        <v>884</v>
      </c>
      <c r="BK8" s="293" t="s">
        <v>885</v>
      </c>
      <c r="BL8" s="292" t="s">
        <v>886</v>
      </c>
      <c r="BM8" s="292" t="s">
        <v>887</v>
      </c>
      <c r="BN8" s="292" t="s">
        <v>881</v>
      </c>
      <c r="BO8" s="292" t="s">
        <v>882</v>
      </c>
      <c r="BP8" s="292" t="s">
        <v>883</v>
      </c>
      <c r="BQ8" s="293" t="s">
        <v>884</v>
      </c>
      <c r="BR8" s="293" t="s">
        <v>885</v>
      </c>
      <c r="BS8" s="292" t="s">
        <v>886</v>
      </c>
      <c r="BT8" s="293" t="s">
        <v>887</v>
      </c>
      <c r="BU8" s="292" t="s">
        <v>881</v>
      </c>
      <c r="BV8" s="292" t="s">
        <v>882</v>
      </c>
      <c r="BW8" s="292" t="s">
        <v>883</v>
      </c>
      <c r="BX8" s="293" t="s">
        <v>884</v>
      </c>
      <c r="BY8" s="293" t="s">
        <v>885</v>
      </c>
      <c r="BZ8" s="292" t="s">
        <v>886</v>
      </c>
      <c r="CA8" s="292" t="s">
        <v>887</v>
      </c>
      <c r="CB8" s="292" t="s">
        <v>881</v>
      </c>
      <c r="CC8" s="292" t="s">
        <v>882</v>
      </c>
      <c r="CD8" s="292" t="s">
        <v>883</v>
      </c>
      <c r="CE8" s="293" t="s">
        <v>884</v>
      </c>
      <c r="CF8" s="293" t="s">
        <v>885</v>
      </c>
      <c r="CG8" s="292" t="s">
        <v>886</v>
      </c>
      <c r="CH8" s="292" t="s">
        <v>887</v>
      </c>
      <c r="CI8" s="292" t="s">
        <v>881</v>
      </c>
      <c r="CJ8" s="292" t="s">
        <v>882</v>
      </c>
      <c r="CK8" s="292" t="s">
        <v>883</v>
      </c>
      <c r="CL8" s="293" t="s">
        <v>884</v>
      </c>
      <c r="CM8" s="293" t="s">
        <v>885</v>
      </c>
      <c r="CN8" s="292" t="s">
        <v>886</v>
      </c>
      <c r="CO8" s="292" t="s">
        <v>887</v>
      </c>
      <c r="CP8" s="292" t="s">
        <v>881</v>
      </c>
      <c r="CQ8" s="292" t="s">
        <v>882</v>
      </c>
      <c r="CR8" s="292" t="s">
        <v>883</v>
      </c>
      <c r="CS8" s="293" t="s">
        <v>884</v>
      </c>
      <c r="CT8" s="293" t="s">
        <v>885</v>
      </c>
      <c r="CU8" s="292" t="s">
        <v>886</v>
      </c>
      <c r="CV8" s="292" t="s">
        <v>887</v>
      </c>
      <c r="CW8" s="292" t="s">
        <v>881</v>
      </c>
      <c r="CX8" s="292" t="s">
        <v>882</v>
      </c>
      <c r="CY8" s="292" t="s">
        <v>883</v>
      </c>
      <c r="CZ8" s="293" t="s">
        <v>884</v>
      </c>
      <c r="DA8" s="293" t="s">
        <v>885</v>
      </c>
      <c r="DB8" s="292" t="s">
        <v>886</v>
      </c>
      <c r="DC8" s="292" t="s">
        <v>887</v>
      </c>
      <c r="DD8" s="292" t="s">
        <v>881</v>
      </c>
      <c r="DE8" s="292" t="s">
        <v>882</v>
      </c>
      <c r="DF8" s="292" t="s">
        <v>883</v>
      </c>
      <c r="DG8" s="293" t="s">
        <v>884</v>
      </c>
      <c r="DH8" s="293" t="s">
        <v>885</v>
      </c>
      <c r="DI8" s="292" t="s">
        <v>886</v>
      </c>
      <c r="DJ8" s="292" t="s">
        <v>887</v>
      </c>
      <c r="DK8" s="292" t="s">
        <v>881</v>
      </c>
      <c r="DL8" s="292" t="s">
        <v>882</v>
      </c>
      <c r="DM8" s="293" t="s">
        <v>883</v>
      </c>
      <c r="DN8" s="293" t="s">
        <v>884</v>
      </c>
      <c r="DO8" s="293" t="s">
        <v>885</v>
      </c>
      <c r="DP8" s="293" t="s">
        <v>886</v>
      </c>
      <c r="DQ8" s="292" t="s">
        <v>887</v>
      </c>
      <c r="DR8" s="292" t="s">
        <v>881</v>
      </c>
      <c r="DS8" s="292" t="s">
        <v>882</v>
      </c>
      <c r="DT8" s="292" t="s">
        <v>883</v>
      </c>
      <c r="DU8" s="293" t="s">
        <v>884</v>
      </c>
      <c r="DV8" s="293" t="s">
        <v>885</v>
      </c>
      <c r="DW8" s="292" t="s">
        <v>886</v>
      </c>
      <c r="DX8" s="292" t="s">
        <v>887</v>
      </c>
      <c r="DY8" s="292" t="s">
        <v>881</v>
      </c>
      <c r="DZ8" s="293" t="s">
        <v>882</v>
      </c>
      <c r="EA8" s="292" t="s">
        <v>883</v>
      </c>
      <c r="EB8" s="293" t="s">
        <v>884</v>
      </c>
      <c r="EC8" s="293" t="s">
        <v>885</v>
      </c>
      <c r="ED8" s="292" t="s">
        <v>886</v>
      </c>
      <c r="EE8" s="292" t="s">
        <v>887</v>
      </c>
      <c r="EF8" s="292" t="s">
        <v>881</v>
      </c>
      <c r="EG8" s="292" t="s">
        <v>882</v>
      </c>
      <c r="EH8" s="292" t="s">
        <v>883</v>
      </c>
      <c r="EI8" s="293" t="s">
        <v>884</v>
      </c>
      <c r="EJ8" s="293" t="s">
        <v>885</v>
      </c>
      <c r="EK8" s="292" t="s">
        <v>886</v>
      </c>
      <c r="EL8" s="292" t="s">
        <v>887</v>
      </c>
      <c r="EM8" s="292" t="s">
        <v>881</v>
      </c>
      <c r="EN8" s="292" t="s">
        <v>882</v>
      </c>
      <c r="EO8" s="292" t="s">
        <v>883</v>
      </c>
      <c r="EP8" s="293" t="s">
        <v>884</v>
      </c>
      <c r="EQ8" s="293" t="s">
        <v>885</v>
      </c>
      <c r="ER8" s="292" t="s">
        <v>886</v>
      </c>
      <c r="ES8" s="292" t="s">
        <v>887</v>
      </c>
      <c r="ET8" s="292" t="s">
        <v>881</v>
      </c>
      <c r="EU8" s="292" t="s">
        <v>882</v>
      </c>
      <c r="EV8" s="292" t="s">
        <v>883</v>
      </c>
      <c r="EW8" s="293" t="s">
        <v>884</v>
      </c>
      <c r="EX8" s="293" t="s">
        <v>885</v>
      </c>
      <c r="EY8" s="292" t="s">
        <v>886</v>
      </c>
      <c r="EZ8" s="292" t="s">
        <v>887</v>
      </c>
      <c r="FA8" s="292" t="s">
        <v>881</v>
      </c>
      <c r="FB8" s="292" t="s">
        <v>882</v>
      </c>
      <c r="FC8" s="292" t="s">
        <v>883</v>
      </c>
      <c r="FD8" s="293" t="s">
        <v>884</v>
      </c>
      <c r="FE8" s="293" t="s">
        <v>885</v>
      </c>
      <c r="FF8" s="292" t="s">
        <v>886</v>
      </c>
      <c r="FG8" s="292" t="s">
        <v>887</v>
      </c>
      <c r="FH8" s="292" t="s">
        <v>881</v>
      </c>
      <c r="FI8" s="292" t="s">
        <v>882</v>
      </c>
      <c r="FJ8" s="292" t="s">
        <v>883</v>
      </c>
      <c r="FK8" s="293" t="s">
        <v>884</v>
      </c>
      <c r="FL8" s="293" t="s">
        <v>885</v>
      </c>
      <c r="FM8" s="292" t="s">
        <v>886</v>
      </c>
      <c r="FN8" s="292" t="s">
        <v>887</v>
      </c>
      <c r="FO8" s="292" t="s">
        <v>881</v>
      </c>
      <c r="FP8" s="292" t="s">
        <v>882</v>
      </c>
      <c r="FQ8" s="292" t="s">
        <v>883</v>
      </c>
      <c r="FR8" s="293" t="s">
        <v>884</v>
      </c>
      <c r="FS8" s="293" t="s">
        <v>885</v>
      </c>
      <c r="FT8" s="292" t="s">
        <v>886</v>
      </c>
      <c r="FU8" s="292" t="s">
        <v>887</v>
      </c>
      <c r="FV8" s="292" t="s">
        <v>881</v>
      </c>
      <c r="FW8" s="293" t="s">
        <v>882</v>
      </c>
      <c r="FX8" s="292" t="s">
        <v>883</v>
      </c>
      <c r="FY8" s="293" t="s">
        <v>884</v>
      </c>
      <c r="FZ8" s="293" t="s">
        <v>885</v>
      </c>
      <c r="GA8" s="292" t="s">
        <v>886</v>
      </c>
      <c r="GB8" s="292" t="s">
        <v>887</v>
      </c>
      <c r="GC8" s="292" t="s">
        <v>881</v>
      </c>
      <c r="GD8" s="292" t="s">
        <v>882</v>
      </c>
      <c r="GE8" s="292" t="s">
        <v>883</v>
      </c>
      <c r="GF8" s="293" t="s">
        <v>884</v>
      </c>
      <c r="GG8" s="293" t="s">
        <v>885</v>
      </c>
      <c r="GH8" s="292" t="s">
        <v>886</v>
      </c>
      <c r="GI8" s="292" t="s">
        <v>887</v>
      </c>
      <c r="GJ8" s="292" t="s">
        <v>881</v>
      </c>
      <c r="GK8" s="292" t="s">
        <v>882</v>
      </c>
      <c r="GL8" s="292" t="s">
        <v>883</v>
      </c>
      <c r="GM8" s="293" t="s">
        <v>884</v>
      </c>
      <c r="GN8" s="293" t="s">
        <v>885</v>
      </c>
      <c r="GO8" s="292" t="s">
        <v>886</v>
      </c>
      <c r="GP8" s="292" t="s">
        <v>887</v>
      </c>
      <c r="GQ8" s="293" t="s">
        <v>881</v>
      </c>
      <c r="GR8" s="292" t="s">
        <v>882</v>
      </c>
      <c r="GS8" s="292" t="s">
        <v>883</v>
      </c>
      <c r="GT8" s="293" t="s">
        <v>884</v>
      </c>
      <c r="GU8" s="293" t="s">
        <v>885</v>
      </c>
      <c r="GV8" s="292" t="s">
        <v>886</v>
      </c>
      <c r="GW8" s="292" t="s">
        <v>887</v>
      </c>
      <c r="GX8" s="292" t="s">
        <v>881</v>
      </c>
      <c r="GY8" s="292" t="s">
        <v>882</v>
      </c>
      <c r="GZ8" s="292" t="s">
        <v>883</v>
      </c>
      <c r="HA8" s="293" t="s">
        <v>884</v>
      </c>
      <c r="HB8" s="293" t="s">
        <v>885</v>
      </c>
      <c r="HC8" s="292" t="s">
        <v>886</v>
      </c>
      <c r="HD8" s="292" t="s">
        <v>887</v>
      </c>
      <c r="HE8" s="292" t="s">
        <v>881</v>
      </c>
      <c r="HF8" s="292" t="s">
        <v>882</v>
      </c>
      <c r="HG8" s="292" t="s">
        <v>883</v>
      </c>
      <c r="HH8" s="293" t="s">
        <v>884</v>
      </c>
      <c r="HI8" s="293" t="s">
        <v>885</v>
      </c>
      <c r="HJ8" s="292" t="s">
        <v>886</v>
      </c>
      <c r="HK8" s="292" t="s">
        <v>887</v>
      </c>
      <c r="HL8" s="292" t="s">
        <v>881</v>
      </c>
      <c r="HM8" s="292" t="s">
        <v>882</v>
      </c>
      <c r="HN8" s="292" t="s">
        <v>883</v>
      </c>
      <c r="HO8" s="293" t="s">
        <v>884</v>
      </c>
      <c r="HP8" s="293" t="s">
        <v>885</v>
      </c>
      <c r="HQ8" s="292" t="s">
        <v>886</v>
      </c>
      <c r="HR8" s="292" t="s">
        <v>887</v>
      </c>
      <c r="HS8" s="292" t="s">
        <v>881</v>
      </c>
      <c r="HT8" s="292" t="s">
        <v>882</v>
      </c>
      <c r="HU8" s="292" t="s">
        <v>883</v>
      </c>
      <c r="HV8" s="293" t="s">
        <v>884</v>
      </c>
      <c r="HW8" s="293" t="s">
        <v>885</v>
      </c>
      <c r="HX8" s="292" t="s">
        <v>886</v>
      </c>
      <c r="HY8" s="292" t="s">
        <v>887</v>
      </c>
      <c r="HZ8" s="292" t="s">
        <v>881</v>
      </c>
      <c r="IA8" s="292" t="s">
        <v>882</v>
      </c>
      <c r="IB8" s="292" t="s">
        <v>883</v>
      </c>
      <c r="IC8" s="293" t="s">
        <v>884</v>
      </c>
      <c r="ID8" s="293" t="s">
        <v>885</v>
      </c>
      <c r="IE8" s="292" t="s">
        <v>886</v>
      </c>
      <c r="IF8" s="292" t="s">
        <v>887</v>
      </c>
      <c r="IG8" s="292" t="s">
        <v>881</v>
      </c>
      <c r="IH8" s="292" t="s">
        <v>882</v>
      </c>
      <c r="II8" s="292" t="s">
        <v>883</v>
      </c>
      <c r="IJ8" s="293" t="s">
        <v>884</v>
      </c>
      <c r="IK8" s="293" t="s">
        <v>885</v>
      </c>
      <c r="IL8" s="292" t="s">
        <v>886</v>
      </c>
      <c r="IM8" s="292" t="s">
        <v>887</v>
      </c>
      <c r="IN8" s="292" t="s">
        <v>881</v>
      </c>
      <c r="IO8" s="292" t="s">
        <v>882</v>
      </c>
      <c r="IP8" s="292" t="s">
        <v>883</v>
      </c>
      <c r="IQ8" s="293" t="s">
        <v>884</v>
      </c>
      <c r="IR8" s="293" t="s">
        <v>885</v>
      </c>
      <c r="IS8" s="292" t="s">
        <v>886</v>
      </c>
      <c r="IT8" s="292" t="s">
        <v>887</v>
      </c>
      <c r="IU8" s="292" t="s">
        <v>881</v>
      </c>
      <c r="IV8" s="292" t="s">
        <v>882</v>
      </c>
      <c r="IW8" s="292" t="s">
        <v>883</v>
      </c>
      <c r="IX8" s="293" t="s">
        <v>884</v>
      </c>
      <c r="IY8" s="293" t="s">
        <v>885</v>
      </c>
      <c r="IZ8" s="292" t="s">
        <v>886</v>
      </c>
      <c r="JA8" s="292" t="s">
        <v>887</v>
      </c>
      <c r="JB8" s="292" t="s">
        <v>881</v>
      </c>
      <c r="JC8" s="292" t="s">
        <v>882</v>
      </c>
      <c r="JD8" s="292" t="s">
        <v>883</v>
      </c>
      <c r="JE8" s="293" t="s">
        <v>884</v>
      </c>
      <c r="JF8" s="293" t="s">
        <v>885</v>
      </c>
      <c r="JG8" s="292" t="s">
        <v>886</v>
      </c>
      <c r="JH8" s="292" t="s">
        <v>887</v>
      </c>
      <c r="JI8" s="292" t="s">
        <v>881</v>
      </c>
      <c r="JJ8" s="292" t="s">
        <v>882</v>
      </c>
      <c r="JK8" s="292" t="s">
        <v>883</v>
      </c>
      <c r="JL8" s="293" t="s">
        <v>884</v>
      </c>
      <c r="JM8" s="293" t="s">
        <v>885</v>
      </c>
      <c r="JN8" s="292" t="s">
        <v>886</v>
      </c>
      <c r="JO8" s="292" t="s">
        <v>887</v>
      </c>
      <c r="JP8" s="292" t="s">
        <v>881</v>
      </c>
      <c r="JQ8" s="292" t="s">
        <v>882</v>
      </c>
      <c r="JR8" s="292" t="s">
        <v>883</v>
      </c>
      <c r="JS8" s="293" t="s">
        <v>884</v>
      </c>
      <c r="JT8" s="293" t="s">
        <v>885</v>
      </c>
      <c r="JU8" s="292" t="s">
        <v>886</v>
      </c>
      <c r="JV8" s="292" t="s">
        <v>887</v>
      </c>
      <c r="JW8" s="292" t="s">
        <v>881</v>
      </c>
      <c r="JX8" s="292" t="s">
        <v>882</v>
      </c>
      <c r="JY8" s="292" t="s">
        <v>883</v>
      </c>
      <c r="JZ8" s="293" t="s">
        <v>884</v>
      </c>
      <c r="KA8" s="293" t="s">
        <v>885</v>
      </c>
      <c r="KB8" s="292" t="s">
        <v>886</v>
      </c>
      <c r="KC8" s="292" t="s">
        <v>887</v>
      </c>
      <c r="KD8" s="292" t="s">
        <v>881</v>
      </c>
      <c r="KE8" s="292" t="s">
        <v>882</v>
      </c>
      <c r="KF8" s="292" t="s">
        <v>883</v>
      </c>
      <c r="KG8" s="293" t="s">
        <v>884</v>
      </c>
      <c r="KH8" s="293" t="s">
        <v>885</v>
      </c>
      <c r="KI8" s="292" t="s">
        <v>886</v>
      </c>
      <c r="KJ8" s="292" t="s">
        <v>887</v>
      </c>
      <c r="KK8" s="292" t="s">
        <v>881</v>
      </c>
      <c r="KL8" s="292" t="s">
        <v>882</v>
      </c>
      <c r="KM8" s="292" t="s">
        <v>883</v>
      </c>
      <c r="KN8" s="293" t="s">
        <v>884</v>
      </c>
      <c r="KO8" s="293" t="s">
        <v>885</v>
      </c>
      <c r="KP8" s="292" t="s">
        <v>886</v>
      </c>
      <c r="KQ8" s="292" t="s">
        <v>887</v>
      </c>
      <c r="KR8" s="292" t="s">
        <v>881</v>
      </c>
      <c r="KS8" s="292" t="s">
        <v>882</v>
      </c>
      <c r="KT8" s="292" t="s">
        <v>883</v>
      </c>
      <c r="KU8" s="293" t="s">
        <v>884</v>
      </c>
      <c r="KV8" s="293" t="s">
        <v>885</v>
      </c>
      <c r="KW8" s="292" t="s">
        <v>886</v>
      </c>
      <c r="KX8" s="292" t="s">
        <v>887</v>
      </c>
      <c r="KY8" s="292" t="s">
        <v>881</v>
      </c>
      <c r="KZ8" s="292" t="s">
        <v>882</v>
      </c>
      <c r="LA8" s="292" t="s">
        <v>883</v>
      </c>
      <c r="LB8" s="293" t="s">
        <v>884</v>
      </c>
      <c r="LC8" s="293" t="s">
        <v>885</v>
      </c>
      <c r="LD8" s="292" t="s">
        <v>886</v>
      </c>
      <c r="LE8" s="292" t="s">
        <v>887</v>
      </c>
      <c r="LF8" s="292" t="s">
        <v>881</v>
      </c>
      <c r="LG8" s="292" t="s">
        <v>882</v>
      </c>
      <c r="LH8" s="292" t="s">
        <v>883</v>
      </c>
      <c r="LI8" s="293" t="s">
        <v>884</v>
      </c>
      <c r="LJ8" s="293" t="s">
        <v>885</v>
      </c>
      <c r="LK8" s="292" t="s">
        <v>886</v>
      </c>
      <c r="LL8" s="292" t="s">
        <v>887</v>
      </c>
      <c r="LM8" s="292" t="s">
        <v>881</v>
      </c>
      <c r="LN8" s="292" t="s">
        <v>882</v>
      </c>
      <c r="LO8" s="292" t="s">
        <v>883</v>
      </c>
      <c r="LP8" s="293" t="s">
        <v>884</v>
      </c>
      <c r="LQ8" s="293" t="s">
        <v>885</v>
      </c>
      <c r="LR8" s="292" t="s">
        <v>886</v>
      </c>
      <c r="LS8" s="292" t="s">
        <v>887</v>
      </c>
      <c r="LT8" s="292" t="s">
        <v>881</v>
      </c>
      <c r="LU8" s="293" t="s">
        <v>882</v>
      </c>
      <c r="LV8" s="292" t="s">
        <v>883</v>
      </c>
      <c r="LW8" s="293" t="s">
        <v>884</v>
      </c>
      <c r="LX8" s="293" t="s">
        <v>885</v>
      </c>
      <c r="LY8" s="292" t="s">
        <v>886</v>
      </c>
      <c r="LZ8" s="292" t="s">
        <v>887</v>
      </c>
      <c r="MA8" s="292" t="s">
        <v>881</v>
      </c>
      <c r="MB8" s="292" t="s">
        <v>882</v>
      </c>
      <c r="MC8" s="292" t="s">
        <v>883</v>
      </c>
      <c r="MD8" s="293" t="s">
        <v>884</v>
      </c>
      <c r="ME8" s="293" t="s">
        <v>885</v>
      </c>
      <c r="MF8" s="292" t="s">
        <v>886</v>
      </c>
      <c r="MG8" s="292" t="s">
        <v>887</v>
      </c>
      <c r="MH8" s="292" t="s">
        <v>881</v>
      </c>
      <c r="MI8" s="292" t="s">
        <v>882</v>
      </c>
      <c r="MJ8" s="292" t="s">
        <v>883</v>
      </c>
      <c r="MK8" s="293" t="s">
        <v>884</v>
      </c>
      <c r="ML8" s="293" t="s">
        <v>885</v>
      </c>
      <c r="MM8" s="292" t="s">
        <v>886</v>
      </c>
      <c r="MN8" s="292" t="s">
        <v>887</v>
      </c>
      <c r="MO8" s="292" t="s">
        <v>881</v>
      </c>
      <c r="MP8" s="292" t="s">
        <v>882</v>
      </c>
      <c r="MQ8" s="292" t="s">
        <v>883</v>
      </c>
      <c r="MR8" s="293" t="s">
        <v>884</v>
      </c>
      <c r="MS8" s="293" t="s">
        <v>885</v>
      </c>
      <c r="MT8" s="292" t="s">
        <v>886</v>
      </c>
      <c r="MU8" s="292" t="s">
        <v>887</v>
      </c>
      <c r="MV8" s="292" t="s">
        <v>881</v>
      </c>
      <c r="MW8" s="292" t="s">
        <v>882</v>
      </c>
      <c r="MX8" s="292" t="s">
        <v>883</v>
      </c>
      <c r="MY8" s="293" t="s">
        <v>884</v>
      </c>
      <c r="MZ8" s="293" t="s">
        <v>885</v>
      </c>
      <c r="NA8" s="292" t="s">
        <v>886</v>
      </c>
      <c r="NB8" s="292" t="s">
        <v>887</v>
      </c>
      <c r="NC8" s="293" t="s">
        <v>881</v>
      </c>
      <c r="ND8" s="293" t="s">
        <v>882</v>
      </c>
      <c r="NE8" s="292" t="s">
        <v>883</v>
      </c>
      <c r="NF8" s="293" t="s">
        <v>884</v>
      </c>
      <c r="NG8" s="293" t="s">
        <v>885</v>
      </c>
      <c r="NH8" s="292" t="s">
        <v>886</v>
      </c>
      <c r="NI8" s="292" t="s">
        <v>887</v>
      </c>
      <c r="NJ8" s="293" t="s">
        <v>881</v>
      </c>
    </row>
    <row r="9" spans="3:381" ht="36" thickBot="1" x14ac:dyDescent="0.3">
      <c r="C9" s="294" t="s">
        <v>557</v>
      </c>
      <c r="D9" s="295" t="s">
        <v>558</v>
      </c>
      <c r="E9" s="295" t="s">
        <v>559</v>
      </c>
      <c r="F9" s="296" t="s">
        <v>560</v>
      </c>
      <c r="G9" s="297" t="s">
        <v>561</v>
      </c>
      <c r="H9" s="297" t="s">
        <v>562</v>
      </c>
      <c r="I9" s="298" t="s">
        <v>563</v>
      </c>
      <c r="J9" s="299">
        <v>45658</v>
      </c>
      <c r="K9" s="299">
        <v>45659</v>
      </c>
      <c r="L9" s="299">
        <v>45660</v>
      </c>
      <c r="M9" s="299">
        <v>45661</v>
      </c>
      <c r="N9" s="299">
        <v>45662</v>
      </c>
      <c r="O9" s="299">
        <v>45663</v>
      </c>
      <c r="P9" s="299">
        <v>45664</v>
      </c>
      <c r="Q9" s="299">
        <v>45665</v>
      </c>
      <c r="R9" s="299">
        <v>45666</v>
      </c>
      <c r="S9" s="299">
        <v>45667</v>
      </c>
      <c r="T9" s="299">
        <v>45668</v>
      </c>
      <c r="U9" s="299">
        <v>45669</v>
      </c>
      <c r="V9" s="299">
        <v>45670</v>
      </c>
      <c r="W9" s="299">
        <v>45671</v>
      </c>
      <c r="X9" s="299">
        <v>45672</v>
      </c>
      <c r="Y9" s="299">
        <v>45673</v>
      </c>
      <c r="Z9" s="299">
        <v>45674</v>
      </c>
      <c r="AA9" s="299">
        <v>45675</v>
      </c>
      <c r="AB9" s="299">
        <v>45676</v>
      </c>
      <c r="AC9" s="299">
        <v>45677</v>
      </c>
      <c r="AD9" s="299">
        <v>45678</v>
      </c>
      <c r="AE9" s="299">
        <v>45679</v>
      </c>
      <c r="AF9" s="299">
        <v>45680</v>
      </c>
      <c r="AG9" s="299">
        <v>45681</v>
      </c>
      <c r="AH9" s="299">
        <v>45682</v>
      </c>
      <c r="AI9" s="299">
        <v>45683</v>
      </c>
      <c r="AJ9" s="299">
        <v>45684</v>
      </c>
      <c r="AK9" s="299">
        <v>45685</v>
      </c>
      <c r="AL9" s="299">
        <v>45686</v>
      </c>
      <c r="AM9" s="299">
        <v>45687</v>
      </c>
      <c r="AN9" s="299">
        <v>45688</v>
      </c>
      <c r="AO9" s="299">
        <v>45689</v>
      </c>
      <c r="AP9" s="299">
        <v>45690</v>
      </c>
      <c r="AQ9" s="299">
        <v>45691</v>
      </c>
      <c r="AR9" s="299">
        <v>45692</v>
      </c>
      <c r="AS9" s="299">
        <v>45693</v>
      </c>
      <c r="AT9" s="299">
        <v>45694</v>
      </c>
      <c r="AU9" s="299">
        <v>45695</v>
      </c>
      <c r="AV9" s="299">
        <v>45696</v>
      </c>
      <c r="AW9" s="299">
        <v>45697</v>
      </c>
      <c r="AX9" s="299">
        <v>45698</v>
      </c>
      <c r="AY9" s="299">
        <v>45699</v>
      </c>
      <c r="AZ9" s="299">
        <v>45700</v>
      </c>
      <c r="BA9" s="299">
        <v>45701</v>
      </c>
      <c r="BB9" s="299">
        <v>45702</v>
      </c>
      <c r="BC9" s="299">
        <v>45703</v>
      </c>
      <c r="BD9" s="299">
        <v>45704</v>
      </c>
      <c r="BE9" s="299">
        <v>45705</v>
      </c>
      <c r="BF9" s="299">
        <v>45706</v>
      </c>
      <c r="BG9" s="299">
        <v>45707</v>
      </c>
      <c r="BH9" s="299">
        <v>45708</v>
      </c>
      <c r="BI9" s="299">
        <v>45709</v>
      </c>
      <c r="BJ9" s="299">
        <v>45710</v>
      </c>
      <c r="BK9" s="299">
        <v>45711</v>
      </c>
      <c r="BL9" s="299">
        <v>45712</v>
      </c>
      <c r="BM9" s="299">
        <v>45713</v>
      </c>
      <c r="BN9" s="299">
        <v>45714</v>
      </c>
      <c r="BO9" s="299">
        <v>45715</v>
      </c>
      <c r="BP9" s="299">
        <v>45716</v>
      </c>
      <c r="BQ9" s="299">
        <v>45717</v>
      </c>
      <c r="BR9" s="299">
        <v>45718</v>
      </c>
      <c r="BS9" s="299">
        <v>45719</v>
      </c>
      <c r="BT9" s="299">
        <v>45720</v>
      </c>
      <c r="BU9" s="299">
        <v>45721</v>
      </c>
      <c r="BV9" s="299">
        <v>45722</v>
      </c>
      <c r="BW9" s="299">
        <v>45723</v>
      </c>
      <c r="BX9" s="299">
        <v>45724</v>
      </c>
      <c r="BY9" s="299">
        <v>45725</v>
      </c>
      <c r="BZ9" s="299">
        <v>45726</v>
      </c>
      <c r="CA9" s="299">
        <v>45727</v>
      </c>
      <c r="CB9" s="299">
        <v>45728</v>
      </c>
      <c r="CC9" s="299">
        <v>45729</v>
      </c>
      <c r="CD9" s="299">
        <v>45730</v>
      </c>
      <c r="CE9" s="299">
        <v>45731</v>
      </c>
      <c r="CF9" s="299">
        <v>45732</v>
      </c>
      <c r="CG9" s="299">
        <v>45733</v>
      </c>
      <c r="CH9" s="299">
        <v>45734</v>
      </c>
      <c r="CI9" s="299">
        <v>45735</v>
      </c>
      <c r="CJ9" s="299">
        <v>45736</v>
      </c>
      <c r="CK9" s="299">
        <v>45737</v>
      </c>
      <c r="CL9" s="299">
        <v>45738</v>
      </c>
      <c r="CM9" s="299">
        <v>45739</v>
      </c>
      <c r="CN9" s="299">
        <v>45740</v>
      </c>
      <c r="CO9" s="299">
        <v>45741</v>
      </c>
      <c r="CP9" s="299">
        <v>45742</v>
      </c>
      <c r="CQ9" s="299">
        <v>45743</v>
      </c>
      <c r="CR9" s="299">
        <v>45744</v>
      </c>
      <c r="CS9" s="299">
        <v>45745</v>
      </c>
      <c r="CT9" s="299">
        <v>45746</v>
      </c>
      <c r="CU9" s="299">
        <v>45747</v>
      </c>
      <c r="CV9" s="299">
        <v>45748</v>
      </c>
      <c r="CW9" s="299">
        <v>45749</v>
      </c>
      <c r="CX9" s="299">
        <v>45750</v>
      </c>
      <c r="CY9" s="299">
        <v>45751</v>
      </c>
      <c r="CZ9" s="299">
        <v>45752</v>
      </c>
      <c r="DA9" s="299">
        <v>45753</v>
      </c>
      <c r="DB9" s="299">
        <v>45754</v>
      </c>
      <c r="DC9" s="299">
        <v>45755</v>
      </c>
      <c r="DD9" s="299">
        <v>45756</v>
      </c>
      <c r="DE9" s="299">
        <v>45757</v>
      </c>
      <c r="DF9" s="299">
        <v>45758</v>
      </c>
      <c r="DG9" s="299">
        <v>45759</v>
      </c>
      <c r="DH9" s="299">
        <v>45760</v>
      </c>
      <c r="DI9" s="299">
        <v>45761</v>
      </c>
      <c r="DJ9" s="299">
        <v>45762</v>
      </c>
      <c r="DK9" s="299">
        <v>45763</v>
      </c>
      <c r="DL9" s="299">
        <v>45764</v>
      </c>
      <c r="DM9" s="299">
        <v>45765</v>
      </c>
      <c r="DN9" s="299">
        <v>45766</v>
      </c>
      <c r="DO9" s="299">
        <v>45767</v>
      </c>
      <c r="DP9" s="299">
        <v>45768</v>
      </c>
      <c r="DQ9" s="299">
        <v>45769</v>
      </c>
      <c r="DR9" s="299">
        <v>45770</v>
      </c>
      <c r="DS9" s="299">
        <v>45771</v>
      </c>
      <c r="DT9" s="299">
        <v>45772</v>
      </c>
      <c r="DU9" s="299">
        <v>45773</v>
      </c>
      <c r="DV9" s="299">
        <v>45774</v>
      </c>
      <c r="DW9" s="299">
        <v>45775</v>
      </c>
      <c r="DX9" s="299">
        <v>45776</v>
      </c>
      <c r="DY9" s="299">
        <v>45777</v>
      </c>
      <c r="DZ9" s="299">
        <v>45778</v>
      </c>
      <c r="EA9" s="299">
        <v>45779</v>
      </c>
      <c r="EB9" s="299">
        <v>45780</v>
      </c>
      <c r="EC9" s="299">
        <v>45781</v>
      </c>
      <c r="ED9" s="299">
        <v>45782</v>
      </c>
      <c r="EE9" s="299">
        <v>45783</v>
      </c>
      <c r="EF9" s="299">
        <v>45784</v>
      </c>
      <c r="EG9" s="299">
        <v>45785</v>
      </c>
      <c r="EH9" s="299">
        <v>45786</v>
      </c>
      <c r="EI9" s="299">
        <v>45787</v>
      </c>
      <c r="EJ9" s="299">
        <v>45788</v>
      </c>
      <c r="EK9" s="299">
        <v>45789</v>
      </c>
      <c r="EL9" s="299">
        <v>45790</v>
      </c>
      <c r="EM9" s="299">
        <v>45791</v>
      </c>
      <c r="EN9" s="299">
        <v>45792</v>
      </c>
      <c r="EO9" s="299">
        <v>45793</v>
      </c>
      <c r="EP9" s="299">
        <v>45794</v>
      </c>
      <c r="EQ9" s="299">
        <v>45795</v>
      </c>
      <c r="ER9" s="299">
        <v>45796</v>
      </c>
      <c r="ES9" s="299">
        <v>45797</v>
      </c>
      <c r="ET9" s="299">
        <v>45798</v>
      </c>
      <c r="EU9" s="299">
        <v>45799</v>
      </c>
      <c r="EV9" s="299">
        <v>45800</v>
      </c>
      <c r="EW9" s="299">
        <v>45801</v>
      </c>
      <c r="EX9" s="299">
        <v>45802</v>
      </c>
      <c r="EY9" s="299">
        <v>45803</v>
      </c>
      <c r="EZ9" s="299">
        <v>45804</v>
      </c>
      <c r="FA9" s="299">
        <v>45805</v>
      </c>
      <c r="FB9" s="299">
        <v>45806</v>
      </c>
      <c r="FC9" s="299">
        <v>45807</v>
      </c>
      <c r="FD9" s="299">
        <v>45808</v>
      </c>
      <c r="FE9" s="299">
        <v>45809</v>
      </c>
      <c r="FF9" s="299">
        <v>45810</v>
      </c>
      <c r="FG9" s="299">
        <v>45811</v>
      </c>
      <c r="FH9" s="299">
        <v>45812</v>
      </c>
      <c r="FI9" s="299">
        <v>45813</v>
      </c>
      <c r="FJ9" s="299">
        <v>45814</v>
      </c>
      <c r="FK9" s="299">
        <v>45815</v>
      </c>
      <c r="FL9" s="299">
        <v>45816</v>
      </c>
      <c r="FM9" s="299">
        <v>45817</v>
      </c>
      <c r="FN9" s="299">
        <v>45818</v>
      </c>
      <c r="FO9" s="299">
        <v>45819</v>
      </c>
      <c r="FP9" s="299">
        <v>45820</v>
      </c>
      <c r="FQ9" s="299">
        <v>45821</v>
      </c>
      <c r="FR9" s="299">
        <v>45822</v>
      </c>
      <c r="FS9" s="299">
        <v>45823</v>
      </c>
      <c r="FT9" s="299">
        <v>45824</v>
      </c>
      <c r="FU9" s="299">
        <v>45825</v>
      </c>
      <c r="FV9" s="299">
        <v>45826</v>
      </c>
      <c r="FW9" s="299">
        <v>45827</v>
      </c>
      <c r="FX9" s="299">
        <v>45828</v>
      </c>
      <c r="FY9" s="299">
        <v>45829</v>
      </c>
      <c r="FZ9" s="299">
        <v>45830</v>
      </c>
      <c r="GA9" s="299">
        <v>45831</v>
      </c>
      <c r="GB9" s="299">
        <v>45832</v>
      </c>
      <c r="GC9" s="299">
        <v>45833</v>
      </c>
      <c r="GD9" s="299">
        <v>45834</v>
      </c>
      <c r="GE9" s="299">
        <v>45835</v>
      </c>
      <c r="GF9" s="299">
        <v>45836</v>
      </c>
      <c r="GG9" s="299">
        <v>45837</v>
      </c>
      <c r="GH9" s="299">
        <v>45838</v>
      </c>
      <c r="GI9" s="299">
        <v>45839</v>
      </c>
      <c r="GJ9" s="299">
        <v>45840</v>
      </c>
      <c r="GK9" s="299">
        <v>45841</v>
      </c>
      <c r="GL9" s="299">
        <v>45842</v>
      </c>
      <c r="GM9" s="299">
        <v>45843</v>
      </c>
      <c r="GN9" s="299">
        <v>45844</v>
      </c>
      <c r="GO9" s="299">
        <v>45845</v>
      </c>
      <c r="GP9" s="299">
        <v>45846</v>
      </c>
      <c r="GQ9" s="299">
        <v>45847</v>
      </c>
      <c r="GR9" s="299">
        <v>45848</v>
      </c>
      <c r="GS9" s="299">
        <v>45849</v>
      </c>
      <c r="GT9" s="299">
        <v>45850</v>
      </c>
      <c r="GU9" s="299">
        <v>45851</v>
      </c>
      <c r="GV9" s="299">
        <v>45852</v>
      </c>
      <c r="GW9" s="299">
        <v>45853</v>
      </c>
      <c r="GX9" s="299">
        <v>45854</v>
      </c>
      <c r="GY9" s="299">
        <v>45855</v>
      </c>
      <c r="GZ9" s="299">
        <v>45856</v>
      </c>
      <c r="HA9" s="299">
        <v>45857</v>
      </c>
      <c r="HB9" s="299">
        <v>45858</v>
      </c>
      <c r="HC9" s="299">
        <v>45859</v>
      </c>
      <c r="HD9" s="299">
        <v>45860</v>
      </c>
      <c r="HE9" s="299">
        <v>45861</v>
      </c>
      <c r="HF9" s="299">
        <v>45862</v>
      </c>
      <c r="HG9" s="299">
        <v>45863</v>
      </c>
      <c r="HH9" s="299">
        <v>45864</v>
      </c>
      <c r="HI9" s="299">
        <v>45865</v>
      </c>
      <c r="HJ9" s="299">
        <v>45866</v>
      </c>
      <c r="HK9" s="299">
        <v>45867</v>
      </c>
      <c r="HL9" s="299">
        <v>45868</v>
      </c>
      <c r="HM9" s="299">
        <v>45869</v>
      </c>
      <c r="HN9" s="299">
        <v>45870</v>
      </c>
      <c r="HO9" s="299">
        <v>45871</v>
      </c>
      <c r="HP9" s="299">
        <v>45872</v>
      </c>
      <c r="HQ9" s="299">
        <v>45873</v>
      </c>
      <c r="HR9" s="299">
        <v>45874</v>
      </c>
      <c r="HS9" s="299">
        <v>45875</v>
      </c>
      <c r="HT9" s="299">
        <v>45876</v>
      </c>
      <c r="HU9" s="299">
        <v>45877</v>
      </c>
      <c r="HV9" s="299">
        <v>45878</v>
      </c>
      <c r="HW9" s="299">
        <v>45879</v>
      </c>
      <c r="HX9" s="299">
        <v>45880</v>
      </c>
      <c r="HY9" s="299">
        <v>45881</v>
      </c>
      <c r="HZ9" s="299">
        <v>45882</v>
      </c>
      <c r="IA9" s="299">
        <v>45883</v>
      </c>
      <c r="IB9" s="299">
        <v>45884</v>
      </c>
      <c r="IC9" s="299">
        <v>45885</v>
      </c>
      <c r="ID9" s="299">
        <v>45886</v>
      </c>
      <c r="IE9" s="299">
        <v>45887</v>
      </c>
      <c r="IF9" s="299">
        <v>45888</v>
      </c>
      <c r="IG9" s="299">
        <v>45889</v>
      </c>
      <c r="IH9" s="299">
        <v>45890</v>
      </c>
      <c r="II9" s="299">
        <v>45891</v>
      </c>
      <c r="IJ9" s="299">
        <v>45892</v>
      </c>
      <c r="IK9" s="299">
        <v>45893</v>
      </c>
      <c r="IL9" s="299">
        <v>45894</v>
      </c>
      <c r="IM9" s="299">
        <v>45895</v>
      </c>
      <c r="IN9" s="299">
        <v>45896</v>
      </c>
      <c r="IO9" s="299">
        <v>45897</v>
      </c>
      <c r="IP9" s="299">
        <v>45898</v>
      </c>
      <c r="IQ9" s="299">
        <v>45899</v>
      </c>
      <c r="IR9" s="299">
        <v>45900</v>
      </c>
      <c r="IS9" s="299">
        <v>45901</v>
      </c>
      <c r="IT9" s="299">
        <v>45902</v>
      </c>
      <c r="IU9" s="299">
        <v>45903</v>
      </c>
      <c r="IV9" s="299">
        <v>45904</v>
      </c>
      <c r="IW9" s="299">
        <v>45905</v>
      </c>
      <c r="IX9" s="299">
        <v>45906</v>
      </c>
      <c r="IY9" s="299">
        <v>45907</v>
      </c>
      <c r="IZ9" s="299">
        <v>45908</v>
      </c>
      <c r="JA9" s="299">
        <v>45909</v>
      </c>
      <c r="JB9" s="299">
        <v>45910</v>
      </c>
      <c r="JC9" s="299">
        <v>45911</v>
      </c>
      <c r="JD9" s="299">
        <v>45912</v>
      </c>
      <c r="JE9" s="299">
        <v>45913</v>
      </c>
      <c r="JF9" s="299">
        <v>45914</v>
      </c>
      <c r="JG9" s="299">
        <v>45915</v>
      </c>
      <c r="JH9" s="299">
        <v>45916</v>
      </c>
      <c r="JI9" s="299">
        <v>45917</v>
      </c>
      <c r="JJ9" s="299">
        <v>45918</v>
      </c>
      <c r="JK9" s="299">
        <v>45919</v>
      </c>
      <c r="JL9" s="299">
        <v>45920</v>
      </c>
      <c r="JM9" s="299">
        <v>45921</v>
      </c>
      <c r="JN9" s="299">
        <v>45922</v>
      </c>
      <c r="JO9" s="299">
        <v>45923</v>
      </c>
      <c r="JP9" s="299">
        <v>45924</v>
      </c>
      <c r="JQ9" s="299">
        <v>45925</v>
      </c>
      <c r="JR9" s="299">
        <v>45926</v>
      </c>
      <c r="JS9" s="299">
        <v>45927</v>
      </c>
      <c r="JT9" s="299">
        <v>45928</v>
      </c>
      <c r="JU9" s="299">
        <v>45929</v>
      </c>
      <c r="JV9" s="299">
        <v>45930</v>
      </c>
      <c r="JW9" s="299">
        <v>45931</v>
      </c>
      <c r="JX9" s="299">
        <v>45932</v>
      </c>
      <c r="JY9" s="299">
        <v>45933</v>
      </c>
      <c r="JZ9" s="299">
        <v>45934</v>
      </c>
      <c r="KA9" s="299">
        <v>45935</v>
      </c>
      <c r="KB9" s="299">
        <v>45936</v>
      </c>
      <c r="KC9" s="299">
        <v>45937</v>
      </c>
      <c r="KD9" s="299">
        <v>45938</v>
      </c>
      <c r="KE9" s="299">
        <v>45939</v>
      </c>
      <c r="KF9" s="299">
        <v>45940</v>
      </c>
      <c r="KG9" s="299">
        <v>45941</v>
      </c>
      <c r="KH9" s="299">
        <v>45942</v>
      </c>
      <c r="KI9" s="299">
        <v>45943</v>
      </c>
      <c r="KJ9" s="299">
        <v>45944</v>
      </c>
      <c r="KK9" s="299">
        <v>45945</v>
      </c>
      <c r="KL9" s="299">
        <v>45946</v>
      </c>
      <c r="KM9" s="299">
        <v>45947</v>
      </c>
      <c r="KN9" s="299">
        <v>45948</v>
      </c>
      <c r="KO9" s="299">
        <v>45949</v>
      </c>
      <c r="KP9" s="299">
        <v>45950</v>
      </c>
      <c r="KQ9" s="299">
        <v>45951</v>
      </c>
      <c r="KR9" s="299">
        <v>45952</v>
      </c>
      <c r="KS9" s="299">
        <v>45953</v>
      </c>
      <c r="KT9" s="299">
        <v>45954</v>
      </c>
      <c r="KU9" s="299">
        <v>45955</v>
      </c>
      <c r="KV9" s="299">
        <v>45956</v>
      </c>
      <c r="KW9" s="299">
        <v>45957</v>
      </c>
      <c r="KX9" s="299">
        <v>45958</v>
      </c>
      <c r="KY9" s="299">
        <v>45959</v>
      </c>
      <c r="KZ9" s="299">
        <v>45960</v>
      </c>
      <c r="LA9" s="299">
        <v>45961</v>
      </c>
      <c r="LB9" s="299">
        <v>45962</v>
      </c>
      <c r="LC9" s="299">
        <v>45963</v>
      </c>
      <c r="LD9" s="299">
        <v>45964</v>
      </c>
      <c r="LE9" s="299">
        <v>45965</v>
      </c>
      <c r="LF9" s="299">
        <v>45966</v>
      </c>
      <c r="LG9" s="299">
        <v>45967</v>
      </c>
      <c r="LH9" s="299">
        <v>45968</v>
      </c>
      <c r="LI9" s="299">
        <v>45969</v>
      </c>
      <c r="LJ9" s="299">
        <v>45970</v>
      </c>
      <c r="LK9" s="299">
        <v>45971</v>
      </c>
      <c r="LL9" s="299">
        <v>45972</v>
      </c>
      <c r="LM9" s="299">
        <v>45973</v>
      </c>
      <c r="LN9" s="299">
        <v>45974</v>
      </c>
      <c r="LO9" s="299">
        <v>45975</v>
      </c>
      <c r="LP9" s="299">
        <v>45976</v>
      </c>
      <c r="LQ9" s="299">
        <v>45977</v>
      </c>
      <c r="LR9" s="299">
        <v>45978</v>
      </c>
      <c r="LS9" s="299">
        <v>45979</v>
      </c>
      <c r="LT9" s="299">
        <v>45980</v>
      </c>
      <c r="LU9" s="299">
        <v>45981</v>
      </c>
      <c r="LV9" s="299">
        <v>45982</v>
      </c>
      <c r="LW9" s="299">
        <v>45983</v>
      </c>
      <c r="LX9" s="299">
        <v>45984</v>
      </c>
      <c r="LY9" s="299">
        <v>45985</v>
      </c>
      <c r="LZ9" s="299">
        <v>45986</v>
      </c>
      <c r="MA9" s="299">
        <v>45987</v>
      </c>
      <c r="MB9" s="299">
        <v>45988</v>
      </c>
      <c r="MC9" s="299">
        <v>45989</v>
      </c>
      <c r="MD9" s="299">
        <v>45990</v>
      </c>
      <c r="ME9" s="299">
        <v>45991</v>
      </c>
      <c r="MF9" s="299">
        <v>45992</v>
      </c>
      <c r="MG9" s="299">
        <v>45993</v>
      </c>
      <c r="MH9" s="299">
        <v>45994</v>
      </c>
      <c r="MI9" s="299">
        <v>45995</v>
      </c>
      <c r="MJ9" s="299">
        <v>45996</v>
      </c>
      <c r="MK9" s="299">
        <v>45997</v>
      </c>
      <c r="ML9" s="299">
        <v>45998</v>
      </c>
      <c r="MM9" s="299">
        <v>45999</v>
      </c>
      <c r="MN9" s="299">
        <v>46000</v>
      </c>
      <c r="MO9" s="299">
        <v>46001</v>
      </c>
      <c r="MP9" s="299">
        <v>46002</v>
      </c>
      <c r="MQ9" s="299">
        <v>46003</v>
      </c>
      <c r="MR9" s="299">
        <v>46004</v>
      </c>
      <c r="MS9" s="299">
        <v>46005</v>
      </c>
      <c r="MT9" s="299">
        <v>46006</v>
      </c>
      <c r="MU9" s="299">
        <v>46007</v>
      </c>
      <c r="MV9" s="299">
        <v>46008</v>
      </c>
      <c r="MW9" s="299">
        <v>46009</v>
      </c>
      <c r="MX9" s="299">
        <v>46010</v>
      </c>
      <c r="MY9" s="299">
        <v>46011</v>
      </c>
      <c r="MZ9" s="299">
        <v>46012</v>
      </c>
      <c r="NA9" s="299">
        <v>46013</v>
      </c>
      <c r="NB9" s="299">
        <v>46014</v>
      </c>
      <c r="NC9" s="299">
        <v>46015</v>
      </c>
      <c r="ND9" s="299">
        <v>46016</v>
      </c>
      <c r="NE9" s="299">
        <v>46017</v>
      </c>
      <c r="NF9" s="299">
        <v>46018</v>
      </c>
      <c r="NG9" s="299">
        <v>46019</v>
      </c>
      <c r="NH9" s="299">
        <v>46020</v>
      </c>
      <c r="NI9" s="299">
        <v>46021</v>
      </c>
      <c r="NJ9" s="299">
        <v>46022</v>
      </c>
    </row>
    <row r="10" spans="3:381" ht="20.100000000000001" customHeight="1" x14ac:dyDescent="0.25">
      <c r="C10" s="300"/>
      <c r="D10" s="301"/>
      <c r="E10" s="301"/>
      <c r="F10" s="302"/>
      <c r="G10" s="303"/>
      <c r="H10" s="304"/>
      <c r="I10" s="305"/>
      <c r="J10" s="306"/>
      <c r="K10" s="306"/>
      <c r="L10" s="306"/>
      <c r="M10" s="306"/>
      <c r="N10" s="306"/>
      <c r="O10" s="306"/>
      <c r="P10" s="306"/>
      <c r="Q10" s="306"/>
      <c r="R10" s="306"/>
      <c r="S10" s="306"/>
      <c r="T10" s="306"/>
      <c r="U10" s="306"/>
      <c r="V10" s="306"/>
      <c r="W10" s="306"/>
      <c r="X10" s="306"/>
      <c r="Y10" s="306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6"/>
      <c r="AZ10" s="306"/>
      <c r="BA10" s="306"/>
      <c r="BB10" s="306"/>
      <c r="BC10" s="306"/>
      <c r="BD10" s="306"/>
      <c r="BE10" s="306"/>
      <c r="BF10" s="306"/>
      <c r="BG10" s="306"/>
      <c r="BH10" s="306"/>
      <c r="BI10" s="306"/>
      <c r="BJ10" s="306"/>
      <c r="BK10" s="306"/>
      <c r="BL10" s="306"/>
      <c r="BM10" s="306"/>
      <c r="BN10" s="306"/>
      <c r="BO10" s="306"/>
      <c r="BP10" s="306"/>
      <c r="BQ10" s="306"/>
      <c r="BR10" s="306"/>
      <c r="BS10" s="306"/>
      <c r="BT10" s="306"/>
      <c r="BU10" s="306"/>
      <c r="BV10" s="306"/>
      <c r="BW10" s="306"/>
      <c r="BX10" s="306"/>
      <c r="BY10" s="306"/>
      <c r="BZ10" s="306"/>
      <c r="CA10" s="306"/>
      <c r="CB10" s="306"/>
      <c r="CC10" s="306"/>
      <c r="CD10" s="306"/>
      <c r="CE10" s="306"/>
      <c r="CF10" s="306"/>
      <c r="CG10" s="306"/>
      <c r="CH10" s="306"/>
      <c r="CI10" s="306"/>
      <c r="CJ10" s="306"/>
      <c r="CK10" s="306"/>
      <c r="CL10" s="306"/>
      <c r="CM10" s="306"/>
      <c r="CN10" s="306"/>
      <c r="CO10" s="306"/>
      <c r="CP10" s="306"/>
      <c r="CQ10" s="306"/>
      <c r="CR10" s="306"/>
      <c r="CS10" s="306"/>
      <c r="CT10" s="306"/>
      <c r="CU10" s="306"/>
      <c r="CV10" s="306"/>
      <c r="CW10" s="306"/>
      <c r="CX10" s="306"/>
      <c r="CY10" s="306"/>
      <c r="CZ10" s="306"/>
      <c r="DA10" s="306"/>
      <c r="DB10" s="306"/>
      <c r="DC10" s="306"/>
      <c r="DD10" s="306"/>
      <c r="DE10" s="306"/>
      <c r="DF10" s="306"/>
      <c r="DG10" s="306"/>
      <c r="DH10" s="306"/>
      <c r="DI10" s="306"/>
      <c r="DJ10" s="306"/>
      <c r="DK10" s="306"/>
      <c r="DL10" s="306"/>
      <c r="DM10" s="306"/>
      <c r="DN10" s="306"/>
      <c r="DO10" s="306"/>
      <c r="DP10" s="306"/>
      <c r="DQ10" s="306"/>
      <c r="DR10" s="306"/>
      <c r="DS10" s="306"/>
      <c r="DT10" s="306"/>
      <c r="DU10" s="306"/>
      <c r="DV10" s="306"/>
      <c r="DW10" s="306"/>
      <c r="DX10" s="306"/>
      <c r="DY10" s="306"/>
      <c r="DZ10" s="306"/>
      <c r="EA10" s="306"/>
      <c r="EB10" s="306"/>
      <c r="EC10" s="306"/>
      <c r="ED10" s="306"/>
      <c r="EE10" s="306"/>
      <c r="EF10" s="306"/>
      <c r="EG10" s="306"/>
      <c r="EH10" s="306"/>
      <c r="EI10" s="306"/>
      <c r="EJ10" s="306"/>
      <c r="EK10" s="306"/>
      <c r="EL10" s="306"/>
      <c r="EM10" s="306"/>
      <c r="EN10" s="306"/>
      <c r="EO10" s="306"/>
      <c r="EP10" s="306"/>
      <c r="EQ10" s="306"/>
      <c r="ER10" s="306"/>
      <c r="ES10" s="306"/>
      <c r="ET10" s="306"/>
      <c r="EU10" s="306"/>
      <c r="EV10" s="306"/>
      <c r="EW10" s="306"/>
      <c r="EX10" s="306"/>
      <c r="EY10" s="306"/>
      <c r="EZ10" s="306"/>
      <c r="FA10" s="306"/>
      <c r="FB10" s="306"/>
      <c r="FC10" s="306"/>
      <c r="FD10" s="306"/>
      <c r="FE10" s="306"/>
      <c r="FF10" s="306"/>
      <c r="FG10" s="306"/>
      <c r="FH10" s="306"/>
      <c r="FI10" s="306"/>
      <c r="FJ10" s="306"/>
      <c r="FK10" s="306"/>
      <c r="FL10" s="306"/>
      <c r="FM10" s="306"/>
      <c r="FN10" s="306"/>
      <c r="FO10" s="306"/>
      <c r="FP10" s="306"/>
      <c r="FQ10" s="306"/>
      <c r="FR10" s="306"/>
      <c r="FS10" s="306"/>
      <c r="FT10" s="306"/>
      <c r="FU10" s="306"/>
      <c r="FV10" s="306"/>
      <c r="FW10" s="306"/>
      <c r="FX10" s="306"/>
      <c r="FY10" s="306"/>
      <c r="FZ10" s="306"/>
      <c r="GA10" s="306"/>
      <c r="GB10" s="306"/>
      <c r="GC10" s="306"/>
      <c r="GD10" s="306"/>
      <c r="GE10" s="306"/>
      <c r="GF10" s="306"/>
      <c r="GG10" s="306"/>
      <c r="GH10" s="306"/>
      <c r="GI10" s="306"/>
      <c r="GJ10" s="306"/>
      <c r="GK10" s="306"/>
      <c r="GL10" s="306"/>
      <c r="GM10" s="306"/>
      <c r="GN10" s="306"/>
      <c r="GO10" s="306"/>
      <c r="GP10" s="306"/>
      <c r="GQ10" s="306"/>
      <c r="GR10" s="306"/>
      <c r="GS10" s="306"/>
      <c r="GT10" s="306"/>
      <c r="GU10" s="306"/>
      <c r="GV10" s="306"/>
      <c r="GW10" s="306"/>
      <c r="GX10" s="306"/>
      <c r="GY10" s="306"/>
      <c r="GZ10" s="306"/>
      <c r="HA10" s="306"/>
      <c r="HB10" s="306"/>
      <c r="HC10" s="306"/>
      <c r="HD10" s="306"/>
      <c r="HE10" s="306"/>
      <c r="HF10" s="306"/>
      <c r="HG10" s="306"/>
      <c r="HH10" s="306"/>
      <c r="HI10" s="306"/>
      <c r="HJ10" s="306"/>
      <c r="HK10" s="306"/>
      <c r="HL10" s="306"/>
      <c r="HM10" s="306"/>
      <c r="HN10" s="306"/>
      <c r="HO10" s="306"/>
      <c r="HP10" s="306"/>
      <c r="HQ10" s="306"/>
      <c r="HR10" s="306"/>
      <c r="HS10" s="306"/>
      <c r="HT10" s="306"/>
      <c r="HU10" s="306"/>
      <c r="HV10" s="306"/>
      <c r="HW10" s="306"/>
      <c r="HX10" s="306"/>
      <c r="HY10" s="306"/>
      <c r="HZ10" s="306"/>
      <c r="IA10" s="306"/>
      <c r="IB10" s="306"/>
      <c r="IC10" s="306"/>
      <c r="ID10" s="306"/>
      <c r="IE10" s="306"/>
      <c r="IF10" s="306"/>
      <c r="IG10" s="306"/>
      <c r="IH10" s="306"/>
      <c r="II10" s="306"/>
      <c r="IJ10" s="306"/>
      <c r="IK10" s="306"/>
      <c r="IL10" s="306"/>
      <c r="IM10" s="306"/>
      <c r="IN10" s="306"/>
      <c r="IO10" s="306"/>
      <c r="IP10" s="306"/>
      <c r="IQ10" s="306"/>
      <c r="IR10" s="306"/>
      <c r="IS10" s="306"/>
      <c r="IT10" s="306"/>
      <c r="IU10" s="306"/>
      <c r="IV10" s="306"/>
      <c r="IW10" s="306"/>
      <c r="IX10" s="306"/>
      <c r="IY10" s="306"/>
      <c r="IZ10" s="306"/>
      <c r="JA10" s="306"/>
      <c r="JB10" s="306"/>
      <c r="JC10" s="306"/>
      <c r="JD10" s="306"/>
      <c r="JE10" s="306"/>
      <c r="JF10" s="306"/>
      <c r="JG10" s="306"/>
      <c r="JH10" s="306"/>
      <c r="JI10" s="306"/>
      <c r="JJ10" s="306"/>
      <c r="JK10" s="306"/>
      <c r="JL10" s="306"/>
      <c r="JM10" s="306"/>
      <c r="JN10" s="306"/>
      <c r="JO10" s="306"/>
      <c r="JP10" s="306"/>
      <c r="JQ10" s="306"/>
      <c r="JR10" s="306"/>
      <c r="JS10" s="306"/>
      <c r="JT10" s="306"/>
      <c r="JU10" s="306"/>
      <c r="JV10" s="306"/>
      <c r="JW10" s="306"/>
      <c r="JX10" s="306"/>
      <c r="JY10" s="306"/>
      <c r="JZ10" s="306"/>
      <c r="KA10" s="306"/>
      <c r="KB10" s="306"/>
      <c r="KC10" s="306"/>
      <c r="KD10" s="306"/>
      <c r="KE10" s="306"/>
      <c r="KF10" s="306"/>
      <c r="KG10" s="306"/>
      <c r="KH10" s="306"/>
      <c r="KI10" s="306"/>
      <c r="KJ10" s="306"/>
      <c r="KK10" s="306"/>
      <c r="KL10" s="306"/>
      <c r="KM10" s="306"/>
      <c r="KN10" s="306"/>
      <c r="KO10" s="306"/>
      <c r="KP10" s="306"/>
      <c r="KQ10" s="306"/>
      <c r="KR10" s="306"/>
      <c r="KS10" s="306"/>
      <c r="KT10" s="306"/>
      <c r="KU10" s="306"/>
      <c r="KV10" s="306"/>
      <c r="KW10" s="306"/>
      <c r="KX10" s="306"/>
      <c r="KY10" s="306"/>
      <c r="KZ10" s="306"/>
      <c r="LA10" s="306"/>
      <c r="LB10" s="306"/>
      <c r="LC10" s="306"/>
      <c r="LD10" s="306"/>
      <c r="LE10" s="306"/>
      <c r="LF10" s="306"/>
      <c r="LG10" s="306"/>
      <c r="LH10" s="306"/>
      <c r="LI10" s="306"/>
      <c r="LJ10" s="306"/>
      <c r="LK10" s="306"/>
      <c r="LL10" s="306"/>
      <c r="LM10" s="306"/>
      <c r="LN10" s="306"/>
      <c r="LO10" s="306"/>
      <c r="LP10" s="306"/>
      <c r="LQ10" s="306"/>
      <c r="LR10" s="306"/>
      <c r="LS10" s="306"/>
      <c r="LT10" s="306"/>
      <c r="LU10" s="306"/>
      <c r="LV10" s="306"/>
      <c r="LW10" s="306"/>
      <c r="LX10" s="306"/>
      <c r="LY10" s="306"/>
      <c r="LZ10" s="306"/>
      <c r="MA10" s="306"/>
      <c r="MB10" s="306"/>
      <c r="MC10" s="306"/>
      <c r="MD10" s="306"/>
      <c r="ME10" s="306"/>
      <c r="MF10" s="306"/>
      <c r="MG10" s="306"/>
      <c r="MH10" s="306"/>
      <c r="MI10" s="306"/>
      <c r="MJ10" s="306"/>
      <c r="MK10" s="306"/>
      <c r="ML10" s="306"/>
      <c r="MM10" s="306"/>
      <c r="MN10" s="306"/>
      <c r="MO10" s="306"/>
      <c r="MP10" s="306"/>
      <c r="MQ10" s="306"/>
      <c r="MR10" s="306"/>
      <c r="MS10" s="306"/>
      <c r="MT10" s="306"/>
      <c r="MU10" s="306"/>
      <c r="MV10" s="306"/>
      <c r="MW10" s="306"/>
      <c r="MX10" s="306"/>
      <c r="MY10" s="306"/>
      <c r="MZ10" s="306"/>
      <c r="NA10" s="306"/>
      <c r="NB10" s="306"/>
      <c r="NC10" s="306"/>
      <c r="ND10" s="306"/>
      <c r="NE10" s="306"/>
      <c r="NF10" s="306"/>
      <c r="NG10" s="306"/>
      <c r="NH10" s="306"/>
      <c r="NI10" s="306"/>
      <c r="NJ10" s="306"/>
      <c r="NK10" s="292"/>
      <c r="NL10" s="292"/>
      <c r="NM10" s="292"/>
      <c r="NN10" s="292"/>
      <c r="NO10" s="292"/>
      <c r="NP10" s="292"/>
      <c r="NQ10" s="292"/>
    </row>
    <row r="11" spans="3:381" ht="20.100000000000001" customHeight="1" x14ac:dyDescent="0.25">
      <c r="C11" s="307"/>
      <c r="D11" s="308">
        <v>45292</v>
      </c>
      <c r="E11" s="308">
        <v>45293</v>
      </c>
      <c r="F11" s="309">
        <f t="shared" ref="F11:F40" si="0">(E11-D11)+1</f>
        <v>2</v>
      </c>
      <c r="G11" s="310"/>
      <c r="H11" s="311" t="s">
        <v>564</v>
      </c>
      <c r="I11" s="312"/>
      <c r="J11" s="313"/>
      <c r="K11" s="314"/>
      <c r="L11" s="314"/>
      <c r="M11" s="314"/>
      <c r="N11" s="314"/>
      <c r="O11" s="314"/>
      <c r="P11" s="314"/>
      <c r="Q11" s="314"/>
      <c r="R11" s="314"/>
      <c r="S11" s="314"/>
      <c r="T11" s="314"/>
      <c r="U11" s="314"/>
      <c r="V11" s="314"/>
      <c r="W11" s="314"/>
      <c r="X11" s="314"/>
      <c r="Y11" s="314"/>
      <c r="Z11" s="314"/>
      <c r="AA11" s="314"/>
      <c r="AB11" s="314"/>
      <c r="AC11" s="314"/>
      <c r="AD11" s="314"/>
      <c r="AE11" s="314"/>
      <c r="AF11" s="314"/>
      <c r="AG11" s="314"/>
      <c r="AH11" s="314"/>
      <c r="AI11" s="314"/>
      <c r="AJ11" s="314"/>
      <c r="AK11" s="314"/>
      <c r="AL11" s="314"/>
      <c r="AM11" s="314"/>
      <c r="AN11" s="314"/>
      <c r="AO11" s="314"/>
      <c r="AP11" s="314"/>
      <c r="AQ11" s="314"/>
      <c r="AR11" s="314"/>
      <c r="AS11" s="314"/>
      <c r="AT11" s="314"/>
      <c r="AU11" s="314"/>
      <c r="AV11" s="314"/>
      <c r="AW11" s="314"/>
      <c r="AX11" s="314"/>
      <c r="AY11" s="314"/>
      <c r="AZ11" s="314"/>
      <c r="BA11" s="314"/>
      <c r="BB11" s="314"/>
      <c r="BC11" s="314"/>
      <c r="BD11" s="314"/>
      <c r="BE11" s="314"/>
      <c r="BF11" s="314"/>
      <c r="BG11" s="314"/>
      <c r="BH11" s="314"/>
      <c r="BI11" s="314"/>
      <c r="BJ11" s="314"/>
      <c r="BK11" s="314"/>
      <c r="BL11" s="314"/>
      <c r="BM11" s="314"/>
      <c r="BN11" s="314"/>
      <c r="BO11" s="314"/>
      <c r="BP11" s="314"/>
      <c r="BQ11" s="314"/>
      <c r="BR11" s="314"/>
      <c r="BS11" s="314"/>
      <c r="BT11" s="313"/>
      <c r="BU11" s="314"/>
      <c r="BV11" s="314"/>
      <c r="BW11" s="314"/>
      <c r="BX11" s="314"/>
      <c r="BY11" s="314"/>
      <c r="BZ11" s="314"/>
      <c r="CA11" s="314"/>
      <c r="CB11" s="314"/>
      <c r="CC11" s="314"/>
      <c r="CD11" s="314"/>
      <c r="CE11" s="314"/>
      <c r="CF11" s="315"/>
      <c r="CG11" s="314"/>
      <c r="CH11" s="314"/>
      <c r="CI11" s="314"/>
      <c r="CJ11" s="314"/>
      <c r="CK11" s="314"/>
      <c r="CL11" s="314"/>
      <c r="CM11" s="314"/>
      <c r="CN11" s="314"/>
      <c r="CO11" s="314"/>
      <c r="CP11" s="314"/>
      <c r="CQ11" s="314"/>
      <c r="CR11" s="314"/>
      <c r="CS11" s="313"/>
      <c r="CT11" s="314"/>
      <c r="CU11" s="314"/>
      <c r="CV11" s="314"/>
      <c r="CW11" s="314"/>
      <c r="CX11" s="314"/>
      <c r="CY11" s="314"/>
      <c r="CZ11" s="314"/>
      <c r="DA11" s="314"/>
      <c r="DB11" s="314"/>
      <c r="DC11" s="314"/>
      <c r="DD11" s="314"/>
      <c r="DE11" s="314"/>
      <c r="DF11" s="314"/>
      <c r="DG11" s="314"/>
      <c r="DH11" s="314"/>
      <c r="DI11" s="314"/>
      <c r="DJ11" s="314"/>
      <c r="DK11" s="314"/>
      <c r="DL11" s="314"/>
      <c r="DM11" s="313"/>
      <c r="DN11" s="314"/>
      <c r="DO11" s="314"/>
      <c r="DP11" s="313"/>
      <c r="DQ11" s="314"/>
      <c r="DR11" s="314"/>
      <c r="DS11" s="314"/>
      <c r="DT11" s="314"/>
      <c r="DU11" s="314"/>
      <c r="DV11" s="314"/>
      <c r="DW11" s="314"/>
      <c r="DX11" s="314"/>
      <c r="DY11" s="314"/>
      <c r="DZ11" s="313"/>
      <c r="EA11" s="314"/>
      <c r="EB11" s="314"/>
      <c r="EC11" s="314"/>
      <c r="ED11" s="314"/>
      <c r="EE11" s="314"/>
      <c r="EF11" s="314"/>
      <c r="EG11" s="314"/>
      <c r="EH11" s="314"/>
      <c r="EI11" s="314"/>
      <c r="EJ11" s="314"/>
      <c r="EK11" s="314"/>
      <c r="EL11" s="314"/>
      <c r="EM11" s="314"/>
      <c r="EN11" s="314"/>
      <c r="EO11" s="314"/>
      <c r="EP11" s="314"/>
      <c r="EQ11" s="314"/>
      <c r="ER11" s="314"/>
      <c r="ES11" s="314"/>
      <c r="ET11" s="314"/>
      <c r="EU11" s="314"/>
      <c r="EV11" s="314"/>
      <c r="EW11" s="314"/>
      <c r="EX11" s="314"/>
      <c r="EY11" s="314"/>
      <c r="EZ11" s="314"/>
      <c r="FA11" s="314"/>
      <c r="FB11" s="314"/>
      <c r="FC11" s="314"/>
      <c r="FD11" s="314"/>
      <c r="FE11" s="314"/>
      <c r="FF11" s="314"/>
      <c r="FG11" s="314"/>
      <c r="FH11" s="314"/>
      <c r="FI11" s="314"/>
      <c r="FJ11" s="314"/>
      <c r="FK11" s="314"/>
      <c r="FL11" s="314"/>
      <c r="FM11" s="314"/>
      <c r="FN11" s="314"/>
      <c r="FO11" s="314"/>
      <c r="FP11" s="314"/>
      <c r="FQ11" s="314"/>
      <c r="FR11" s="314"/>
      <c r="FS11" s="314"/>
      <c r="FT11" s="314"/>
      <c r="FU11" s="314"/>
      <c r="FV11" s="314"/>
      <c r="FW11" s="313"/>
      <c r="FX11" s="314"/>
      <c r="FY11" s="314"/>
      <c r="FZ11" s="314"/>
      <c r="GA11" s="314"/>
      <c r="GB11" s="314"/>
      <c r="GC11" s="314"/>
      <c r="GD11" s="314"/>
      <c r="GE11" s="314"/>
      <c r="GF11" s="314"/>
      <c r="GG11" s="314"/>
      <c r="GH11" s="314"/>
      <c r="GI11" s="314"/>
      <c r="GJ11" s="314"/>
      <c r="GK11" s="314"/>
      <c r="GL11" s="314"/>
      <c r="GM11" s="314"/>
      <c r="GN11" s="314"/>
      <c r="GO11" s="314"/>
      <c r="GP11" s="314"/>
      <c r="GQ11" s="313"/>
      <c r="GR11" s="314"/>
      <c r="GS11" s="314"/>
      <c r="GT11" s="314"/>
      <c r="GU11" s="314"/>
      <c r="GV11" s="314"/>
      <c r="GW11" s="314"/>
      <c r="GX11" s="314"/>
      <c r="GY11" s="314"/>
      <c r="GZ11" s="314"/>
      <c r="HA11" s="314"/>
      <c r="HB11" s="314"/>
      <c r="HC11" s="314"/>
      <c r="HD11" s="314"/>
      <c r="HE11" s="314"/>
      <c r="HF11" s="314"/>
      <c r="HG11" s="314"/>
      <c r="HH11" s="314"/>
      <c r="HI11" s="314"/>
      <c r="HJ11" s="314"/>
      <c r="HK11" s="314"/>
      <c r="HL11" s="314"/>
      <c r="HM11" s="314"/>
      <c r="HN11" s="314"/>
      <c r="HO11" s="314"/>
      <c r="HP11" s="314"/>
      <c r="HQ11" s="314"/>
      <c r="HR11" s="314"/>
      <c r="HS11" s="314"/>
      <c r="HT11" s="314"/>
      <c r="HU11" s="314"/>
      <c r="HV11" s="314"/>
      <c r="HW11" s="314"/>
      <c r="HX11" s="314"/>
      <c r="HY11" s="314"/>
      <c r="HZ11" s="314"/>
      <c r="IA11" s="314"/>
      <c r="IB11" s="314"/>
      <c r="IC11" s="314"/>
      <c r="ID11" s="314"/>
      <c r="IE11" s="314"/>
      <c r="IF11" s="314"/>
      <c r="IG11" s="314"/>
      <c r="IH11" s="314"/>
      <c r="II11" s="314"/>
      <c r="IJ11" s="314"/>
      <c r="IK11" s="314"/>
      <c r="IL11" s="314"/>
      <c r="IM11" s="314"/>
      <c r="IN11" s="314"/>
      <c r="IO11" s="314"/>
      <c r="IP11" s="314"/>
      <c r="IQ11" s="314"/>
      <c r="IR11" s="314"/>
      <c r="IS11" s="314"/>
      <c r="IT11" s="314"/>
      <c r="IU11" s="314"/>
      <c r="IV11" s="314"/>
      <c r="IW11" s="314"/>
      <c r="IX11" s="314"/>
      <c r="IY11" s="314"/>
      <c r="IZ11" s="314"/>
      <c r="JA11" s="314"/>
      <c r="JB11" s="314"/>
      <c r="JC11" s="314"/>
      <c r="JD11" s="314"/>
      <c r="JE11" s="314"/>
      <c r="JF11" s="314"/>
      <c r="JG11" s="314"/>
      <c r="JH11" s="314"/>
      <c r="JI11" s="314"/>
      <c r="JJ11" s="314"/>
      <c r="JK11" s="314"/>
      <c r="JL11" s="314"/>
      <c r="JM11" s="314"/>
      <c r="JN11" s="314"/>
      <c r="JO11" s="314"/>
      <c r="JP11" s="314"/>
      <c r="JQ11" s="314"/>
      <c r="JR11" s="314"/>
      <c r="JS11" s="314"/>
      <c r="JT11" s="314"/>
      <c r="JU11" s="314"/>
      <c r="JV11" s="314"/>
      <c r="JW11" s="314"/>
      <c r="JX11" s="314"/>
      <c r="JY11" s="314"/>
      <c r="JZ11" s="314"/>
      <c r="KA11" s="314"/>
      <c r="KB11" s="314"/>
      <c r="KC11" s="314"/>
      <c r="KD11" s="314"/>
      <c r="KE11" s="314"/>
      <c r="KF11" s="314"/>
      <c r="KG11" s="314"/>
      <c r="KH11" s="314"/>
      <c r="KI11" s="314"/>
      <c r="KJ11" s="314"/>
      <c r="KK11" s="314"/>
      <c r="KL11" s="314"/>
      <c r="KM11" s="314"/>
      <c r="KN11" s="314"/>
      <c r="KO11" s="314"/>
      <c r="KP11" s="314"/>
      <c r="KQ11" s="314"/>
      <c r="KR11" s="314"/>
      <c r="KS11" s="314"/>
      <c r="KT11" s="314"/>
      <c r="KU11" s="314"/>
      <c r="KV11" s="314"/>
      <c r="KW11" s="314"/>
      <c r="KX11" s="314"/>
      <c r="KY11" s="314"/>
      <c r="KZ11" s="314"/>
      <c r="LA11" s="314"/>
      <c r="LB11" s="314"/>
      <c r="LC11" s="314"/>
      <c r="LD11" s="314"/>
      <c r="LE11" s="314"/>
      <c r="LF11" s="314"/>
      <c r="LG11" s="314"/>
      <c r="LH11" s="314"/>
      <c r="LI11" s="314"/>
      <c r="LJ11" s="314"/>
      <c r="LK11" s="314"/>
      <c r="LL11" s="314"/>
      <c r="LM11" s="314"/>
      <c r="LN11" s="314"/>
      <c r="LO11" s="314"/>
      <c r="LP11" s="313"/>
      <c r="LQ11" s="314"/>
      <c r="LR11" s="314"/>
      <c r="LS11" s="314"/>
      <c r="LT11" s="314"/>
      <c r="LU11" s="313"/>
      <c r="LV11" s="314"/>
      <c r="LW11" s="314"/>
      <c r="LX11" s="314"/>
      <c r="LY11" s="314"/>
      <c r="LZ11" s="314"/>
      <c r="MA11" s="314"/>
      <c r="MB11" s="314"/>
      <c r="MC11" s="314"/>
      <c r="MD11" s="314"/>
      <c r="ME11" s="314"/>
      <c r="MF11" s="314"/>
      <c r="MG11" s="314"/>
      <c r="MH11" s="314"/>
      <c r="MI11" s="314"/>
      <c r="MJ11" s="314"/>
      <c r="MK11" s="314"/>
      <c r="ML11" s="314"/>
      <c r="MM11" s="314"/>
      <c r="MN11" s="314"/>
      <c r="MO11" s="314"/>
      <c r="MP11" s="314"/>
      <c r="MQ11" s="314"/>
      <c r="MR11" s="314"/>
      <c r="MS11" s="314"/>
      <c r="MT11" s="314"/>
      <c r="MU11" s="314"/>
      <c r="MV11" s="314"/>
      <c r="MW11" s="314"/>
      <c r="MX11" s="314"/>
      <c r="MY11" s="314"/>
      <c r="MZ11" s="314"/>
      <c r="NA11" s="314"/>
      <c r="NB11" s="314"/>
      <c r="NC11" s="313"/>
      <c r="ND11" s="313"/>
      <c r="NE11" s="314"/>
      <c r="NF11" s="314"/>
      <c r="NG11" s="314"/>
      <c r="NH11" s="314"/>
      <c r="NI11" s="314"/>
      <c r="NJ11" s="313"/>
    </row>
    <row r="12" spans="3:381" ht="20.100000000000001" customHeight="1" x14ac:dyDescent="0.25">
      <c r="C12" s="307"/>
      <c r="D12" s="308"/>
      <c r="E12" s="308"/>
      <c r="F12" s="309">
        <f t="shared" si="0"/>
        <v>1</v>
      </c>
      <c r="G12" s="310"/>
      <c r="H12" s="311" t="s">
        <v>564</v>
      </c>
      <c r="I12" s="312"/>
      <c r="J12" s="313"/>
      <c r="K12" s="314"/>
      <c r="L12" s="314"/>
      <c r="M12" s="314"/>
      <c r="N12" s="314"/>
      <c r="O12" s="314"/>
      <c r="P12" s="314"/>
      <c r="Q12" s="314"/>
      <c r="R12" s="314"/>
      <c r="S12" s="314"/>
      <c r="T12" s="314"/>
      <c r="U12" s="314"/>
      <c r="V12" s="314"/>
      <c r="W12" s="314"/>
      <c r="X12" s="314"/>
      <c r="Y12" s="314"/>
      <c r="Z12" s="314"/>
      <c r="AA12" s="314"/>
      <c r="AB12" s="314"/>
      <c r="AC12" s="314"/>
      <c r="AD12" s="314"/>
      <c r="AE12" s="314"/>
      <c r="AF12" s="314"/>
      <c r="AG12" s="314"/>
      <c r="AH12" s="314"/>
      <c r="AI12" s="314"/>
      <c r="AJ12" s="314"/>
      <c r="AK12" s="314"/>
      <c r="AL12" s="314"/>
      <c r="AM12" s="314"/>
      <c r="AN12" s="314"/>
      <c r="AO12" s="314"/>
      <c r="AP12" s="314"/>
      <c r="AQ12" s="314"/>
      <c r="AR12" s="314"/>
      <c r="AS12" s="314"/>
      <c r="AT12" s="314"/>
      <c r="AU12" s="314"/>
      <c r="AV12" s="314"/>
      <c r="AW12" s="314"/>
      <c r="AX12" s="314"/>
      <c r="AY12" s="314"/>
      <c r="AZ12" s="314"/>
      <c r="BA12" s="314"/>
      <c r="BB12" s="314"/>
      <c r="BC12" s="314"/>
      <c r="BD12" s="314"/>
      <c r="BE12" s="314"/>
      <c r="BF12" s="314"/>
      <c r="BG12" s="314"/>
      <c r="BH12" s="314"/>
      <c r="BI12" s="314"/>
      <c r="BJ12" s="314"/>
      <c r="BK12" s="314"/>
      <c r="BL12" s="314"/>
      <c r="BM12" s="314"/>
      <c r="BN12" s="314"/>
      <c r="BO12" s="314"/>
      <c r="BP12" s="314"/>
      <c r="BQ12" s="314"/>
      <c r="BR12" s="314"/>
      <c r="BS12" s="314"/>
      <c r="BT12" s="313"/>
      <c r="BU12" s="314"/>
      <c r="BV12" s="314"/>
      <c r="BW12" s="314"/>
      <c r="BX12" s="314"/>
      <c r="BY12" s="314"/>
      <c r="BZ12" s="314"/>
      <c r="CA12" s="314"/>
      <c r="CB12" s="314"/>
      <c r="CC12" s="314"/>
      <c r="CD12" s="314"/>
      <c r="CE12" s="314"/>
      <c r="CF12" s="315"/>
      <c r="CG12" s="314"/>
      <c r="CH12" s="314"/>
      <c r="CI12" s="314"/>
      <c r="CJ12" s="314"/>
      <c r="CK12" s="314"/>
      <c r="CL12" s="314"/>
      <c r="CM12" s="314"/>
      <c r="CN12" s="314"/>
      <c r="CO12" s="314"/>
      <c r="CP12" s="314"/>
      <c r="CQ12" s="314"/>
      <c r="CR12" s="314"/>
      <c r="CS12" s="313"/>
      <c r="CT12" s="314"/>
      <c r="CU12" s="314"/>
      <c r="CV12" s="314"/>
      <c r="CW12" s="314"/>
      <c r="CX12" s="314"/>
      <c r="CY12" s="314"/>
      <c r="CZ12" s="314"/>
      <c r="DA12" s="314"/>
      <c r="DB12" s="314"/>
      <c r="DC12" s="314"/>
      <c r="DD12" s="314"/>
      <c r="DE12" s="314"/>
      <c r="DF12" s="314"/>
      <c r="DG12" s="314"/>
      <c r="DH12" s="314"/>
      <c r="DI12" s="314"/>
      <c r="DJ12" s="314"/>
      <c r="DK12" s="314"/>
      <c r="DL12" s="314"/>
      <c r="DM12" s="313"/>
      <c r="DN12" s="314"/>
      <c r="DO12" s="314"/>
      <c r="DP12" s="313"/>
      <c r="DQ12" s="314"/>
      <c r="DR12" s="314"/>
      <c r="DS12" s="314"/>
      <c r="DT12" s="314"/>
      <c r="DU12" s="314"/>
      <c r="DV12" s="314"/>
      <c r="DW12" s="314"/>
      <c r="DX12" s="314"/>
      <c r="DY12" s="314"/>
      <c r="DZ12" s="313"/>
      <c r="EA12" s="314"/>
      <c r="EB12" s="314"/>
      <c r="EC12" s="314"/>
      <c r="ED12" s="314"/>
      <c r="EE12" s="314"/>
      <c r="EF12" s="314"/>
      <c r="EG12" s="314"/>
      <c r="EH12" s="314"/>
      <c r="EI12" s="314"/>
      <c r="EJ12" s="314"/>
      <c r="EK12" s="314"/>
      <c r="EL12" s="314"/>
      <c r="EM12" s="314"/>
      <c r="EN12" s="314"/>
      <c r="EO12" s="314"/>
      <c r="EP12" s="314"/>
      <c r="EQ12" s="314"/>
      <c r="ER12" s="314"/>
      <c r="ES12" s="314"/>
      <c r="ET12" s="314"/>
      <c r="EU12" s="314"/>
      <c r="EV12" s="314"/>
      <c r="EW12" s="314"/>
      <c r="EX12" s="314"/>
      <c r="EY12" s="314"/>
      <c r="EZ12" s="314"/>
      <c r="FA12" s="314"/>
      <c r="FB12" s="314"/>
      <c r="FC12" s="314"/>
      <c r="FD12" s="314"/>
      <c r="FE12" s="314"/>
      <c r="FF12" s="314"/>
      <c r="FG12" s="314"/>
      <c r="FH12" s="314"/>
      <c r="FI12" s="314"/>
      <c r="FJ12" s="314"/>
      <c r="FK12" s="314"/>
      <c r="FL12" s="314"/>
      <c r="FM12" s="314"/>
      <c r="FN12" s="314"/>
      <c r="FO12" s="314"/>
      <c r="FP12" s="314"/>
      <c r="FQ12" s="314"/>
      <c r="FR12" s="314"/>
      <c r="FS12" s="314"/>
      <c r="FT12" s="314"/>
      <c r="FU12" s="314"/>
      <c r="FV12" s="314"/>
      <c r="FW12" s="313"/>
      <c r="FX12" s="314"/>
      <c r="FY12" s="314"/>
      <c r="FZ12" s="314"/>
      <c r="GA12" s="314"/>
      <c r="GB12" s="314"/>
      <c r="GC12" s="314"/>
      <c r="GD12" s="314"/>
      <c r="GE12" s="314"/>
      <c r="GF12" s="314"/>
      <c r="GG12" s="314"/>
      <c r="GH12" s="314"/>
      <c r="GI12" s="314"/>
      <c r="GJ12" s="314"/>
      <c r="GK12" s="314"/>
      <c r="GL12" s="314"/>
      <c r="GM12" s="314"/>
      <c r="GN12" s="314"/>
      <c r="GO12" s="314"/>
      <c r="GP12" s="314"/>
      <c r="GQ12" s="313"/>
      <c r="GR12" s="314"/>
      <c r="GS12" s="314"/>
      <c r="GT12" s="314"/>
      <c r="GU12" s="314"/>
      <c r="GV12" s="314"/>
      <c r="GW12" s="314"/>
      <c r="GX12" s="314"/>
      <c r="GY12" s="314"/>
      <c r="GZ12" s="314"/>
      <c r="HA12" s="314"/>
      <c r="HB12" s="314"/>
      <c r="HC12" s="314"/>
      <c r="HD12" s="314"/>
      <c r="HE12" s="314"/>
      <c r="HF12" s="314"/>
      <c r="HG12" s="314"/>
      <c r="HH12" s="314"/>
      <c r="HI12" s="314"/>
      <c r="HJ12" s="314"/>
      <c r="HK12" s="314"/>
      <c r="HL12" s="314"/>
      <c r="HM12" s="314"/>
      <c r="HN12" s="314"/>
      <c r="HO12" s="314"/>
      <c r="HP12" s="314"/>
      <c r="HQ12" s="314"/>
      <c r="HR12" s="314"/>
      <c r="HS12" s="314"/>
      <c r="HT12" s="314"/>
      <c r="HU12" s="314"/>
      <c r="HV12" s="314"/>
      <c r="HW12" s="314"/>
      <c r="HX12" s="314"/>
      <c r="HY12" s="314"/>
      <c r="HZ12" s="314"/>
      <c r="IA12" s="314"/>
      <c r="IB12" s="314"/>
      <c r="IC12" s="314"/>
      <c r="ID12" s="314"/>
      <c r="IE12" s="314"/>
      <c r="IF12" s="314"/>
      <c r="IG12" s="314"/>
      <c r="IH12" s="314"/>
      <c r="II12" s="314"/>
      <c r="IJ12" s="314"/>
      <c r="IK12" s="314"/>
      <c r="IL12" s="314"/>
      <c r="IM12" s="314"/>
      <c r="IN12" s="314"/>
      <c r="IO12" s="314"/>
      <c r="IP12" s="314"/>
      <c r="IQ12" s="314"/>
      <c r="IR12" s="314"/>
      <c r="IS12" s="314"/>
      <c r="IT12" s="314"/>
      <c r="IU12" s="314"/>
      <c r="IV12" s="314"/>
      <c r="IW12" s="314"/>
      <c r="IX12" s="314"/>
      <c r="IY12" s="314"/>
      <c r="IZ12" s="314"/>
      <c r="JA12" s="314"/>
      <c r="JB12" s="314"/>
      <c r="JC12" s="314"/>
      <c r="JD12" s="314"/>
      <c r="JE12" s="314"/>
      <c r="JF12" s="314"/>
      <c r="JG12" s="314"/>
      <c r="JH12" s="314"/>
      <c r="JI12" s="314"/>
      <c r="JJ12" s="314"/>
      <c r="JK12" s="314"/>
      <c r="JL12" s="314"/>
      <c r="JM12" s="314"/>
      <c r="JN12" s="314"/>
      <c r="JO12" s="314"/>
      <c r="JP12" s="314"/>
      <c r="JQ12" s="314"/>
      <c r="JR12" s="314"/>
      <c r="JS12" s="314"/>
      <c r="JT12" s="314"/>
      <c r="JU12" s="314"/>
      <c r="JV12" s="314"/>
      <c r="JW12" s="314"/>
      <c r="JX12" s="314"/>
      <c r="JY12" s="314"/>
      <c r="JZ12" s="314"/>
      <c r="KA12" s="314"/>
      <c r="KB12" s="314"/>
      <c r="KC12" s="314"/>
      <c r="KD12" s="314"/>
      <c r="KE12" s="314"/>
      <c r="KF12" s="314"/>
      <c r="KG12" s="314"/>
      <c r="KH12" s="314"/>
      <c r="KI12" s="314"/>
      <c r="KJ12" s="314"/>
      <c r="KK12" s="314"/>
      <c r="KL12" s="314"/>
      <c r="KM12" s="314"/>
      <c r="KN12" s="314"/>
      <c r="KO12" s="314"/>
      <c r="KP12" s="314"/>
      <c r="KQ12" s="314"/>
      <c r="KR12" s="314"/>
      <c r="KS12" s="314"/>
      <c r="KT12" s="314"/>
      <c r="KU12" s="314"/>
      <c r="KV12" s="314"/>
      <c r="KW12" s="314"/>
      <c r="KX12" s="314"/>
      <c r="KY12" s="314"/>
      <c r="KZ12" s="314"/>
      <c r="LA12" s="314"/>
      <c r="LB12" s="314"/>
      <c r="LC12" s="314"/>
      <c r="LD12" s="314"/>
      <c r="LE12" s="314"/>
      <c r="LF12" s="314"/>
      <c r="LG12" s="314"/>
      <c r="LH12" s="314"/>
      <c r="LI12" s="314"/>
      <c r="LJ12" s="314"/>
      <c r="LK12" s="314"/>
      <c r="LL12" s="314"/>
      <c r="LM12" s="314"/>
      <c r="LN12" s="314"/>
      <c r="LO12" s="314"/>
      <c r="LP12" s="313"/>
      <c r="LQ12" s="314"/>
      <c r="LR12" s="314"/>
      <c r="LS12" s="314"/>
      <c r="LT12" s="314"/>
      <c r="LU12" s="313"/>
      <c r="LV12" s="314"/>
      <c r="LW12" s="314"/>
      <c r="LX12" s="314"/>
      <c r="LY12" s="314"/>
      <c r="LZ12" s="314"/>
      <c r="MA12" s="314"/>
      <c r="MB12" s="314"/>
      <c r="MC12" s="314"/>
      <c r="MD12" s="314"/>
      <c r="ME12" s="314"/>
      <c r="MF12" s="314"/>
      <c r="MG12" s="314"/>
      <c r="MH12" s="314"/>
      <c r="MI12" s="314"/>
      <c r="MJ12" s="314"/>
      <c r="MK12" s="314"/>
      <c r="ML12" s="314"/>
      <c r="MM12" s="314"/>
      <c r="MN12" s="314"/>
      <c r="MO12" s="314"/>
      <c r="MP12" s="314"/>
      <c r="MQ12" s="314"/>
      <c r="MR12" s="314"/>
      <c r="MS12" s="314"/>
      <c r="MT12" s="314"/>
      <c r="MU12" s="314"/>
      <c r="MV12" s="314"/>
      <c r="MW12" s="314"/>
      <c r="MX12" s="314"/>
      <c r="MY12" s="314"/>
      <c r="MZ12" s="314"/>
      <c r="NA12" s="314"/>
      <c r="NB12" s="314"/>
      <c r="NC12" s="313"/>
      <c r="ND12" s="313"/>
      <c r="NE12" s="314"/>
      <c r="NF12" s="314"/>
      <c r="NG12" s="314"/>
      <c r="NH12" s="314"/>
      <c r="NI12" s="314"/>
      <c r="NJ12" s="313"/>
      <c r="NK12" s="292"/>
      <c r="NL12" s="292"/>
      <c r="NM12" s="292"/>
      <c r="NN12" s="292"/>
      <c r="NO12" s="292"/>
      <c r="NP12" s="292"/>
      <c r="NQ12" s="292"/>
    </row>
    <row r="13" spans="3:381" ht="20.100000000000001" customHeight="1" x14ac:dyDescent="0.25">
      <c r="C13" s="307"/>
      <c r="D13" s="308"/>
      <c r="E13" s="308"/>
      <c r="F13" s="309">
        <f t="shared" si="0"/>
        <v>1</v>
      </c>
      <c r="G13" s="310"/>
      <c r="H13" s="311" t="s">
        <v>564</v>
      </c>
      <c r="I13" s="312"/>
      <c r="J13" s="313"/>
      <c r="K13" s="314"/>
      <c r="L13" s="314"/>
      <c r="M13" s="314"/>
      <c r="N13" s="314"/>
      <c r="O13" s="314"/>
      <c r="P13" s="314"/>
      <c r="Q13" s="314"/>
      <c r="R13" s="314"/>
      <c r="S13" s="314"/>
      <c r="T13" s="314"/>
      <c r="U13" s="314"/>
      <c r="V13" s="314"/>
      <c r="W13" s="314"/>
      <c r="X13" s="314"/>
      <c r="Y13" s="314"/>
      <c r="Z13" s="314"/>
      <c r="AA13" s="314"/>
      <c r="AB13" s="314"/>
      <c r="AC13" s="314"/>
      <c r="AD13" s="314"/>
      <c r="AE13" s="314"/>
      <c r="AF13" s="314"/>
      <c r="AG13" s="314"/>
      <c r="AH13" s="314"/>
      <c r="AI13" s="314"/>
      <c r="AJ13" s="314"/>
      <c r="AK13" s="314"/>
      <c r="AL13" s="314"/>
      <c r="AM13" s="314"/>
      <c r="AN13" s="314"/>
      <c r="AO13" s="314"/>
      <c r="AP13" s="314"/>
      <c r="AQ13" s="314"/>
      <c r="AR13" s="314"/>
      <c r="AS13" s="314"/>
      <c r="AT13" s="314"/>
      <c r="AU13" s="314"/>
      <c r="AV13" s="314"/>
      <c r="AW13" s="314"/>
      <c r="AX13" s="314"/>
      <c r="AY13" s="314"/>
      <c r="AZ13" s="314"/>
      <c r="BA13" s="314"/>
      <c r="BB13" s="314"/>
      <c r="BC13" s="314"/>
      <c r="BD13" s="314"/>
      <c r="BE13" s="314"/>
      <c r="BF13" s="314"/>
      <c r="BG13" s="314"/>
      <c r="BH13" s="314"/>
      <c r="BI13" s="314"/>
      <c r="BJ13" s="314"/>
      <c r="BK13" s="314"/>
      <c r="BL13" s="314"/>
      <c r="BM13" s="314"/>
      <c r="BN13" s="314"/>
      <c r="BO13" s="314"/>
      <c r="BP13" s="314"/>
      <c r="BQ13" s="314"/>
      <c r="BR13" s="314"/>
      <c r="BS13" s="314"/>
      <c r="BT13" s="313"/>
      <c r="BU13" s="314"/>
      <c r="BV13" s="314"/>
      <c r="BW13" s="314"/>
      <c r="BX13" s="314"/>
      <c r="BY13" s="314"/>
      <c r="BZ13" s="314"/>
      <c r="CA13" s="314"/>
      <c r="CB13" s="314"/>
      <c r="CC13" s="314"/>
      <c r="CD13" s="314"/>
      <c r="CE13" s="314"/>
      <c r="CF13" s="315"/>
      <c r="CG13" s="314"/>
      <c r="CH13" s="314"/>
      <c r="CI13" s="314"/>
      <c r="CJ13" s="314"/>
      <c r="CK13" s="314"/>
      <c r="CL13" s="314"/>
      <c r="CM13" s="314"/>
      <c r="CN13" s="314"/>
      <c r="CO13" s="314"/>
      <c r="CP13" s="314"/>
      <c r="CQ13" s="314"/>
      <c r="CR13" s="314"/>
      <c r="CS13" s="313"/>
      <c r="CT13" s="314"/>
      <c r="CU13" s="314"/>
      <c r="CV13" s="314"/>
      <c r="CW13" s="314"/>
      <c r="CX13" s="314"/>
      <c r="CY13" s="314"/>
      <c r="CZ13" s="314"/>
      <c r="DA13" s="314"/>
      <c r="DB13" s="314"/>
      <c r="DC13" s="314"/>
      <c r="DD13" s="314"/>
      <c r="DE13" s="314"/>
      <c r="DF13" s="314"/>
      <c r="DG13" s="314"/>
      <c r="DH13" s="314"/>
      <c r="DI13" s="314"/>
      <c r="DJ13" s="314"/>
      <c r="DK13" s="314"/>
      <c r="DL13" s="314"/>
      <c r="DM13" s="313"/>
      <c r="DN13" s="314"/>
      <c r="DO13" s="314"/>
      <c r="DP13" s="313"/>
      <c r="DQ13" s="314"/>
      <c r="DR13" s="314"/>
      <c r="DS13" s="314"/>
      <c r="DT13" s="314"/>
      <c r="DU13" s="314"/>
      <c r="DV13" s="314"/>
      <c r="DW13" s="314"/>
      <c r="DX13" s="314"/>
      <c r="DY13" s="314"/>
      <c r="DZ13" s="313"/>
      <c r="EA13" s="314"/>
      <c r="EB13" s="314"/>
      <c r="EC13" s="314"/>
      <c r="ED13" s="314"/>
      <c r="EE13" s="314"/>
      <c r="EF13" s="314"/>
      <c r="EG13" s="314"/>
      <c r="EH13" s="314"/>
      <c r="EI13" s="314"/>
      <c r="EJ13" s="314"/>
      <c r="EK13" s="314"/>
      <c r="EL13" s="314"/>
      <c r="EM13" s="314"/>
      <c r="EN13" s="314"/>
      <c r="EO13" s="314"/>
      <c r="EP13" s="314"/>
      <c r="EQ13" s="314"/>
      <c r="ER13" s="314"/>
      <c r="ES13" s="314"/>
      <c r="ET13" s="314"/>
      <c r="EU13" s="314"/>
      <c r="EV13" s="314"/>
      <c r="EW13" s="314"/>
      <c r="EX13" s="314"/>
      <c r="EY13" s="314"/>
      <c r="EZ13" s="314"/>
      <c r="FA13" s="314"/>
      <c r="FB13" s="314"/>
      <c r="FC13" s="314"/>
      <c r="FD13" s="314"/>
      <c r="FE13" s="314"/>
      <c r="FF13" s="314"/>
      <c r="FG13" s="314"/>
      <c r="FH13" s="314"/>
      <c r="FI13" s="314"/>
      <c r="FJ13" s="314"/>
      <c r="FK13" s="314"/>
      <c r="FL13" s="314"/>
      <c r="FM13" s="314"/>
      <c r="FN13" s="314"/>
      <c r="FO13" s="314"/>
      <c r="FP13" s="314"/>
      <c r="FQ13" s="314"/>
      <c r="FR13" s="314"/>
      <c r="FS13" s="314"/>
      <c r="FT13" s="314"/>
      <c r="FU13" s="314"/>
      <c r="FV13" s="314"/>
      <c r="FW13" s="313"/>
      <c r="FX13" s="314"/>
      <c r="FY13" s="314"/>
      <c r="FZ13" s="314"/>
      <c r="GA13" s="314"/>
      <c r="GB13" s="314"/>
      <c r="GC13" s="314"/>
      <c r="GD13" s="314"/>
      <c r="GE13" s="314"/>
      <c r="GF13" s="314"/>
      <c r="GG13" s="314"/>
      <c r="GH13" s="314"/>
      <c r="GI13" s="314"/>
      <c r="GJ13" s="314"/>
      <c r="GK13" s="314"/>
      <c r="GL13" s="314"/>
      <c r="GM13" s="314"/>
      <c r="GN13" s="314"/>
      <c r="GO13" s="314"/>
      <c r="GP13" s="314"/>
      <c r="GQ13" s="313"/>
      <c r="GR13" s="314"/>
      <c r="GS13" s="314"/>
      <c r="GT13" s="314"/>
      <c r="GU13" s="314"/>
      <c r="GV13" s="314"/>
      <c r="GW13" s="314"/>
      <c r="GX13" s="314"/>
      <c r="GY13" s="314"/>
      <c r="GZ13" s="314"/>
      <c r="HA13" s="314"/>
      <c r="HB13" s="314"/>
      <c r="HC13" s="314"/>
      <c r="HD13" s="314"/>
      <c r="HE13" s="314"/>
      <c r="HF13" s="314"/>
      <c r="HG13" s="314"/>
      <c r="HH13" s="314"/>
      <c r="HI13" s="314"/>
      <c r="HJ13" s="314"/>
      <c r="HK13" s="314"/>
      <c r="HL13" s="314"/>
      <c r="HM13" s="314"/>
      <c r="HN13" s="314"/>
      <c r="HO13" s="314"/>
      <c r="HP13" s="314"/>
      <c r="HQ13" s="314"/>
      <c r="HR13" s="314"/>
      <c r="HS13" s="314"/>
      <c r="HT13" s="314"/>
      <c r="HU13" s="314"/>
      <c r="HV13" s="314"/>
      <c r="HW13" s="314"/>
      <c r="HX13" s="314"/>
      <c r="HY13" s="314"/>
      <c r="HZ13" s="314"/>
      <c r="IA13" s="314"/>
      <c r="IB13" s="314"/>
      <c r="IC13" s="314"/>
      <c r="ID13" s="314"/>
      <c r="IE13" s="314"/>
      <c r="IF13" s="314"/>
      <c r="IG13" s="314"/>
      <c r="IH13" s="314"/>
      <c r="II13" s="314"/>
      <c r="IJ13" s="314"/>
      <c r="IK13" s="314"/>
      <c r="IL13" s="314"/>
      <c r="IM13" s="314"/>
      <c r="IN13" s="314"/>
      <c r="IO13" s="314"/>
      <c r="IP13" s="314"/>
      <c r="IQ13" s="314"/>
      <c r="IR13" s="314"/>
      <c r="IS13" s="314"/>
      <c r="IT13" s="314"/>
      <c r="IU13" s="314"/>
      <c r="IV13" s="314"/>
      <c r="IW13" s="314"/>
      <c r="IX13" s="314"/>
      <c r="IY13" s="314"/>
      <c r="IZ13" s="314"/>
      <c r="JA13" s="314"/>
      <c r="JB13" s="314"/>
      <c r="JC13" s="314"/>
      <c r="JD13" s="314"/>
      <c r="JE13" s="314"/>
      <c r="JF13" s="314"/>
      <c r="JG13" s="314"/>
      <c r="JH13" s="314"/>
      <c r="JI13" s="314"/>
      <c r="JJ13" s="314"/>
      <c r="JK13" s="314"/>
      <c r="JL13" s="314"/>
      <c r="JM13" s="314"/>
      <c r="JN13" s="314"/>
      <c r="JO13" s="314"/>
      <c r="JP13" s="314"/>
      <c r="JQ13" s="314"/>
      <c r="JR13" s="314"/>
      <c r="JS13" s="314"/>
      <c r="JT13" s="314"/>
      <c r="JU13" s="314"/>
      <c r="JV13" s="314"/>
      <c r="JW13" s="314"/>
      <c r="JX13" s="314"/>
      <c r="JY13" s="314"/>
      <c r="JZ13" s="314"/>
      <c r="KA13" s="314"/>
      <c r="KB13" s="314"/>
      <c r="KC13" s="314"/>
      <c r="KD13" s="314"/>
      <c r="KE13" s="314"/>
      <c r="KF13" s="314"/>
      <c r="KG13" s="314"/>
      <c r="KH13" s="314"/>
      <c r="KI13" s="314"/>
      <c r="KJ13" s="314"/>
      <c r="KK13" s="314"/>
      <c r="KL13" s="314"/>
      <c r="KM13" s="314"/>
      <c r="KN13" s="314"/>
      <c r="KO13" s="314"/>
      <c r="KP13" s="314"/>
      <c r="KQ13" s="314"/>
      <c r="KR13" s="314"/>
      <c r="KS13" s="314"/>
      <c r="KT13" s="314"/>
      <c r="KU13" s="314"/>
      <c r="KV13" s="314"/>
      <c r="KW13" s="314"/>
      <c r="KX13" s="314"/>
      <c r="KY13" s="314"/>
      <c r="KZ13" s="314"/>
      <c r="LA13" s="314"/>
      <c r="LB13" s="314"/>
      <c r="LC13" s="314"/>
      <c r="LD13" s="314"/>
      <c r="LE13" s="314"/>
      <c r="LF13" s="314"/>
      <c r="LG13" s="314"/>
      <c r="LH13" s="314"/>
      <c r="LI13" s="314"/>
      <c r="LJ13" s="314"/>
      <c r="LK13" s="314"/>
      <c r="LL13" s="314"/>
      <c r="LM13" s="314"/>
      <c r="LN13" s="314"/>
      <c r="LO13" s="314"/>
      <c r="LP13" s="313"/>
      <c r="LQ13" s="314"/>
      <c r="LR13" s="314"/>
      <c r="LS13" s="314"/>
      <c r="LT13" s="314"/>
      <c r="LU13" s="313"/>
      <c r="LV13" s="314"/>
      <c r="LW13" s="314"/>
      <c r="LX13" s="314"/>
      <c r="LY13" s="314"/>
      <c r="LZ13" s="314"/>
      <c r="MA13" s="314"/>
      <c r="MB13" s="314"/>
      <c r="MC13" s="314"/>
      <c r="MD13" s="314"/>
      <c r="ME13" s="314"/>
      <c r="MF13" s="314"/>
      <c r="MG13" s="314"/>
      <c r="MH13" s="314"/>
      <c r="MI13" s="314"/>
      <c r="MJ13" s="314"/>
      <c r="MK13" s="314"/>
      <c r="ML13" s="314"/>
      <c r="MM13" s="314"/>
      <c r="MN13" s="314"/>
      <c r="MO13" s="314"/>
      <c r="MP13" s="314"/>
      <c r="MQ13" s="314"/>
      <c r="MR13" s="314"/>
      <c r="MS13" s="314"/>
      <c r="MT13" s="314"/>
      <c r="MU13" s="314"/>
      <c r="MV13" s="314"/>
      <c r="MW13" s="314"/>
      <c r="MX13" s="314"/>
      <c r="MY13" s="314"/>
      <c r="MZ13" s="314"/>
      <c r="NA13" s="314"/>
      <c r="NB13" s="314"/>
      <c r="NC13" s="313"/>
      <c r="ND13" s="313"/>
      <c r="NE13" s="314"/>
      <c r="NF13" s="314"/>
      <c r="NG13" s="314"/>
      <c r="NH13" s="314"/>
      <c r="NI13" s="314"/>
      <c r="NJ13" s="313"/>
    </row>
    <row r="14" spans="3:381" ht="20.100000000000001" customHeight="1" x14ac:dyDescent="0.25">
      <c r="C14" s="307"/>
      <c r="D14" s="308"/>
      <c r="E14" s="308"/>
      <c r="F14" s="309">
        <f t="shared" si="0"/>
        <v>1</v>
      </c>
      <c r="G14" s="310"/>
      <c r="H14" s="311" t="s">
        <v>564</v>
      </c>
      <c r="I14" s="312"/>
      <c r="J14" s="313"/>
      <c r="K14" s="314"/>
      <c r="L14" s="314"/>
      <c r="M14" s="314"/>
      <c r="N14" s="314"/>
      <c r="O14" s="314"/>
      <c r="P14" s="314"/>
      <c r="Q14" s="314"/>
      <c r="R14" s="314"/>
      <c r="S14" s="314"/>
      <c r="T14" s="314"/>
      <c r="U14" s="314"/>
      <c r="V14" s="314"/>
      <c r="W14" s="314"/>
      <c r="X14" s="314"/>
      <c r="Y14" s="314"/>
      <c r="Z14" s="314"/>
      <c r="AA14" s="314"/>
      <c r="AB14" s="314"/>
      <c r="AC14" s="314"/>
      <c r="AD14" s="314"/>
      <c r="AE14" s="314"/>
      <c r="AF14" s="314"/>
      <c r="AG14" s="314"/>
      <c r="AH14" s="314"/>
      <c r="AI14" s="314"/>
      <c r="AJ14" s="314"/>
      <c r="AK14" s="314"/>
      <c r="AL14" s="314"/>
      <c r="AM14" s="314"/>
      <c r="AN14" s="314"/>
      <c r="AO14" s="314"/>
      <c r="AP14" s="314"/>
      <c r="AQ14" s="314"/>
      <c r="AR14" s="314"/>
      <c r="AS14" s="314"/>
      <c r="AT14" s="314"/>
      <c r="AU14" s="314"/>
      <c r="AV14" s="314"/>
      <c r="AW14" s="314"/>
      <c r="AX14" s="314"/>
      <c r="AY14" s="314"/>
      <c r="AZ14" s="314"/>
      <c r="BA14" s="314"/>
      <c r="BB14" s="314"/>
      <c r="BC14" s="314"/>
      <c r="BD14" s="314"/>
      <c r="BE14" s="314"/>
      <c r="BF14" s="314"/>
      <c r="BG14" s="314"/>
      <c r="BH14" s="314"/>
      <c r="BI14" s="314"/>
      <c r="BJ14" s="314"/>
      <c r="BK14" s="314"/>
      <c r="BL14" s="314"/>
      <c r="BM14" s="314"/>
      <c r="BN14" s="314"/>
      <c r="BO14" s="314"/>
      <c r="BP14" s="314"/>
      <c r="BQ14" s="314"/>
      <c r="BR14" s="314"/>
      <c r="BS14" s="314"/>
      <c r="BT14" s="313"/>
      <c r="BU14" s="314"/>
      <c r="BV14" s="314"/>
      <c r="BW14" s="314"/>
      <c r="BX14" s="314"/>
      <c r="BY14" s="314"/>
      <c r="BZ14" s="314"/>
      <c r="CA14" s="314"/>
      <c r="CB14" s="314"/>
      <c r="CC14" s="314"/>
      <c r="CD14" s="314"/>
      <c r="CE14" s="314"/>
      <c r="CF14" s="315"/>
      <c r="CG14" s="314"/>
      <c r="CH14" s="314"/>
      <c r="CI14" s="314"/>
      <c r="CJ14" s="314"/>
      <c r="CK14" s="314"/>
      <c r="CL14" s="314"/>
      <c r="CM14" s="314"/>
      <c r="CN14" s="314"/>
      <c r="CO14" s="314"/>
      <c r="CP14" s="314"/>
      <c r="CQ14" s="314"/>
      <c r="CR14" s="314"/>
      <c r="CS14" s="313"/>
      <c r="CT14" s="314"/>
      <c r="CU14" s="314"/>
      <c r="CV14" s="314"/>
      <c r="CW14" s="314"/>
      <c r="CX14" s="314"/>
      <c r="CY14" s="314"/>
      <c r="CZ14" s="314"/>
      <c r="DA14" s="314"/>
      <c r="DB14" s="314"/>
      <c r="DC14" s="314"/>
      <c r="DD14" s="314"/>
      <c r="DE14" s="314"/>
      <c r="DF14" s="314"/>
      <c r="DG14" s="314"/>
      <c r="DH14" s="314"/>
      <c r="DI14" s="314"/>
      <c r="DJ14" s="314"/>
      <c r="DK14" s="314"/>
      <c r="DL14" s="314"/>
      <c r="DM14" s="313"/>
      <c r="DN14" s="314"/>
      <c r="DO14" s="314"/>
      <c r="DP14" s="313"/>
      <c r="DQ14" s="314"/>
      <c r="DR14" s="314"/>
      <c r="DS14" s="314"/>
      <c r="DT14" s="314"/>
      <c r="DU14" s="314"/>
      <c r="DV14" s="314"/>
      <c r="DW14" s="314"/>
      <c r="DX14" s="314"/>
      <c r="DY14" s="314"/>
      <c r="DZ14" s="313"/>
      <c r="EA14" s="314"/>
      <c r="EB14" s="314"/>
      <c r="EC14" s="314"/>
      <c r="ED14" s="314"/>
      <c r="EE14" s="314"/>
      <c r="EF14" s="314"/>
      <c r="EG14" s="314"/>
      <c r="EH14" s="314"/>
      <c r="EI14" s="314"/>
      <c r="EJ14" s="314"/>
      <c r="EK14" s="314"/>
      <c r="EL14" s="314"/>
      <c r="EM14" s="314"/>
      <c r="EN14" s="314"/>
      <c r="EO14" s="314"/>
      <c r="EP14" s="314"/>
      <c r="EQ14" s="314"/>
      <c r="ER14" s="314"/>
      <c r="ES14" s="314"/>
      <c r="ET14" s="314"/>
      <c r="EU14" s="314"/>
      <c r="EV14" s="314"/>
      <c r="EW14" s="314"/>
      <c r="EX14" s="314"/>
      <c r="EY14" s="314"/>
      <c r="EZ14" s="314"/>
      <c r="FA14" s="314"/>
      <c r="FB14" s="314"/>
      <c r="FC14" s="314"/>
      <c r="FD14" s="314"/>
      <c r="FE14" s="314"/>
      <c r="FF14" s="314"/>
      <c r="FG14" s="314"/>
      <c r="FH14" s="314"/>
      <c r="FI14" s="314"/>
      <c r="FJ14" s="314"/>
      <c r="FK14" s="314"/>
      <c r="FL14" s="314"/>
      <c r="FM14" s="314"/>
      <c r="FN14" s="314"/>
      <c r="FO14" s="314"/>
      <c r="FP14" s="314"/>
      <c r="FQ14" s="314"/>
      <c r="FR14" s="314"/>
      <c r="FS14" s="314"/>
      <c r="FT14" s="314"/>
      <c r="FU14" s="314"/>
      <c r="FV14" s="314"/>
      <c r="FW14" s="313"/>
      <c r="FX14" s="314"/>
      <c r="FY14" s="314"/>
      <c r="FZ14" s="314"/>
      <c r="GA14" s="314"/>
      <c r="GB14" s="314"/>
      <c r="GC14" s="314"/>
      <c r="GD14" s="314"/>
      <c r="GE14" s="314"/>
      <c r="GF14" s="314"/>
      <c r="GG14" s="314"/>
      <c r="GH14" s="314"/>
      <c r="GI14" s="314"/>
      <c r="GJ14" s="314"/>
      <c r="GK14" s="314"/>
      <c r="GL14" s="314"/>
      <c r="GM14" s="314"/>
      <c r="GN14" s="314"/>
      <c r="GO14" s="314"/>
      <c r="GP14" s="314"/>
      <c r="GQ14" s="313"/>
      <c r="GR14" s="314"/>
      <c r="GS14" s="314"/>
      <c r="GT14" s="314"/>
      <c r="GU14" s="314"/>
      <c r="GV14" s="314"/>
      <c r="GW14" s="314"/>
      <c r="GX14" s="314"/>
      <c r="GY14" s="314"/>
      <c r="GZ14" s="314"/>
      <c r="HA14" s="314"/>
      <c r="HB14" s="314"/>
      <c r="HC14" s="314"/>
      <c r="HD14" s="314"/>
      <c r="HE14" s="314"/>
      <c r="HF14" s="314"/>
      <c r="HG14" s="314"/>
      <c r="HH14" s="314"/>
      <c r="HI14" s="314"/>
      <c r="HJ14" s="314"/>
      <c r="HK14" s="314"/>
      <c r="HL14" s="314"/>
      <c r="HM14" s="314"/>
      <c r="HN14" s="314"/>
      <c r="HO14" s="314"/>
      <c r="HP14" s="314"/>
      <c r="HQ14" s="314"/>
      <c r="HR14" s="314"/>
      <c r="HS14" s="314"/>
      <c r="HT14" s="314"/>
      <c r="HU14" s="314"/>
      <c r="HV14" s="314"/>
      <c r="HW14" s="314"/>
      <c r="HX14" s="314"/>
      <c r="HY14" s="314"/>
      <c r="HZ14" s="314"/>
      <c r="IA14" s="314"/>
      <c r="IB14" s="314"/>
      <c r="IC14" s="314"/>
      <c r="ID14" s="314"/>
      <c r="IE14" s="314"/>
      <c r="IF14" s="314"/>
      <c r="IG14" s="314"/>
      <c r="IH14" s="314"/>
      <c r="II14" s="314"/>
      <c r="IJ14" s="314"/>
      <c r="IK14" s="314"/>
      <c r="IL14" s="314"/>
      <c r="IM14" s="314"/>
      <c r="IN14" s="314"/>
      <c r="IO14" s="314"/>
      <c r="IP14" s="314"/>
      <c r="IQ14" s="314"/>
      <c r="IR14" s="314"/>
      <c r="IS14" s="314"/>
      <c r="IT14" s="314"/>
      <c r="IU14" s="314"/>
      <c r="IV14" s="314"/>
      <c r="IW14" s="314"/>
      <c r="IX14" s="314"/>
      <c r="IY14" s="314"/>
      <c r="IZ14" s="314"/>
      <c r="JA14" s="314"/>
      <c r="JB14" s="314"/>
      <c r="JC14" s="314"/>
      <c r="JD14" s="314"/>
      <c r="JE14" s="314"/>
      <c r="JF14" s="314"/>
      <c r="JG14" s="314"/>
      <c r="JH14" s="314"/>
      <c r="JI14" s="314"/>
      <c r="JJ14" s="314"/>
      <c r="JK14" s="314"/>
      <c r="JL14" s="314"/>
      <c r="JM14" s="314"/>
      <c r="JN14" s="314"/>
      <c r="JO14" s="314"/>
      <c r="JP14" s="314"/>
      <c r="JQ14" s="314"/>
      <c r="JR14" s="314"/>
      <c r="JS14" s="314"/>
      <c r="JT14" s="314"/>
      <c r="JU14" s="314"/>
      <c r="JV14" s="314"/>
      <c r="JW14" s="314"/>
      <c r="JX14" s="314"/>
      <c r="JY14" s="314"/>
      <c r="JZ14" s="314"/>
      <c r="KA14" s="314"/>
      <c r="KB14" s="314"/>
      <c r="KC14" s="314"/>
      <c r="KD14" s="314"/>
      <c r="KE14" s="314"/>
      <c r="KF14" s="314"/>
      <c r="KG14" s="314"/>
      <c r="KH14" s="314"/>
      <c r="KI14" s="314"/>
      <c r="KJ14" s="314"/>
      <c r="KK14" s="314"/>
      <c r="KL14" s="314"/>
      <c r="KM14" s="314"/>
      <c r="KN14" s="314"/>
      <c r="KO14" s="314"/>
      <c r="KP14" s="314"/>
      <c r="KQ14" s="314"/>
      <c r="KR14" s="314"/>
      <c r="KS14" s="314"/>
      <c r="KT14" s="314"/>
      <c r="KU14" s="314"/>
      <c r="KV14" s="314"/>
      <c r="KW14" s="314"/>
      <c r="KX14" s="314"/>
      <c r="KY14" s="314"/>
      <c r="KZ14" s="314"/>
      <c r="LA14" s="314"/>
      <c r="LB14" s="314"/>
      <c r="LC14" s="314"/>
      <c r="LD14" s="314"/>
      <c r="LE14" s="314"/>
      <c r="LF14" s="314"/>
      <c r="LG14" s="314"/>
      <c r="LH14" s="314"/>
      <c r="LI14" s="314"/>
      <c r="LJ14" s="314"/>
      <c r="LK14" s="314"/>
      <c r="LL14" s="314"/>
      <c r="LM14" s="314"/>
      <c r="LN14" s="314"/>
      <c r="LO14" s="314"/>
      <c r="LP14" s="313"/>
      <c r="LQ14" s="314"/>
      <c r="LR14" s="314"/>
      <c r="LS14" s="314"/>
      <c r="LT14" s="314"/>
      <c r="LU14" s="313"/>
      <c r="LV14" s="314"/>
      <c r="LW14" s="314"/>
      <c r="LX14" s="314"/>
      <c r="LY14" s="314"/>
      <c r="LZ14" s="314"/>
      <c r="MA14" s="314"/>
      <c r="MB14" s="314"/>
      <c r="MC14" s="314"/>
      <c r="MD14" s="314"/>
      <c r="ME14" s="314"/>
      <c r="MF14" s="314"/>
      <c r="MG14" s="314"/>
      <c r="MH14" s="314"/>
      <c r="MI14" s="314"/>
      <c r="MJ14" s="314"/>
      <c r="MK14" s="314"/>
      <c r="ML14" s="314"/>
      <c r="MM14" s="314"/>
      <c r="MN14" s="314"/>
      <c r="MO14" s="314"/>
      <c r="MP14" s="314"/>
      <c r="MQ14" s="314"/>
      <c r="MR14" s="314"/>
      <c r="MS14" s="314"/>
      <c r="MT14" s="314"/>
      <c r="MU14" s="314"/>
      <c r="MV14" s="314"/>
      <c r="MW14" s="314"/>
      <c r="MX14" s="314"/>
      <c r="MY14" s="314"/>
      <c r="MZ14" s="314"/>
      <c r="NA14" s="314"/>
      <c r="NB14" s="314"/>
      <c r="NC14" s="313"/>
      <c r="ND14" s="313"/>
      <c r="NE14" s="314"/>
      <c r="NF14" s="314"/>
      <c r="NG14" s="314"/>
      <c r="NH14" s="314"/>
      <c r="NI14" s="314"/>
      <c r="NJ14" s="313"/>
      <c r="NK14" s="292"/>
      <c r="NL14" s="292"/>
      <c r="NM14" s="292"/>
      <c r="NN14" s="292"/>
      <c r="NO14" s="292"/>
      <c r="NP14" s="292"/>
      <c r="NQ14" s="292"/>
    </row>
    <row r="15" spans="3:381" ht="20.100000000000001" customHeight="1" x14ac:dyDescent="0.25">
      <c r="C15" s="307"/>
      <c r="D15" s="308"/>
      <c r="E15" s="308"/>
      <c r="F15" s="309">
        <f t="shared" si="0"/>
        <v>1</v>
      </c>
      <c r="G15" s="310"/>
      <c r="H15" s="311" t="s">
        <v>564</v>
      </c>
      <c r="I15" s="312"/>
      <c r="J15" s="313"/>
      <c r="K15" s="314"/>
      <c r="L15" s="314"/>
      <c r="M15" s="314"/>
      <c r="N15" s="314"/>
      <c r="O15" s="314"/>
      <c r="P15" s="314"/>
      <c r="Q15" s="314"/>
      <c r="R15" s="314"/>
      <c r="S15" s="314"/>
      <c r="T15" s="314"/>
      <c r="U15" s="314"/>
      <c r="V15" s="314"/>
      <c r="W15" s="314"/>
      <c r="X15" s="314"/>
      <c r="Y15" s="314"/>
      <c r="Z15" s="314"/>
      <c r="AA15" s="314"/>
      <c r="AB15" s="314"/>
      <c r="AC15" s="314"/>
      <c r="AD15" s="314"/>
      <c r="AE15" s="314"/>
      <c r="AF15" s="314"/>
      <c r="AG15" s="314"/>
      <c r="AH15" s="314"/>
      <c r="AI15" s="314"/>
      <c r="AJ15" s="314"/>
      <c r="AK15" s="314"/>
      <c r="AL15" s="314"/>
      <c r="AM15" s="314"/>
      <c r="AN15" s="314"/>
      <c r="AO15" s="314"/>
      <c r="AP15" s="314"/>
      <c r="AQ15" s="314"/>
      <c r="AR15" s="314"/>
      <c r="AS15" s="314"/>
      <c r="AT15" s="314"/>
      <c r="AU15" s="314"/>
      <c r="AV15" s="314"/>
      <c r="AW15" s="314"/>
      <c r="AX15" s="314"/>
      <c r="AY15" s="314"/>
      <c r="AZ15" s="314"/>
      <c r="BA15" s="314"/>
      <c r="BB15" s="314"/>
      <c r="BC15" s="314"/>
      <c r="BD15" s="314"/>
      <c r="BE15" s="314"/>
      <c r="BF15" s="314"/>
      <c r="BG15" s="314"/>
      <c r="BH15" s="314"/>
      <c r="BI15" s="314"/>
      <c r="BJ15" s="314"/>
      <c r="BK15" s="314"/>
      <c r="BL15" s="314"/>
      <c r="BM15" s="314"/>
      <c r="BN15" s="314"/>
      <c r="BO15" s="314"/>
      <c r="BP15" s="314"/>
      <c r="BQ15" s="314"/>
      <c r="BR15" s="314"/>
      <c r="BS15" s="314"/>
      <c r="BT15" s="313"/>
      <c r="BU15" s="314"/>
      <c r="BV15" s="314"/>
      <c r="BW15" s="314"/>
      <c r="BX15" s="314"/>
      <c r="BY15" s="314"/>
      <c r="BZ15" s="314"/>
      <c r="CA15" s="314"/>
      <c r="CB15" s="314"/>
      <c r="CC15" s="314"/>
      <c r="CD15" s="314"/>
      <c r="CE15" s="314"/>
      <c r="CF15" s="315"/>
      <c r="CG15" s="314"/>
      <c r="CH15" s="314"/>
      <c r="CI15" s="314"/>
      <c r="CJ15" s="314"/>
      <c r="CK15" s="314"/>
      <c r="CL15" s="314"/>
      <c r="CM15" s="314"/>
      <c r="CN15" s="314"/>
      <c r="CO15" s="314"/>
      <c r="CP15" s="314"/>
      <c r="CQ15" s="314"/>
      <c r="CR15" s="314"/>
      <c r="CS15" s="313"/>
      <c r="CT15" s="314"/>
      <c r="CU15" s="314"/>
      <c r="CV15" s="314"/>
      <c r="CW15" s="314"/>
      <c r="CX15" s="314"/>
      <c r="CY15" s="314"/>
      <c r="CZ15" s="314"/>
      <c r="DA15" s="314"/>
      <c r="DB15" s="314"/>
      <c r="DC15" s="314"/>
      <c r="DD15" s="314"/>
      <c r="DE15" s="314"/>
      <c r="DF15" s="314"/>
      <c r="DG15" s="314"/>
      <c r="DH15" s="314"/>
      <c r="DI15" s="314"/>
      <c r="DJ15" s="314"/>
      <c r="DK15" s="314"/>
      <c r="DL15" s="314"/>
      <c r="DM15" s="313"/>
      <c r="DN15" s="314"/>
      <c r="DO15" s="314"/>
      <c r="DP15" s="313"/>
      <c r="DQ15" s="314"/>
      <c r="DR15" s="314"/>
      <c r="DS15" s="314"/>
      <c r="DT15" s="314"/>
      <c r="DU15" s="314"/>
      <c r="DV15" s="314"/>
      <c r="DW15" s="314"/>
      <c r="DX15" s="314"/>
      <c r="DY15" s="314"/>
      <c r="DZ15" s="313"/>
      <c r="EA15" s="314"/>
      <c r="EB15" s="314"/>
      <c r="EC15" s="314"/>
      <c r="ED15" s="314"/>
      <c r="EE15" s="314"/>
      <c r="EF15" s="314"/>
      <c r="EG15" s="314"/>
      <c r="EH15" s="314"/>
      <c r="EI15" s="314"/>
      <c r="EJ15" s="314"/>
      <c r="EK15" s="314"/>
      <c r="EL15" s="314"/>
      <c r="EM15" s="314"/>
      <c r="EN15" s="314"/>
      <c r="EO15" s="314"/>
      <c r="EP15" s="314"/>
      <c r="EQ15" s="314"/>
      <c r="ER15" s="314"/>
      <c r="ES15" s="314"/>
      <c r="ET15" s="314"/>
      <c r="EU15" s="314"/>
      <c r="EV15" s="314"/>
      <c r="EW15" s="314"/>
      <c r="EX15" s="314"/>
      <c r="EY15" s="314"/>
      <c r="EZ15" s="314"/>
      <c r="FA15" s="314"/>
      <c r="FB15" s="314"/>
      <c r="FC15" s="314"/>
      <c r="FD15" s="314"/>
      <c r="FE15" s="314"/>
      <c r="FF15" s="314"/>
      <c r="FG15" s="314"/>
      <c r="FH15" s="314"/>
      <c r="FI15" s="314"/>
      <c r="FJ15" s="314"/>
      <c r="FK15" s="314"/>
      <c r="FL15" s="314"/>
      <c r="FM15" s="314"/>
      <c r="FN15" s="314"/>
      <c r="FO15" s="314"/>
      <c r="FP15" s="314"/>
      <c r="FQ15" s="314"/>
      <c r="FR15" s="314"/>
      <c r="FS15" s="314"/>
      <c r="FT15" s="314"/>
      <c r="FU15" s="314"/>
      <c r="FV15" s="314"/>
      <c r="FW15" s="313"/>
      <c r="FX15" s="314"/>
      <c r="FY15" s="314"/>
      <c r="FZ15" s="314"/>
      <c r="GA15" s="314"/>
      <c r="GB15" s="314"/>
      <c r="GC15" s="314"/>
      <c r="GD15" s="314"/>
      <c r="GE15" s="314"/>
      <c r="GF15" s="314"/>
      <c r="GG15" s="314"/>
      <c r="GH15" s="314"/>
      <c r="GI15" s="314"/>
      <c r="GJ15" s="314"/>
      <c r="GK15" s="314"/>
      <c r="GL15" s="314"/>
      <c r="GM15" s="314"/>
      <c r="GN15" s="314"/>
      <c r="GO15" s="314"/>
      <c r="GP15" s="314"/>
      <c r="GQ15" s="313"/>
      <c r="GR15" s="314"/>
      <c r="GS15" s="314"/>
      <c r="GT15" s="314"/>
      <c r="GU15" s="314"/>
      <c r="GV15" s="314"/>
      <c r="GW15" s="314"/>
      <c r="GX15" s="314"/>
      <c r="GY15" s="314"/>
      <c r="GZ15" s="314"/>
      <c r="HA15" s="314"/>
      <c r="HB15" s="314"/>
      <c r="HC15" s="314"/>
      <c r="HD15" s="314"/>
      <c r="HE15" s="314"/>
      <c r="HF15" s="314"/>
      <c r="HG15" s="314"/>
      <c r="HH15" s="314"/>
      <c r="HI15" s="314"/>
      <c r="HJ15" s="314"/>
      <c r="HK15" s="314"/>
      <c r="HL15" s="314"/>
      <c r="HM15" s="314"/>
      <c r="HN15" s="314"/>
      <c r="HO15" s="314"/>
      <c r="HP15" s="314"/>
      <c r="HQ15" s="314"/>
      <c r="HR15" s="314"/>
      <c r="HS15" s="314"/>
      <c r="HT15" s="314"/>
      <c r="HU15" s="314"/>
      <c r="HV15" s="314"/>
      <c r="HW15" s="314"/>
      <c r="HX15" s="314"/>
      <c r="HY15" s="314"/>
      <c r="HZ15" s="314"/>
      <c r="IA15" s="314"/>
      <c r="IB15" s="314"/>
      <c r="IC15" s="314"/>
      <c r="ID15" s="314"/>
      <c r="IE15" s="314"/>
      <c r="IF15" s="314"/>
      <c r="IG15" s="314"/>
      <c r="IH15" s="314"/>
      <c r="II15" s="314"/>
      <c r="IJ15" s="314"/>
      <c r="IK15" s="314"/>
      <c r="IL15" s="314"/>
      <c r="IM15" s="314"/>
      <c r="IN15" s="314"/>
      <c r="IO15" s="314"/>
      <c r="IP15" s="314"/>
      <c r="IQ15" s="314"/>
      <c r="IR15" s="314"/>
      <c r="IS15" s="314"/>
      <c r="IT15" s="314"/>
      <c r="IU15" s="314"/>
      <c r="IV15" s="314"/>
      <c r="IW15" s="314"/>
      <c r="IX15" s="314"/>
      <c r="IY15" s="314"/>
      <c r="IZ15" s="314"/>
      <c r="JA15" s="314"/>
      <c r="JB15" s="314"/>
      <c r="JC15" s="314"/>
      <c r="JD15" s="314"/>
      <c r="JE15" s="314"/>
      <c r="JF15" s="314"/>
      <c r="JG15" s="314"/>
      <c r="JH15" s="314"/>
      <c r="JI15" s="314"/>
      <c r="JJ15" s="314"/>
      <c r="JK15" s="314"/>
      <c r="JL15" s="314"/>
      <c r="JM15" s="314"/>
      <c r="JN15" s="314"/>
      <c r="JO15" s="314"/>
      <c r="JP15" s="314"/>
      <c r="JQ15" s="314"/>
      <c r="JR15" s="314"/>
      <c r="JS15" s="314"/>
      <c r="JT15" s="314"/>
      <c r="JU15" s="314"/>
      <c r="JV15" s="314"/>
      <c r="JW15" s="314"/>
      <c r="JX15" s="314"/>
      <c r="JY15" s="314"/>
      <c r="JZ15" s="314"/>
      <c r="KA15" s="314"/>
      <c r="KB15" s="314"/>
      <c r="KC15" s="314"/>
      <c r="KD15" s="314"/>
      <c r="KE15" s="314"/>
      <c r="KF15" s="314"/>
      <c r="KG15" s="314"/>
      <c r="KH15" s="314"/>
      <c r="KI15" s="314"/>
      <c r="KJ15" s="314"/>
      <c r="KK15" s="314"/>
      <c r="KL15" s="314"/>
      <c r="KM15" s="314"/>
      <c r="KN15" s="314"/>
      <c r="KO15" s="314"/>
      <c r="KP15" s="314"/>
      <c r="KQ15" s="314"/>
      <c r="KR15" s="314"/>
      <c r="KS15" s="314"/>
      <c r="KT15" s="314"/>
      <c r="KU15" s="314"/>
      <c r="KV15" s="314"/>
      <c r="KW15" s="314"/>
      <c r="KX15" s="314"/>
      <c r="KY15" s="314"/>
      <c r="KZ15" s="314"/>
      <c r="LA15" s="314"/>
      <c r="LB15" s="314"/>
      <c r="LC15" s="314"/>
      <c r="LD15" s="314"/>
      <c r="LE15" s="314"/>
      <c r="LF15" s="314"/>
      <c r="LG15" s="314"/>
      <c r="LH15" s="314"/>
      <c r="LI15" s="314"/>
      <c r="LJ15" s="314"/>
      <c r="LK15" s="314"/>
      <c r="LL15" s="314"/>
      <c r="LM15" s="314"/>
      <c r="LN15" s="314"/>
      <c r="LO15" s="314"/>
      <c r="LP15" s="313"/>
      <c r="LQ15" s="314"/>
      <c r="LR15" s="314"/>
      <c r="LS15" s="314"/>
      <c r="LT15" s="314"/>
      <c r="LU15" s="313"/>
      <c r="LV15" s="314"/>
      <c r="LW15" s="314"/>
      <c r="LX15" s="314"/>
      <c r="LY15" s="314"/>
      <c r="LZ15" s="314"/>
      <c r="MA15" s="314"/>
      <c r="MB15" s="314"/>
      <c r="MC15" s="314"/>
      <c r="MD15" s="314"/>
      <c r="ME15" s="314"/>
      <c r="MF15" s="314"/>
      <c r="MG15" s="314"/>
      <c r="MH15" s="314"/>
      <c r="MI15" s="314"/>
      <c r="MJ15" s="314"/>
      <c r="MK15" s="314"/>
      <c r="ML15" s="314"/>
      <c r="MM15" s="314"/>
      <c r="MN15" s="314"/>
      <c r="MO15" s="314"/>
      <c r="MP15" s="314"/>
      <c r="MQ15" s="314"/>
      <c r="MR15" s="314"/>
      <c r="MS15" s="314"/>
      <c r="MT15" s="314"/>
      <c r="MU15" s="314"/>
      <c r="MV15" s="314"/>
      <c r="MW15" s="314"/>
      <c r="MX15" s="314"/>
      <c r="MY15" s="314"/>
      <c r="MZ15" s="314"/>
      <c r="NA15" s="314"/>
      <c r="NB15" s="314"/>
      <c r="NC15" s="313"/>
      <c r="ND15" s="313"/>
      <c r="NE15" s="314"/>
      <c r="NF15" s="314"/>
      <c r="NG15" s="314"/>
      <c r="NH15" s="314"/>
      <c r="NI15" s="314"/>
      <c r="NJ15" s="313"/>
    </row>
    <row r="16" spans="3:381" ht="20.100000000000001" customHeight="1" x14ac:dyDescent="0.25">
      <c r="C16" s="307"/>
      <c r="D16" s="308"/>
      <c r="E16" s="308"/>
      <c r="F16" s="309">
        <f t="shared" si="0"/>
        <v>1</v>
      </c>
      <c r="G16" s="310"/>
      <c r="H16" s="311" t="s">
        <v>564</v>
      </c>
      <c r="I16" s="312"/>
      <c r="J16" s="313"/>
      <c r="K16" s="314"/>
      <c r="L16" s="314"/>
      <c r="M16" s="314"/>
      <c r="N16" s="314"/>
      <c r="O16" s="314"/>
      <c r="P16" s="314"/>
      <c r="Q16" s="314"/>
      <c r="R16" s="314"/>
      <c r="S16" s="314"/>
      <c r="T16" s="314"/>
      <c r="U16" s="314"/>
      <c r="V16" s="314"/>
      <c r="W16" s="314"/>
      <c r="X16" s="314"/>
      <c r="Y16" s="314"/>
      <c r="Z16" s="314"/>
      <c r="AA16" s="314"/>
      <c r="AB16" s="314"/>
      <c r="AC16" s="314"/>
      <c r="AD16" s="314"/>
      <c r="AE16" s="314"/>
      <c r="AF16" s="314"/>
      <c r="AG16" s="314"/>
      <c r="AH16" s="314"/>
      <c r="AI16" s="314"/>
      <c r="AJ16" s="314"/>
      <c r="AK16" s="314"/>
      <c r="AL16" s="314"/>
      <c r="AM16" s="314"/>
      <c r="AN16" s="314"/>
      <c r="AO16" s="314"/>
      <c r="AP16" s="314"/>
      <c r="AQ16" s="314"/>
      <c r="AR16" s="314"/>
      <c r="AS16" s="314"/>
      <c r="AT16" s="314"/>
      <c r="AU16" s="314"/>
      <c r="AV16" s="314"/>
      <c r="AW16" s="314"/>
      <c r="AX16" s="314"/>
      <c r="AY16" s="314"/>
      <c r="AZ16" s="314"/>
      <c r="BA16" s="314"/>
      <c r="BB16" s="314"/>
      <c r="BC16" s="314"/>
      <c r="BD16" s="314"/>
      <c r="BE16" s="314"/>
      <c r="BF16" s="314"/>
      <c r="BG16" s="314"/>
      <c r="BH16" s="314"/>
      <c r="BI16" s="314"/>
      <c r="BJ16" s="314"/>
      <c r="BK16" s="314"/>
      <c r="BL16" s="314"/>
      <c r="BM16" s="314"/>
      <c r="BN16" s="314"/>
      <c r="BO16" s="314"/>
      <c r="BP16" s="314"/>
      <c r="BQ16" s="314"/>
      <c r="BR16" s="314"/>
      <c r="BS16" s="314"/>
      <c r="BT16" s="313"/>
      <c r="BU16" s="314"/>
      <c r="BV16" s="314"/>
      <c r="BW16" s="314"/>
      <c r="BX16" s="314"/>
      <c r="BY16" s="314"/>
      <c r="BZ16" s="314"/>
      <c r="CA16" s="314"/>
      <c r="CB16" s="314"/>
      <c r="CC16" s="314"/>
      <c r="CD16" s="314"/>
      <c r="CE16" s="314"/>
      <c r="CF16" s="315"/>
      <c r="CG16" s="314"/>
      <c r="CH16" s="314"/>
      <c r="CI16" s="314"/>
      <c r="CJ16" s="314"/>
      <c r="CK16" s="314"/>
      <c r="CL16" s="314"/>
      <c r="CM16" s="314"/>
      <c r="CN16" s="314"/>
      <c r="CO16" s="314"/>
      <c r="CP16" s="314"/>
      <c r="CQ16" s="314"/>
      <c r="CR16" s="314"/>
      <c r="CS16" s="313"/>
      <c r="CT16" s="314"/>
      <c r="CU16" s="314"/>
      <c r="CV16" s="314"/>
      <c r="CW16" s="314"/>
      <c r="CX16" s="314"/>
      <c r="CY16" s="314"/>
      <c r="CZ16" s="314"/>
      <c r="DA16" s="314"/>
      <c r="DB16" s="314"/>
      <c r="DC16" s="314"/>
      <c r="DD16" s="314"/>
      <c r="DE16" s="314"/>
      <c r="DF16" s="314"/>
      <c r="DG16" s="314"/>
      <c r="DH16" s="314"/>
      <c r="DI16" s="314"/>
      <c r="DJ16" s="314"/>
      <c r="DK16" s="314"/>
      <c r="DL16" s="314"/>
      <c r="DM16" s="313"/>
      <c r="DN16" s="314"/>
      <c r="DO16" s="314"/>
      <c r="DP16" s="313"/>
      <c r="DQ16" s="314"/>
      <c r="DR16" s="314"/>
      <c r="DS16" s="314"/>
      <c r="DT16" s="314"/>
      <c r="DU16" s="314"/>
      <c r="DV16" s="314"/>
      <c r="DW16" s="314"/>
      <c r="DX16" s="314"/>
      <c r="DY16" s="314"/>
      <c r="DZ16" s="313"/>
      <c r="EA16" s="314"/>
      <c r="EB16" s="314"/>
      <c r="EC16" s="314"/>
      <c r="ED16" s="314"/>
      <c r="EE16" s="314"/>
      <c r="EF16" s="314"/>
      <c r="EG16" s="314"/>
      <c r="EH16" s="314"/>
      <c r="EI16" s="314"/>
      <c r="EJ16" s="314"/>
      <c r="EK16" s="314"/>
      <c r="EL16" s="314"/>
      <c r="EM16" s="314"/>
      <c r="EN16" s="314"/>
      <c r="EO16" s="314"/>
      <c r="EP16" s="314"/>
      <c r="EQ16" s="314"/>
      <c r="ER16" s="314"/>
      <c r="ES16" s="314"/>
      <c r="ET16" s="314"/>
      <c r="EU16" s="314"/>
      <c r="EV16" s="314"/>
      <c r="EW16" s="314"/>
      <c r="EX16" s="314"/>
      <c r="EY16" s="314"/>
      <c r="EZ16" s="314"/>
      <c r="FA16" s="314"/>
      <c r="FB16" s="314"/>
      <c r="FC16" s="314"/>
      <c r="FD16" s="314"/>
      <c r="FE16" s="314"/>
      <c r="FF16" s="314"/>
      <c r="FG16" s="314"/>
      <c r="FH16" s="314"/>
      <c r="FI16" s="314"/>
      <c r="FJ16" s="314"/>
      <c r="FK16" s="314"/>
      <c r="FL16" s="314"/>
      <c r="FM16" s="314"/>
      <c r="FN16" s="314"/>
      <c r="FO16" s="314"/>
      <c r="FP16" s="314"/>
      <c r="FQ16" s="314"/>
      <c r="FR16" s="314"/>
      <c r="FS16" s="314"/>
      <c r="FT16" s="314"/>
      <c r="FU16" s="314"/>
      <c r="FV16" s="314"/>
      <c r="FW16" s="313"/>
      <c r="FX16" s="314"/>
      <c r="FY16" s="314"/>
      <c r="FZ16" s="314"/>
      <c r="GA16" s="314"/>
      <c r="GB16" s="314"/>
      <c r="GC16" s="314"/>
      <c r="GD16" s="314"/>
      <c r="GE16" s="314"/>
      <c r="GF16" s="314"/>
      <c r="GG16" s="314"/>
      <c r="GH16" s="314"/>
      <c r="GI16" s="314"/>
      <c r="GJ16" s="314"/>
      <c r="GK16" s="314"/>
      <c r="GL16" s="314"/>
      <c r="GM16" s="314"/>
      <c r="GN16" s="314"/>
      <c r="GO16" s="314"/>
      <c r="GP16" s="314"/>
      <c r="GQ16" s="313"/>
      <c r="GR16" s="314"/>
      <c r="GS16" s="314"/>
      <c r="GT16" s="314"/>
      <c r="GU16" s="314"/>
      <c r="GV16" s="314"/>
      <c r="GW16" s="314"/>
      <c r="GX16" s="314"/>
      <c r="GY16" s="314"/>
      <c r="GZ16" s="314"/>
      <c r="HA16" s="314"/>
      <c r="HB16" s="314"/>
      <c r="HC16" s="314"/>
      <c r="HD16" s="314"/>
      <c r="HE16" s="314"/>
      <c r="HF16" s="314"/>
      <c r="HG16" s="314"/>
      <c r="HH16" s="314"/>
      <c r="HI16" s="314"/>
      <c r="HJ16" s="316"/>
      <c r="HK16" s="314"/>
      <c r="HL16" s="314"/>
      <c r="HM16" s="314"/>
      <c r="HN16" s="314"/>
      <c r="HO16" s="314"/>
      <c r="HP16" s="314"/>
      <c r="HQ16" s="314"/>
      <c r="HR16" s="314"/>
      <c r="HS16" s="314"/>
      <c r="HT16" s="314"/>
      <c r="HU16" s="314"/>
      <c r="HV16" s="314"/>
      <c r="HW16" s="314"/>
      <c r="HX16" s="314"/>
      <c r="HY16" s="314"/>
      <c r="HZ16" s="314"/>
      <c r="IA16" s="314"/>
      <c r="IB16" s="314"/>
      <c r="IC16" s="314"/>
      <c r="ID16" s="314"/>
      <c r="IE16" s="314"/>
      <c r="IF16" s="314"/>
      <c r="IG16" s="314"/>
      <c r="IH16" s="314"/>
      <c r="II16" s="314"/>
      <c r="IJ16" s="314"/>
      <c r="IK16" s="314"/>
      <c r="IL16" s="314"/>
      <c r="IM16" s="314"/>
      <c r="IN16" s="314"/>
      <c r="IO16" s="314"/>
      <c r="IP16" s="314"/>
      <c r="IQ16" s="314"/>
      <c r="IR16" s="314"/>
      <c r="IS16" s="314"/>
      <c r="IT16" s="314"/>
      <c r="IU16" s="314"/>
      <c r="IV16" s="314"/>
      <c r="IW16" s="314"/>
      <c r="IX16" s="314"/>
      <c r="IY16" s="314"/>
      <c r="IZ16" s="314"/>
      <c r="JA16" s="314"/>
      <c r="JB16" s="314"/>
      <c r="JC16" s="314"/>
      <c r="JD16" s="314"/>
      <c r="JE16" s="314"/>
      <c r="JF16" s="314"/>
      <c r="JG16" s="314"/>
      <c r="JH16" s="314"/>
      <c r="JI16" s="314"/>
      <c r="JJ16" s="314"/>
      <c r="JK16" s="314"/>
      <c r="JL16" s="314"/>
      <c r="JM16" s="314"/>
      <c r="JN16" s="314"/>
      <c r="JO16" s="314"/>
      <c r="JP16" s="314"/>
      <c r="JQ16" s="314"/>
      <c r="JR16" s="314"/>
      <c r="JS16" s="314"/>
      <c r="JT16" s="314"/>
      <c r="JU16" s="314"/>
      <c r="JV16" s="314"/>
      <c r="JW16" s="314"/>
      <c r="JX16" s="314"/>
      <c r="JY16" s="314"/>
      <c r="JZ16" s="314"/>
      <c r="KA16" s="314"/>
      <c r="KB16" s="314"/>
      <c r="KC16" s="314"/>
      <c r="KD16" s="314"/>
      <c r="KE16" s="314"/>
      <c r="KF16" s="314"/>
      <c r="KG16" s="314"/>
      <c r="KH16" s="314"/>
      <c r="KI16" s="314"/>
      <c r="KJ16" s="314"/>
      <c r="KK16" s="314"/>
      <c r="KL16" s="314"/>
      <c r="KM16" s="314"/>
      <c r="KN16" s="314"/>
      <c r="KO16" s="314"/>
      <c r="KP16" s="314"/>
      <c r="KQ16" s="314"/>
      <c r="KR16" s="314"/>
      <c r="KS16" s="314"/>
      <c r="KT16" s="314"/>
      <c r="KU16" s="314"/>
      <c r="KV16" s="314"/>
      <c r="KW16" s="314"/>
      <c r="KX16" s="314"/>
      <c r="KY16" s="314"/>
      <c r="KZ16" s="314"/>
      <c r="LA16" s="314"/>
      <c r="LB16" s="314"/>
      <c r="LC16" s="314"/>
      <c r="LD16" s="314"/>
      <c r="LE16" s="314"/>
      <c r="LF16" s="314"/>
      <c r="LG16" s="314"/>
      <c r="LH16" s="314"/>
      <c r="LI16" s="314"/>
      <c r="LJ16" s="314"/>
      <c r="LK16" s="314"/>
      <c r="LL16" s="314"/>
      <c r="LM16" s="314"/>
      <c r="LN16" s="314"/>
      <c r="LO16" s="314"/>
      <c r="LP16" s="313"/>
      <c r="LQ16" s="314"/>
      <c r="LR16" s="314"/>
      <c r="LS16" s="314"/>
      <c r="LT16" s="314"/>
      <c r="LU16" s="313"/>
      <c r="LV16" s="314"/>
      <c r="LW16" s="314"/>
      <c r="LX16" s="314"/>
      <c r="LY16" s="314"/>
      <c r="LZ16" s="314"/>
      <c r="MA16" s="314"/>
      <c r="MB16" s="314"/>
      <c r="MC16" s="314"/>
      <c r="MD16" s="314"/>
      <c r="ME16" s="314"/>
      <c r="MF16" s="314"/>
      <c r="MG16" s="314"/>
      <c r="MH16" s="314"/>
      <c r="MI16" s="314"/>
      <c r="MJ16" s="314"/>
      <c r="MK16" s="314"/>
      <c r="ML16" s="314"/>
      <c r="MM16" s="314"/>
      <c r="MN16" s="314"/>
      <c r="MO16" s="314"/>
      <c r="MP16" s="314"/>
      <c r="MQ16" s="314"/>
      <c r="MR16" s="314"/>
      <c r="MS16" s="314"/>
      <c r="MT16" s="314"/>
      <c r="MU16" s="314"/>
      <c r="MV16" s="314"/>
      <c r="MW16" s="314"/>
      <c r="MX16" s="314"/>
      <c r="MY16" s="314"/>
      <c r="MZ16" s="314"/>
      <c r="NA16" s="314"/>
      <c r="NB16" s="314"/>
      <c r="NC16" s="313"/>
      <c r="ND16" s="313"/>
      <c r="NE16" s="314"/>
      <c r="NF16" s="314"/>
      <c r="NG16" s="314"/>
      <c r="NH16" s="314"/>
      <c r="NI16" s="314"/>
      <c r="NJ16" s="313"/>
      <c r="NK16" s="292"/>
      <c r="NL16" s="292"/>
      <c r="NM16" s="292"/>
      <c r="NN16" s="292"/>
      <c r="NO16" s="292"/>
      <c r="NP16" s="292"/>
      <c r="NQ16" s="292"/>
    </row>
    <row r="17" spans="3:381" ht="20.100000000000001" customHeight="1" x14ac:dyDescent="0.25">
      <c r="C17" s="307"/>
      <c r="D17" s="308"/>
      <c r="E17" s="308"/>
      <c r="F17" s="309">
        <f t="shared" si="0"/>
        <v>1</v>
      </c>
      <c r="G17" s="310"/>
      <c r="H17" s="311" t="s">
        <v>564</v>
      </c>
      <c r="I17" s="312"/>
      <c r="J17" s="313"/>
      <c r="K17" s="314"/>
      <c r="L17" s="314"/>
      <c r="M17" s="314"/>
      <c r="N17" s="314"/>
      <c r="O17" s="314"/>
      <c r="P17" s="314"/>
      <c r="Q17" s="314"/>
      <c r="R17" s="314"/>
      <c r="S17" s="314"/>
      <c r="T17" s="314"/>
      <c r="U17" s="314"/>
      <c r="V17" s="314"/>
      <c r="W17" s="314"/>
      <c r="X17" s="314"/>
      <c r="Y17" s="314"/>
      <c r="Z17" s="314"/>
      <c r="AA17" s="314"/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4"/>
      <c r="AO17" s="314"/>
      <c r="AP17" s="314"/>
      <c r="AQ17" s="314"/>
      <c r="AR17" s="314"/>
      <c r="AS17" s="314"/>
      <c r="AT17" s="314"/>
      <c r="AU17" s="314"/>
      <c r="AV17" s="314"/>
      <c r="AW17" s="314"/>
      <c r="AX17" s="314"/>
      <c r="AY17" s="314"/>
      <c r="AZ17" s="314"/>
      <c r="BA17" s="314"/>
      <c r="BB17" s="314"/>
      <c r="BC17" s="314"/>
      <c r="BD17" s="314"/>
      <c r="BE17" s="314"/>
      <c r="BF17" s="314"/>
      <c r="BG17" s="314"/>
      <c r="BH17" s="314"/>
      <c r="BI17" s="314"/>
      <c r="BJ17" s="314"/>
      <c r="BK17" s="314"/>
      <c r="BL17" s="314"/>
      <c r="BM17" s="314"/>
      <c r="BN17" s="314"/>
      <c r="BO17" s="314"/>
      <c r="BP17" s="314"/>
      <c r="BQ17" s="314"/>
      <c r="BR17" s="314"/>
      <c r="BS17" s="314"/>
      <c r="BT17" s="313"/>
      <c r="BU17" s="314"/>
      <c r="BV17" s="314"/>
      <c r="BW17" s="314"/>
      <c r="BX17" s="314"/>
      <c r="BY17" s="314"/>
      <c r="BZ17" s="314"/>
      <c r="CA17" s="314"/>
      <c r="CB17" s="314"/>
      <c r="CC17" s="314"/>
      <c r="CD17" s="314"/>
      <c r="CE17" s="314"/>
      <c r="CF17" s="315"/>
      <c r="CG17" s="314"/>
      <c r="CH17" s="314"/>
      <c r="CI17" s="314"/>
      <c r="CJ17" s="314"/>
      <c r="CK17" s="314"/>
      <c r="CL17" s="314"/>
      <c r="CM17" s="314"/>
      <c r="CN17" s="314"/>
      <c r="CO17" s="314"/>
      <c r="CP17" s="314"/>
      <c r="CQ17" s="314"/>
      <c r="CR17" s="314"/>
      <c r="CS17" s="313"/>
      <c r="CT17" s="314"/>
      <c r="CU17" s="314"/>
      <c r="CV17" s="314"/>
      <c r="CW17" s="314"/>
      <c r="CX17" s="314"/>
      <c r="CY17" s="314"/>
      <c r="CZ17" s="314"/>
      <c r="DA17" s="314"/>
      <c r="DB17" s="314"/>
      <c r="DC17" s="314"/>
      <c r="DD17" s="314"/>
      <c r="DE17" s="314"/>
      <c r="DF17" s="314"/>
      <c r="DG17" s="314"/>
      <c r="DH17" s="314"/>
      <c r="DI17" s="314"/>
      <c r="DJ17" s="314"/>
      <c r="DK17" s="314"/>
      <c r="DL17" s="314"/>
      <c r="DM17" s="313"/>
      <c r="DN17" s="314"/>
      <c r="DO17" s="314"/>
      <c r="DP17" s="313"/>
      <c r="DQ17" s="314"/>
      <c r="DR17" s="314"/>
      <c r="DS17" s="314"/>
      <c r="DT17" s="314"/>
      <c r="DU17" s="314"/>
      <c r="DV17" s="314"/>
      <c r="DW17" s="314"/>
      <c r="DX17" s="314"/>
      <c r="DY17" s="314"/>
      <c r="DZ17" s="313"/>
      <c r="EA17" s="314"/>
      <c r="EB17" s="314"/>
      <c r="EC17" s="314"/>
      <c r="ED17" s="314"/>
      <c r="EE17" s="314"/>
      <c r="EF17" s="314"/>
      <c r="EG17" s="314"/>
      <c r="EH17" s="314"/>
      <c r="EI17" s="314"/>
      <c r="EJ17" s="314"/>
      <c r="EK17" s="314"/>
      <c r="EL17" s="314"/>
      <c r="EM17" s="314"/>
      <c r="EN17" s="314"/>
      <c r="EO17" s="314"/>
      <c r="EP17" s="314"/>
      <c r="EQ17" s="314"/>
      <c r="ER17" s="314"/>
      <c r="ES17" s="314"/>
      <c r="ET17" s="314"/>
      <c r="EU17" s="314"/>
      <c r="EV17" s="314"/>
      <c r="EW17" s="314"/>
      <c r="EX17" s="314"/>
      <c r="EY17" s="314"/>
      <c r="EZ17" s="314"/>
      <c r="FA17" s="314"/>
      <c r="FB17" s="314"/>
      <c r="FC17" s="314"/>
      <c r="FD17" s="314"/>
      <c r="FE17" s="314"/>
      <c r="FF17" s="314"/>
      <c r="FG17" s="314"/>
      <c r="FH17" s="314"/>
      <c r="FI17" s="314"/>
      <c r="FJ17" s="314"/>
      <c r="FK17" s="314"/>
      <c r="FL17" s="314"/>
      <c r="FM17" s="314"/>
      <c r="FN17" s="314"/>
      <c r="FO17" s="314"/>
      <c r="FP17" s="314"/>
      <c r="FQ17" s="314"/>
      <c r="FR17" s="314"/>
      <c r="FS17" s="314"/>
      <c r="FT17" s="314"/>
      <c r="FU17" s="314"/>
      <c r="FV17" s="314"/>
      <c r="FW17" s="313"/>
      <c r="FX17" s="314"/>
      <c r="FY17" s="314"/>
      <c r="FZ17" s="314"/>
      <c r="GA17" s="314"/>
      <c r="GB17" s="314"/>
      <c r="GC17" s="314"/>
      <c r="GD17" s="314"/>
      <c r="GE17" s="314"/>
      <c r="GF17" s="314"/>
      <c r="GG17" s="314"/>
      <c r="GH17" s="314"/>
      <c r="GI17" s="314"/>
      <c r="GJ17" s="314"/>
      <c r="GK17" s="314"/>
      <c r="GL17" s="314"/>
      <c r="GM17" s="314"/>
      <c r="GN17" s="314"/>
      <c r="GO17" s="314"/>
      <c r="GP17" s="314"/>
      <c r="GQ17" s="313"/>
      <c r="GR17" s="314"/>
      <c r="GS17" s="314"/>
      <c r="GT17" s="314"/>
      <c r="GU17" s="314"/>
      <c r="GV17" s="314"/>
      <c r="GW17" s="314"/>
      <c r="GX17" s="314"/>
      <c r="GY17" s="314"/>
      <c r="GZ17" s="314"/>
      <c r="HA17" s="314"/>
      <c r="HB17" s="314"/>
      <c r="HC17" s="314"/>
      <c r="HD17" s="314"/>
      <c r="HE17" s="314"/>
      <c r="HF17" s="314"/>
      <c r="HG17" s="314"/>
      <c r="HH17" s="314"/>
      <c r="HI17" s="314"/>
      <c r="HJ17" s="314"/>
      <c r="HK17" s="314"/>
      <c r="HL17" s="314"/>
      <c r="HM17" s="314"/>
      <c r="HN17" s="314"/>
      <c r="HO17" s="314"/>
      <c r="HP17" s="314"/>
      <c r="HQ17" s="314"/>
      <c r="HR17" s="314"/>
      <c r="HS17" s="314"/>
      <c r="HT17" s="314"/>
      <c r="HU17" s="314"/>
      <c r="HV17" s="314"/>
      <c r="HW17" s="314"/>
      <c r="HX17" s="314"/>
      <c r="HY17" s="314"/>
      <c r="HZ17" s="314"/>
      <c r="IA17" s="314"/>
      <c r="IB17" s="314"/>
      <c r="IC17" s="314"/>
      <c r="ID17" s="314"/>
      <c r="IE17" s="314"/>
      <c r="IF17" s="314"/>
      <c r="IG17" s="314"/>
      <c r="IH17" s="314"/>
      <c r="II17" s="314"/>
      <c r="IJ17" s="314"/>
      <c r="IK17" s="314"/>
      <c r="IL17" s="314"/>
      <c r="IM17" s="314"/>
      <c r="IN17" s="314"/>
      <c r="IO17" s="314"/>
      <c r="IP17" s="314"/>
      <c r="IQ17" s="314"/>
      <c r="IR17" s="314"/>
      <c r="IS17" s="314"/>
      <c r="IT17" s="314"/>
      <c r="IU17" s="314"/>
      <c r="IV17" s="314"/>
      <c r="IW17" s="314"/>
      <c r="IX17" s="314"/>
      <c r="IY17" s="314"/>
      <c r="IZ17" s="314"/>
      <c r="JA17" s="314"/>
      <c r="JB17" s="314"/>
      <c r="JC17" s="314"/>
      <c r="JD17" s="314"/>
      <c r="JE17" s="314"/>
      <c r="JF17" s="314"/>
      <c r="JG17" s="314"/>
      <c r="JH17" s="314"/>
      <c r="JI17" s="314"/>
      <c r="JJ17" s="314"/>
      <c r="JK17" s="314"/>
      <c r="JL17" s="314"/>
      <c r="JM17" s="314"/>
      <c r="JN17" s="314"/>
      <c r="JO17" s="314"/>
      <c r="JP17" s="314"/>
      <c r="JQ17" s="314"/>
      <c r="JR17" s="314"/>
      <c r="JS17" s="314"/>
      <c r="JT17" s="314"/>
      <c r="JU17" s="314"/>
      <c r="JV17" s="314"/>
      <c r="JW17" s="314"/>
      <c r="JX17" s="314"/>
      <c r="JY17" s="314"/>
      <c r="JZ17" s="314"/>
      <c r="KA17" s="314"/>
      <c r="KB17" s="314"/>
      <c r="KC17" s="314"/>
      <c r="KD17" s="314"/>
      <c r="KE17" s="314"/>
      <c r="KF17" s="314"/>
      <c r="KG17" s="314"/>
      <c r="KH17" s="314"/>
      <c r="KI17" s="314"/>
      <c r="KJ17" s="314"/>
      <c r="KK17" s="314"/>
      <c r="KL17" s="314"/>
      <c r="KM17" s="314"/>
      <c r="KN17" s="314"/>
      <c r="KO17" s="314"/>
      <c r="KP17" s="314"/>
      <c r="KQ17" s="314"/>
      <c r="KR17" s="314"/>
      <c r="KS17" s="314"/>
      <c r="KT17" s="314"/>
      <c r="KU17" s="314"/>
      <c r="KV17" s="314"/>
      <c r="KW17" s="314"/>
      <c r="KX17" s="314"/>
      <c r="KY17" s="314"/>
      <c r="KZ17" s="314"/>
      <c r="LA17" s="314"/>
      <c r="LB17" s="314"/>
      <c r="LC17" s="314"/>
      <c r="LD17" s="314"/>
      <c r="LE17" s="314"/>
      <c r="LF17" s="314"/>
      <c r="LG17" s="314"/>
      <c r="LH17" s="314"/>
      <c r="LI17" s="314"/>
      <c r="LJ17" s="314"/>
      <c r="LK17" s="314"/>
      <c r="LL17" s="314"/>
      <c r="LM17" s="314"/>
      <c r="LN17" s="314"/>
      <c r="LO17" s="314"/>
      <c r="LP17" s="313"/>
      <c r="LQ17" s="314"/>
      <c r="LR17" s="314"/>
      <c r="LS17" s="314"/>
      <c r="LT17" s="314"/>
      <c r="LU17" s="313"/>
      <c r="LV17" s="314"/>
      <c r="LW17" s="314"/>
      <c r="LX17" s="314"/>
      <c r="LY17" s="314"/>
      <c r="LZ17" s="314"/>
      <c r="MA17" s="314"/>
      <c r="MB17" s="314"/>
      <c r="MC17" s="314"/>
      <c r="MD17" s="314"/>
      <c r="ME17" s="314"/>
      <c r="MF17" s="314"/>
      <c r="MG17" s="314"/>
      <c r="MH17" s="314"/>
      <c r="MI17" s="314"/>
      <c r="MJ17" s="314"/>
      <c r="MK17" s="314"/>
      <c r="ML17" s="314"/>
      <c r="MM17" s="314"/>
      <c r="MN17" s="314"/>
      <c r="MO17" s="314"/>
      <c r="MP17" s="314"/>
      <c r="MQ17" s="314"/>
      <c r="MR17" s="314"/>
      <c r="MS17" s="314"/>
      <c r="MT17" s="314"/>
      <c r="MU17" s="314"/>
      <c r="MV17" s="314"/>
      <c r="MW17" s="314"/>
      <c r="MX17" s="314"/>
      <c r="MY17" s="314"/>
      <c r="MZ17" s="314"/>
      <c r="NA17" s="314"/>
      <c r="NB17" s="314"/>
      <c r="NC17" s="313"/>
      <c r="ND17" s="313"/>
      <c r="NE17" s="314"/>
      <c r="NF17" s="314"/>
      <c r="NG17" s="314"/>
      <c r="NH17" s="314"/>
      <c r="NI17" s="314"/>
      <c r="NJ17" s="313"/>
    </row>
    <row r="18" spans="3:381" ht="20.100000000000001" customHeight="1" x14ac:dyDescent="0.25">
      <c r="C18" s="307"/>
      <c r="D18" s="308"/>
      <c r="E18" s="308"/>
      <c r="F18" s="309">
        <f t="shared" si="0"/>
        <v>1</v>
      </c>
      <c r="G18" s="310"/>
      <c r="H18" s="311" t="s">
        <v>564</v>
      </c>
      <c r="I18" s="312"/>
      <c r="J18" s="313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314"/>
      <c r="AC18" s="314"/>
      <c r="AD18" s="314"/>
      <c r="AE18" s="314"/>
      <c r="AF18" s="314"/>
      <c r="AG18" s="314"/>
      <c r="AH18" s="314"/>
      <c r="AI18" s="314"/>
      <c r="AJ18" s="314"/>
      <c r="AK18" s="314"/>
      <c r="AL18" s="314"/>
      <c r="AM18" s="314"/>
      <c r="AN18" s="314"/>
      <c r="AO18" s="314"/>
      <c r="AP18" s="314"/>
      <c r="AQ18" s="314"/>
      <c r="AR18" s="314"/>
      <c r="AS18" s="314"/>
      <c r="AT18" s="314"/>
      <c r="AU18" s="314"/>
      <c r="AV18" s="314"/>
      <c r="AW18" s="314"/>
      <c r="AX18" s="314"/>
      <c r="AY18" s="314"/>
      <c r="AZ18" s="314"/>
      <c r="BA18" s="314"/>
      <c r="BB18" s="314"/>
      <c r="BC18" s="314"/>
      <c r="BD18" s="314"/>
      <c r="BE18" s="314"/>
      <c r="BF18" s="314"/>
      <c r="BG18" s="314"/>
      <c r="BH18" s="314"/>
      <c r="BI18" s="314"/>
      <c r="BJ18" s="314"/>
      <c r="BK18" s="314"/>
      <c r="BL18" s="314"/>
      <c r="BM18" s="314"/>
      <c r="BN18" s="314"/>
      <c r="BO18" s="314"/>
      <c r="BP18" s="314"/>
      <c r="BQ18" s="314"/>
      <c r="BR18" s="314"/>
      <c r="BS18" s="314"/>
      <c r="BT18" s="313"/>
      <c r="BU18" s="314"/>
      <c r="BV18" s="314"/>
      <c r="BW18" s="314"/>
      <c r="BX18" s="314"/>
      <c r="BY18" s="314"/>
      <c r="BZ18" s="314"/>
      <c r="CA18" s="314"/>
      <c r="CB18" s="314"/>
      <c r="CC18" s="314"/>
      <c r="CD18" s="314"/>
      <c r="CE18" s="314"/>
      <c r="CF18" s="315"/>
      <c r="CG18" s="314"/>
      <c r="CH18" s="314"/>
      <c r="CI18" s="314"/>
      <c r="CJ18" s="314"/>
      <c r="CK18" s="314"/>
      <c r="CL18" s="314"/>
      <c r="CM18" s="314"/>
      <c r="CN18" s="314"/>
      <c r="CO18" s="314"/>
      <c r="CP18" s="314"/>
      <c r="CQ18" s="314"/>
      <c r="CR18" s="314"/>
      <c r="CS18" s="313"/>
      <c r="CT18" s="314"/>
      <c r="CU18" s="314"/>
      <c r="CV18" s="314"/>
      <c r="CW18" s="314"/>
      <c r="CX18" s="314"/>
      <c r="CY18" s="314"/>
      <c r="CZ18" s="314"/>
      <c r="DA18" s="314"/>
      <c r="DB18" s="314"/>
      <c r="DC18" s="314"/>
      <c r="DD18" s="314"/>
      <c r="DE18" s="314"/>
      <c r="DF18" s="314"/>
      <c r="DG18" s="314"/>
      <c r="DH18" s="314"/>
      <c r="DI18" s="314"/>
      <c r="DJ18" s="314"/>
      <c r="DK18" s="314"/>
      <c r="DL18" s="314"/>
      <c r="DM18" s="313"/>
      <c r="DN18" s="314"/>
      <c r="DO18" s="314"/>
      <c r="DP18" s="313"/>
      <c r="DQ18" s="314"/>
      <c r="DR18" s="314"/>
      <c r="DS18" s="314"/>
      <c r="DT18" s="314"/>
      <c r="DU18" s="314"/>
      <c r="DV18" s="314"/>
      <c r="DW18" s="314"/>
      <c r="DX18" s="314"/>
      <c r="DY18" s="314"/>
      <c r="DZ18" s="313"/>
      <c r="EA18" s="314"/>
      <c r="EB18" s="314"/>
      <c r="EC18" s="314"/>
      <c r="ED18" s="314"/>
      <c r="EE18" s="314"/>
      <c r="EF18" s="314"/>
      <c r="EG18" s="314"/>
      <c r="EH18" s="314"/>
      <c r="EI18" s="314"/>
      <c r="EJ18" s="314"/>
      <c r="EK18" s="314"/>
      <c r="EL18" s="314"/>
      <c r="EM18" s="314"/>
      <c r="EN18" s="314"/>
      <c r="EO18" s="314"/>
      <c r="EP18" s="314"/>
      <c r="EQ18" s="314"/>
      <c r="ER18" s="314"/>
      <c r="ES18" s="314"/>
      <c r="ET18" s="314"/>
      <c r="EU18" s="314"/>
      <c r="EV18" s="314"/>
      <c r="EW18" s="314"/>
      <c r="EX18" s="314"/>
      <c r="EY18" s="314"/>
      <c r="EZ18" s="314"/>
      <c r="FA18" s="314"/>
      <c r="FB18" s="314"/>
      <c r="FC18" s="314"/>
      <c r="FD18" s="314"/>
      <c r="FE18" s="314"/>
      <c r="FF18" s="314"/>
      <c r="FG18" s="314"/>
      <c r="FH18" s="314"/>
      <c r="FI18" s="314"/>
      <c r="FJ18" s="314"/>
      <c r="FK18" s="314"/>
      <c r="FL18" s="314"/>
      <c r="FM18" s="314"/>
      <c r="FN18" s="314"/>
      <c r="FO18" s="314"/>
      <c r="FP18" s="314"/>
      <c r="FQ18" s="314"/>
      <c r="FR18" s="314"/>
      <c r="FS18" s="314"/>
      <c r="FT18" s="314"/>
      <c r="FU18" s="314"/>
      <c r="FV18" s="314"/>
      <c r="FW18" s="313"/>
      <c r="FX18" s="314"/>
      <c r="FY18" s="314"/>
      <c r="FZ18" s="314"/>
      <c r="GA18" s="314"/>
      <c r="GB18" s="314"/>
      <c r="GC18" s="314"/>
      <c r="GD18" s="314"/>
      <c r="GE18" s="314"/>
      <c r="GF18" s="314"/>
      <c r="GG18" s="314"/>
      <c r="GH18" s="314"/>
      <c r="GI18" s="314"/>
      <c r="GJ18" s="314"/>
      <c r="GK18" s="314"/>
      <c r="GL18" s="314"/>
      <c r="GM18" s="314"/>
      <c r="GN18" s="314"/>
      <c r="GO18" s="314"/>
      <c r="GP18" s="314"/>
      <c r="GQ18" s="313"/>
      <c r="GR18" s="314"/>
      <c r="GS18" s="314"/>
      <c r="GT18" s="314"/>
      <c r="GU18" s="314"/>
      <c r="GV18" s="314"/>
      <c r="GW18" s="314"/>
      <c r="GX18" s="314"/>
      <c r="GY18" s="314"/>
      <c r="GZ18" s="314"/>
      <c r="HA18" s="314"/>
      <c r="HB18" s="314"/>
      <c r="HC18" s="314"/>
      <c r="HD18" s="314"/>
      <c r="HE18" s="314"/>
      <c r="HF18" s="314"/>
      <c r="HG18" s="314"/>
      <c r="HH18" s="314"/>
      <c r="HI18" s="314"/>
      <c r="HJ18" s="314"/>
      <c r="HK18" s="314"/>
      <c r="HL18" s="314"/>
      <c r="HM18" s="314"/>
      <c r="HN18" s="314"/>
      <c r="HO18" s="314"/>
      <c r="HP18" s="314"/>
      <c r="HQ18" s="314"/>
      <c r="HR18" s="314"/>
      <c r="HS18" s="314"/>
      <c r="HT18" s="314"/>
      <c r="HU18" s="314"/>
      <c r="HV18" s="314"/>
      <c r="HW18" s="314"/>
      <c r="HX18" s="314"/>
      <c r="HY18" s="314"/>
      <c r="HZ18" s="314"/>
      <c r="IA18" s="314"/>
      <c r="IB18" s="314"/>
      <c r="IC18" s="314"/>
      <c r="ID18" s="314"/>
      <c r="IE18" s="314"/>
      <c r="IF18" s="314"/>
      <c r="IG18" s="314"/>
      <c r="IH18" s="314"/>
      <c r="II18" s="314"/>
      <c r="IJ18" s="314"/>
      <c r="IK18" s="314"/>
      <c r="IL18" s="314"/>
      <c r="IM18" s="314"/>
      <c r="IN18" s="314"/>
      <c r="IO18" s="314"/>
      <c r="IP18" s="314"/>
      <c r="IQ18" s="314"/>
      <c r="IR18" s="314"/>
      <c r="IS18" s="314"/>
      <c r="IT18" s="314"/>
      <c r="IU18" s="314"/>
      <c r="IV18" s="314"/>
      <c r="IW18" s="314"/>
      <c r="IX18" s="314"/>
      <c r="IY18" s="314"/>
      <c r="IZ18" s="314"/>
      <c r="JA18" s="314"/>
      <c r="JB18" s="314"/>
      <c r="JC18" s="314"/>
      <c r="JD18" s="314"/>
      <c r="JE18" s="314"/>
      <c r="JF18" s="314"/>
      <c r="JG18" s="314"/>
      <c r="JH18" s="314"/>
      <c r="JI18" s="314"/>
      <c r="JJ18" s="314"/>
      <c r="JK18" s="314"/>
      <c r="JL18" s="314"/>
      <c r="JM18" s="314"/>
      <c r="JN18" s="314"/>
      <c r="JO18" s="314"/>
      <c r="JP18" s="314"/>
      <c r="JQ18" s="314"/>
      <c r="JR18" s="314"/>
      <c r="JS18" s="314"/>
      <c r="JT18" s="314"/>
      <c r="JU18" s="314"/>
      <c r="JV18" s="314"/>
      <c r="JW18" s="314"/>
      <c r="JX18" s="314"/>
      <c r="JY18" s="314"/>
      <c r="JZ18" s="314"/>
      <c r="KA18" s="314"/>
      <c r="KB18" s="314"/>
      <c r="KC18" s="314"/>
      <c r="KD18" s="314"/>
      <c r="KE18" s="314"/>
      <c r="KF18" s="314"/>
      <c r="KG18" s="314"/>
      <c r="KH18" s="314"/>
      <c r="KI18" s="314"/>
      <c r="KJ18" s="314"/>
      <c r="KK18" s="314"/>
      <c r="KL18" s="314"/>
      <c r="KM18" s="314"/>
      <c r="KN18" s="314"/>
      <c r="KO18" s="314"/>
      <c r="KP18" s="314"/>
      <c r="KQ18" s="314"/>
      <c r="KR18" s="314"/>
      <c r="KS18" s="314"/>
      <c r="KT18" s="314"/>
      <c r="KU18" s="314"/>
      <c r="KV18" s="314"/>
      <c r="KW18" s="314"/>
      <c r="KX18" s="314"/>
      <c r="KY18" s="314"/>
      <c r="KZ18" s="314"/>
      <c r="LA18" s="314"/>
      <c r="LB18" s="314"/>
      <c r="LC18" s="314"/>
      <c r="LD18" s="314"/>
      <c r="LE18" s="314"/>
      <c r="LF18" s="314"/>
      <c r="LG18" s="314"/>
      <c r="LH18" s="314"/>
      <c r="LI18" s="314"/>
      <c r="LJ18" s="314"/>
      <c r="LK18" s="314"/>
      <c r="LL18" s="314"/>
      <c r="LM18" s="314"/>
      <c r="LN18" s="314"/>
      <c r="LO18" s="314"/>
      <c r="LP18" s="313"/>
      <c r="LQ18" s="314"/>
      <c r="LR18" s="314"/>
      <c r="LS18" s="314"/>
      <c r="LT18" s="314"/>
      <c r="LU18" s="313"/>
      <c r="LV18" s="314"/>
      <c r="LW18" s="314"/>
      <c r="LX18" s="314"/>
      <c r="LY18" s="314"/>
      <c r="LZ18" s="314"/>
      <c r="MA18" s="314"/>
      <c r="MB18" s="314"/>
      <c r="MC18" s="314"/>
      <c r="MD18" s="314"/>
      <c r="ME18" s="314"/>
      <c r="MF18" s="314"/>
      <c r="MG18" s="314"/>
      <c r="MH18" s="314"/>
      <c r="MI18" s="314"/>
      <c r="MJ18" s="314"/>
      <c r="MK18" s="314"/>
      <c r="ML18" s="314"/>
      <c r="MM18" s="314"/>
      <c r="MN18" s="314"/>
      <c r="MO18" s="314"/>
      <c r="MP18" s="314"/>
      <c r="MQ18" s="314"/>
      <c r="MR18" s="314"/>
      <c r="MS18" s="314"/>
      <c r="MT18" s="314"/>
      <c r="MU18" s="314"/>
      <c r="MV18" s="314"/>
      <c r="MW18" s="314"/>
      <c r="MX18" s="314"/>
      <c r="MY18" s="314"/>
      <c r="MZ18" s="314"/>
      <c r="NA18" s="314"/>
      <c r="NB18" s="314"/>
      <c r="NC18" s="313"/>
      <c r="ND18" s="313"/>
      <c r="NE18" s="314"/>
      <c r="NF18" s="314"/>
      <c r="NG18" s="314"/>
      <c r="NH18" s="314"/>
      <c r="NI18" s="314"/>
      <c r="NJ18" s="313"/>
      <c r="NK18" s="292"/>
      <c r="NL18" s="292"/>
      <c r="NM18" s="292"/>
      <c r="NN18" s="292"/>
      <c r="NO18" s="292"/>
      <c r="NP18" s="292"/>
      <c r="NQ18" s="292"/>
    </row>
    <row r="19" spans="3:381" ht="20.100000000000001" customHeight="1" x14ac:dyDescent="0.25">
      <c r="C19" s="307"/>
      <c r="D19" s="308"/>
      <c r="E19" s="308"/>
      <c r="F19" s="309">
        <f t="shared" si="0"/>
        <v>1</v>
      </c>
      <c r="G19" s="310"/>
      <c r="H19" s="311" t="s">
        <v>564</v>
      </c>
      <c r="I19" s="312"/>
      <c r="J19" s="313"/>
      <c r="K19" s="314"/>
      <c r="L19" s="314"/>
      <c r="M19" s="314"/>
      <c r="N19" s="314"/>
      <c r="O19" s="314"/>
      <c r="P19" s="314"/>
      <c r="Q19" s="314"/>
      <c r="R19" s="314"/>
      <c r="S19" s="314"/>
      <c r="T19" s="314"/>
      <c r="U19" s="314"/>
      <c r="V19" s="314"/>
      <c r="W19" s="314"/>
      <c r="X19" s="314"/>
      <c r="Y19" s="314"/>
      <c r="Z19" s="314"/>
      <c r="AA19" s="314"/>
      <c r="AB19" s="314"/>
      <c r="AC19" s="314"/>
      <c r="AD19" s="314"/>
      <c r="AE19" s="314"/>
      <c r="AF19" s="314"/>
      <c r="AG19" s="314"/>
      <c r="AH19" s="314"/>
      <c r="AI19" s="314"/>
      <c r="AJ19" s="314"/>
      <c r="AK19" s="314"/>
      <c r="AL19" s="314"/>
      <c r="AM19" s="314"/>
      <c r="AN19" s="314"/>
      <c r="AO19" s="314"/>
      <c r="AP19" s="314"/>
      <c r="AQ19" s="314"/>
      <c r="AR19" s="314"/>
      <c r="AS19" s="314"/>
      <c r="AT19" s="314"/>
      <c r="AU19" s="314"/>
      <c r="AV19" s="314"/>
      <c r="AW19" s="314"/>
      <c r="AX19" s="314"/>
      <c r="AY19" s="314"/>
      <c r="AZ19" s="314"/>
      <c r="BA19" s="314"/>
      <c r="BB19" s="314"/>
      <c r="BC19" s="314"/>
      <c r="BD19" s="314"/>
      <c r="BE19" s="314"/>
      <c r="BF19" s="314"/>
      <c r="BG19" s="314"/>
      <c r="BH19" s="314"/>
      <c r="BI19" s="314"/>
      <c r="BJ19" s="314"/>
      <c r="BK19" s="314"/>
      <c r="BL19" s="314"/>
      <c r="BM19" s="314"/>
      <c r="BN19" s="314"/>
      <c r="BO19" s="314"/>
      <c r="BP19" s="314"/>
      <c r="BQ19" s="314"/>
      <c r="BR19" s="314"/>
      <c r="BS19" s="314"/>
      <c r="BT19" s="313"/>
      <c r="BU19" s="314"/>
      <c r="BV19" s="314"/>
      <c r="BW19" s="314"/>
      <c r="BX19" s="314"/>
      <c r="BY19" s="314"/>
      <c r="BZ19" s="314"/>
      <c r="CA19" s="314"/>
      <c r="CB19" s="314"/>
      <c r="CC19" s="314"/>
      <c r="CD19" s="314"/>
      <c r="CE19" s="314"/>
      <c r="CF19" s="315"/>
      <c r="CG19" s="314"/>
      <c r="CH19" s="314"/>
      <c r="CI19" s="314"/>
      <c r="CJ19" s="314"/>
      <c r="CK19" s="314"/>
      <c r="CL19" s="314"/>
      <c r="CM19" s="314"/>
      <c r="CN19" s="314"/>
      <c r="CO19" s="314"/>
      <c r="CP19" s="314"/>
      <c r="CQ19" s="314"/>
      <c r="CR19" s="314"/>
      <c r="CS19" s="313"/>
      <c r="CT19" s="314"/>
      <c r="CU19" s="314"/>
      <c r="CV19" s="314"/>
      <c r="CW19" s="314"/>
      <c r="CX19" s="314"/>
      <c r="CY19" s="314"/>
      <c r="CZ19" s="314"/>
      <c r="DA19" s="314"/>
      <c r="DB19" s="314"/>
      <c r="DC19" s="314"/>
      <c r="DD19" s="314"/>
      <c r="DE19" s="314"/>
      <c r="DF19" s="314"/>
      <c r="DG19" s="314"/>
      <c r="DH19" s="314"/>
      <c r="DI19" s="314"/>
      <c r="DJ19" s="314"/>
      <c r="DK19" s="314"/>
      <c r="DL19" s="314"/>
      <c r="DM19" s="313"/>
      <c r="DN19" s="314"/>
      <c r="DO19" s="314"/>
      <c r="DP19" s="313"/>
      <c r="DQ19" s="314"/>
      <c r="DR19" s="314"/>
      <c r="DS19" s="314"/>
      <c r="DT19" s="314"/>
      <c r="DU19" s="314"/>
      <c r="DV19" s="314"/>
      <c r="DW19" s="314"/>
      <c r="DX19" s="314"/>
      <c r="DY19" s="314"/>
      <c r="DZ19" s="313"/>
      <c r="EA19" s="314"/>
      <c r="EB19" s="314"/>
      <c r="EC19" s="314"/>
      <c r="ED19" s="314"/>
      <c r="EE19" s="314"/>
      <c r="EF19" s="314"/>
      <c r="EG19" s="314"/>
      <c r="EH19" s="314"/>
      <c r="EI19" s="314"/>
      <c r="EJ19" s="314"/>
      <c r="EK19" s="314"/>
      <c r="EL19" s="314"/>
      <c r="EM19" s="314"/>
      <c r="EN19" s="314"/>
      <c r="EO19" s="314"/>
      <c r="EP19" s="314"/>
      <c r="EQ19" s="314"/>
      <c r="ER19" s="314"/>
      <c r="ES19" s="314"/>
      <c r="ET19" s="314"/>
      <c r="EU19" s="314"/>
      <c r="EV19" s="314"/>
      <c r="EW19" s="314"/>
      <c r="EX19" s="314"/>
      <c r="EY19" s="314"/>
      <c r="EZ19" s="314"/>
      <c r="FA19" s="314"/>
      <c r="FB19" s="314"/>
      <c r="FC19" s="314"/>
      <c r="FD19" s="314"/>
      <c r="FE19" s="314"/>
      <c r="FF19" s="314"/>
      <c r="FG19" s="314"/>
      <c r="FH19" s="314"/>
      <c r="FI19" s="314"/>
      <c r="FJ19" s="314"/>
      <c r="FK19" s="314"/>
      <c r="FL19" s="314"/>
      <c r="FM19" s="314"/>
      <c r="FN19" s="314"/>
      <c r="FO19" s="314"/>
      <c r="FP19" s="314"/>
      <c r="FQ19" s="314"/>
      <c r="FR19" s="314"/>
      <c r="FS19" s="314"/>
      <c r="FT19" s="314"/>
      <c r="FU19" s="314"/>
      <c r="FV19" s="314"/>
      <c r="FW19" s="313"/>
      <c r="FX19" s="314"/>
      <c r="FY19" s="314"/>
      <c r="FZ19" s="314"/>
      <c r="GA19" s="314"/>
      <c r="GB19" s="314"/>
      <c r="GC19" s="314"/>
      <c r="GD19" s="314"/>
      <c r="GE19" s="314"/>
      <c r="GF19" s="314"/>
      <c r="GG19" s="314"/>
      <c r="GH19" s="314"/>
      <c r="GI19" s="314"/>
      <c r="GJ19" s="314"/>
      <c r="GK19" s="314"/>
      <c r="GL19" s="314"/>
      <c r="GM19" s="314"/>
      <c r="GN19" s="314"/>
      <c r="GO19" s="314"/>
      <c r="GP19" s="314"/>
      <c r="GQ19" s="313"/>
      <c r="GR19" s="314"/>
      <c r="GS19" s="314"/>
      <c r="GT19" s="314"/>
      <c r="GU19" s="314"/>
      <c r="GV19" s="314"/>
      <c r="GW19" s="314"/>
      <c r="GX19" s="314"/>
      <c r="GY19" s="314"/>
      <c r="GZ19" s="314"/>
      <c r="HA19" s="314"/>
      <c r="HB19" s="314"/>
      <c r="HC19" s="314"/>
      <c r="HD19" s="314"/>
      <c r="HE19" s="314"/>
      <c r="HF19" s="314"/>
      <c r="HG19" s="314"/>
      <c r="HH19" s="314"/>
      <c r="HI19" s="314"/>
      <c r="HJ19" s="314"/>
      <c r="HK19" s="314"/>
      <c r="HL19" s="314"/>
      <c r="HM19" s="314"/>
      <c r="HN19" s="314"/>
      <c r="HO19" s="314"/>
      <c r="HP19" s="314"/>
      <c r="HQ19" s="314"/>
      <c r="HR19" s="314"/>
      <c r="HS19" s="314"/>
      <c r="HT19" s="314"/>
      <c r="HU19" s="314"/>
      <c r="HV19" s="314"/>
      <c r="HW19" s="314"/>
      <c r="HX19" s="314"/>
      <c r="HY19" s="314"/>
      <c r="HZ19" s="314"/>
      <c r="IA19" s="314"/>
      <c r="IB19" s="314"/>
      <c r="IC19" s="314"/>
      <c r="ID19" s="314"/>
      <c r="IE19" s="314"/>
      <c r="IF19" s="314"/>
      <c r="IG19" s="314"/>
      <c r="IH19" s="314"/>
      <c r="II19" s="314"/>
      <c r="IJ19" s="314"/>
      <c r="IK19" s="314"/>
      <c r="IL19" s="314"/>
      <c r="IM19" s="314"/>
      <c r="IN19" s="314"/>
      <c r="IO19" s="314"/>
      <c r="IP19" s="314"/>
      <c r="IQ19" s="314"/>
      <c r="IR19" s="314"/>
      <c r="IS19" s="314"/>
      <c r="IT19" s="314"/>
      <c r="IU19" s="314"/>
      <c r="IV19" s="314"/>
      <c r="IW19" s="314"/>
      <c r="IX19" s="314"/>
      <c r="IY19" s="314"/>
      <c r="IZ19" s="314"/>
      <c r="JA19" s="314"/>
      <c r="JB19" s="314"/>
      <c r="JC19" s="314"/>
      <c r="JD19" s="314"/>
      <c r="JE19" s="314"/>
      <c r="JF19" s="314"/>
      <c r="JG19" s="314"/>
      <c r="JH19" s="314"/>
      <c r="JI19" s="314"/>
      <c r="JJ19" s="314"/>
      <c r="JK19" s="314"/>
      <c r="JL19" s="314"/>
      <c r="JM19" s="314"/>
      <c r="JN19" s="314"/>
      <c r="JO19" s="314"/>
      <c r="JP19" s="314"/>
      <c r="JQ19" s="314"/>
      <c r="JR19" s="314"/>
      <c r="JS19" s="314"/>
      <c r="JT19" s="314"/>
      <c r="JU19" s="314"/>
      <c r="JV19" s="314"/>
      <c r="JW19" s="314"/>
      <c r="JX19" s="314"/>
      <c r="JY19" s="314"/>
      <c r="JZ19" s="314"/>
      <c r="KA19" s="314"/>
      <c r="KB19" s="314"/>
      <c r="KC19" s="314"/>
      <c r="KD19" s="314"/>
      <c r="KE19" s="314"/>
      <c r="KF19" s="314"/>
      <c r="KG19" s="314"/>
      <c r="KH19" s="314"/>
      <c r="KI19" s="314"/>
      <c r="KJ19" s="314"/>
      <c r="KK19" s="314"/>
      <c r="KL19" s="314"/>
      <c r="KM19" s="314"/>
      <c r="KN19" s="314"/>
      <c r="KO19" s="314"/>
      <c r="KP19" s="314"/>
      <c r="KQ19" s="314"/>
      <c r="KR19" s="314"/>
      <c r="KS19" s="314"/>
      <c r="KT19" s="314"/>
      <c r="KU19" s="314"/>
      <c r="KV19" s="314"/>
      <c r="KW19" s="314"/>
      <c r="KX19" s="314"/>
      <c r="KY19" s="314"/>
      <c r="KZ19" s="314"/>
      <c r="LA19" s="314"/>
      <c r="LB19" s="314"/>
      <c r="LC19" s="314"/>
      <c r="LD19" s="314"/>
      <c r="LE19" s="314"/>
      <c r="LF19" s="314"/>
      <c r="LG19" s="314"/>
      <c r="LH19" s="314"/>
      <c r="LI19" s="314"/>
      <c r="LJ19" s="314"/>
      <c r="LK19" s="314"/>
      <c r="LL19" s="314"/>
      <c r="LM19" s="314"/>
      <c r="LN19" s="314"/>
      <c r="LO19" s="314"/>
      <c r="LP19" s="313"/>
      <c r="LQ19" s="314"/>
      <c r="LR19" s="314"/>
      <c r="LS19" s="314"/>
      <c r="LT19" s="314"/>
      <c r="LU19" s="313"/>
      <c r="LV19" s="314"/>
      <c r="LW19" s="314"/>
      <c r="LX19" s="314"/>
      <c r="LY19" s="314"/>
      <c r="LZ19" s="314"/>
      <c r="MA19" s="314"/>
      <c r="MB19" s="314"/>
      <c r="MC19" s="314"/>
      <c r="MD19" s="314"/>
      <c r="ME19" s="314"/>
      <c r="MF19" s="314"/>
      <c r="MG19" s="314"/>
      <c r="MH19" s="314"/>
      <c r="MI19" s="314"/>
      <c r="MJ19" s="314"/>
      <c r="MK19" s="314"/>
      <c r="ML19" s="314"/>
      <c r="MM19" s="314"/>
      <c r="MN19" s="314"/>
      <c r="MO19" s="314"/>
      <c r="MP19" s="314"/>
      <c r="MQ19" s="314"/>
      <c r="MR19" s="314"/>
      <c r="MS19" s="314"/>
      <c r="MT19" s="314"/>
      <c r="MU19" s="314"/>
      <c r="MV19" s="314"/>
      <c r="MW19" s="314"/>
      <c r="MX19" s="314"/>
      <c r="MY19" s="314"/>
      <c r="MZ19" s="314"/>
      <c r="NA19" s="314"/>
      <c r="NB19" s="314"/>
      <c r="NC19" s="313"/>
      <c r="ND19" s="313"/>
      <c r="NE19" s="314"/>
      <c r="NF19" s="314"/>
      <c r="NG19" s="314"/>
      <c r="NH19" s="314"/>
      <c r="NI19" s="314"/>
      <c r="NJ19" s="313"/>
    </row>
    <row r="20" spans="3:381" ht="20.100000000000001" customHeight="1" x14ac:dyDescent="0.25">
      <c r="C20" s="307"/>
      <c r="D20" s="308"/>
      <c r="E20" s="308"/>
      <c r="F20" s="309">
        <f t="shared" si="0"/>
        <v>1</v>
      </c>
      <c r="G20" s="310"/>
      <c r="H20" s="311" t="s">
        <v>564</v>
      </c>
      <c r="I20" s="312"/>
      <c r="J20" s="313"/>
      <c r="K20" s="314"/>
      <c r="L20" s="314"/>
      <c r="M20" s="314"/>
      <c r="N20" s="314"/>
      <c r="O20" s="314"/>
      <c r="P20" s="314"/>
      <c r="Q20" s="314"/>
      <c r="R20" s="314"/>
      <c r="S20" s="314"/>
      <c r="T20" s="314"/>
      <c r="U20" s="314"/>
      <c r="V20" s="314"/>
      <c r="W20" s="314"/>
      <c r="X20" s="314"/>
      <c r="Y20" s="314"/>
      <c r="Z20" s="314"/>
      <c r="AA20" s="314"/>
      <c r="AB20" s="314"/>
      <c r="AC20" s="314"/>
      <c r="AD20" s="314"/>
      <c r="AE20" s="314"/>
      <c r="AF20" s="314"/>
      <c r="AG20" s="314"/>
      <c r="AH20" s="314"/>
      <c r="AI20" s="314"/>
      <c r="AJ20" s="314"/>
      <c r="AK20" s="314"/>
      <c r="AL20" s="314"/>
      <c r="AM20" s="314"/>
      <c r="AN20" s="314"/>
      <c r="AO20" s="314"/>
      <c r="AP20" s="314"/>
      <c r="AQ20" s="314"/>
      <c r="AR20" s="314"/>
      <c r="AS20" s="314"/>
      <c r="AT20" s="314"/>
      <c r="AU20" s="314"/>
      <c r="AV20" s="314"/>
      <c r="AW20" s="314"/>
      <c r="AX20" s="314"/>
      <c r="AY20" s="314"/>
      <c r="AZ20" s="314"/>
      <c r="BA20" s="314"/>
      <c r="BB20" s="314"/>
      <c r="BC20" s="314"/>
      <c r="BD20" s="314"/>
      <c r="BE20" s="314"/>
      <c r="BF20" s="314"/>
      <c r="BG20" s="314"/>
      <c r="BH20" s="314"/>
      <c r="BI20" s="314"/>
      <c r="BJ20" s="314"/>
      <c r="BK20" s="314"/>
      <c r="BL20" s="314"/>
      <c r="BM20" s="314"/>
      <c r="BN20" s="314"/>
      <c r="BO20" s="314"/>
      <c r="BP20" s="314"/>
      <c r="BQ20" s="314"/>
      <c r="BR20" s="314"/>
      <c r="BS20" s="314"/>
      <c r="BT20" s="313"/>
      <c r="BU20" s="314"/>
      <c r="BV20" s="314"/>
      <c r="BW20" s="314"/>
      <c r="BX20" s="314"/>
      <c r="BY20" s="314"/>
      <c r="BZ20" s="314"/>
      <c r="CA20" s="314"/>
      <c r="CB20" s="314"/>
      <c r="CC20" s="314"/>
      <c r="CD20" s="314"/>
      <c r="CE20" s="314"/>
      <c r="CF20" s="315"/>
      <c r="CG20" s="314"/>
      <c r="CH20" s="314"/>
      <c r="CI20" s="314"/>
      <c r="CJ20" s="314"/>
      <c r="CK20" s="314"/>
      <c r="CL20" s="314"/>
      <c r="CM20" s="314"/>
      <c r="CN20" s="314"/>
      <c r="CO20" s="314"/>
      <c r="CP20" s="314"/>
      <c r="CQ20" s="314"/>
      <c r="CR20" s="314"/>
      <c r="CS20" s="313"/>
      <c r="CT20" s="314"/>
      <c r="CU20" s="314"/>
      <c r="CV20" s="314"/>
      <c r="CW20" s="314"/>
      <c r="CX20" s="314"/>
      <c r="CY20" s="314"/>
      <c r="CZ20" s="314"/>
      <c r="DA20" s="314"/>
      <c r="DB20" s="314"/>
      <c r="DC20" s="314"/>
      <c r="DD20" s="314"/>
      <c r="DE20" s="314"/>
      <c r="DF20" s="314"/>
      <c r="DG20" s="314"/>
      <c r="DH20" s="314"/>
      <c r="DI20" s="314"/>
      <c r="DJ20" s="314"/>
      <c r="DK20" s="314"/>
      <c r="DL20" s="314"/>
      <c r="DM20" s="313"/>
      <c r="DN20" s="314"/>
      <c r="DO20" s="314"/>
      <c r="DP20" s="313"/>
      <c r="DQ20" s="314"/>
      <c r="DR20" s="314"/>
      <c r="DS20" s="314"/>
      <c r="DT20" s="314"/>
      <c r="DU20" s="314"/>
      <c r="DV20" s="314"/>
      <c r="DW20" s="314"/>
      <c r="DX20" s="314"/>
      <c r="DY20" s="314"/>
      <c r="DZ20" s="313"/>
      <c r="EA20" s="314"/>
      <c r="EB20" s="314"/>
      <c r="EC20" s="314"/>
      <c r="ED20" s="314"/>
      <c r="EE20" s="314"/>
      <c r="EF20" s="314"/>
      <c r="EG20" s="314"/>
      <c r="EH20" s="314"/>
      <c r="EI20" s="314"/>
      <c r="EJ20" s="314"/>
      <c r="EK20" s="314"/>
      <c r="EL20" s="314"/>
      <c r="EM20" s="314"/>
      <c r="EN20" s="314"/>
      <c r="EO20" s="314"/>
      <c r="EP20" s="314"/>
      <c r="EQ20" s="314"/>
      <c r="ER20" s="314"/>
      <c r="ES20" s="314"/>
      <c r="ET20" s="314"/>
      <c r="EU20" s="314"/>
      <c r="EV20" s="314"/>
      <c r="EW20" s="314"/>
      <c r="EX20" s="314"/>
      <c r="EY20" s="314"/>
      <c r="EZ20" s="314"/>
      <c r="FA20" s="314"/>
      <c r="FB20" s="314"/>
      <c r="FC20" s="314"/>
      <c r="FD20" s="314"/>
      <c r="FE20" s="314"/>
      <c r="FF20" s="314"/>
      <c r="FG20" s="314"/>
      <c r="FH20" s="314"/>
      <c r="FI20" s="314"/>
      <c r="FJ20" s="314"/>
      <c r="FK20" s="314"/>
      <c r="FL20" s="314"/>
      <c r="FM20" s="314"/>
      <c r="FN20" s="314"/>
      <c r="FO20" s="314"/>
      <c r="FP20" s="314"/>
      <c r="FQ20" s="314"/>
      <c r="FR20" s="314"/>
      <c r="FS20" s="314"/>
      <c r="FT20" s="314"/>
      <c r="FU20" s="314"/>
      <c r="FV20" s="314"/>
      <c r="FW20" s="313"/>
      <c r="FX20" s="314"/>
      <c r="FY20" s="314"/>
      <c r="FZ20" s="314"/>
      <c r="GA20" s="314"/>
      <c r="GB20" s="314"/>
      <c r="GC20" s="314"/>
      <c r="GD20" s="314"/>
      <c r="GE20" s="314"/>
      <c r="GF20" s="314"/>
      <c r="GG20" s="314"/>
      <c r="GH20" s="314"/>
      <c r="GI20" s="314"/>
      <c r="GJ20" s="314"/>
      <c r="GK20" s="314"/>
      <c r="GL20" s="314"/>
      <c r="GM20" s="314"/>
      <c r="GN20" s="314"/>
      <c r="GO20" s="314"/>
      <c r="GP20" s="314"/>
      <c r="GQ20" s="313"/>
      <c r="GR20" s="314"/>
      <c r="GS20" s="314"/>
      <c r="GT20" s="314"/>
      <c r="GU20" s="314"/>
      <c r="GV20" s="314"/>
      <c r="GW20" s="314"/>
      <c r="GX20" s="314"/>
      <c r="GY20" s="314"/>
      <c r="GZ20" s="314"/>
      <c r="HA20" s="314"/>
      <c r="HB20" s="314"/>
      <c r="HC20" s="314"/>
      <c r="HD20" s="314"/>
      <c r="HE20" s="314"/>
      <c r="HF20" s="314"/>
      <c r="HG20" s="314"/>
      <c r="HH20" s="314"/>
      <c r="HI20" s="314"/>
      <c r="HJ20" s="314"/>
      <c r="HK20" s="314"/>
      <c r="HL20" s="314"/>
      <c r="HM20" s="314"/>
      <c r="HN20" s="314"/>
      <c r="HO20" s="314"/>
      <c r="HP20" s="314"/>
      <c r="HQ20" s="314"/>
      <c r="HR20" s="314"/>
      <c r="HS20" s="314"/>
      <c r="HT20" s="314"/>
      <c r="HU20" s="314"/>
      <c r="HV20" s="314"/>
      <c r="HW20" s="314"/>
      <c r="HX20" s="314"/>
      <c r="HY20" s="314"/>
      <c r="HZ20" s="314"/>
      <c r="IA20" s="314"/>
      <c r="IB20" s="314"/>
      <c r="IC20" s="314"/>
      <c r="ID20" s="314"/>
      <c r="IE20" s="314"/>
      <c r="IF20" s="314"/>
      <c r="IG20" s="314"/>
      <c r="IH20" s="314"/>
      <c r="II20" s="314"/>
      <c r="IJ20" s="314"/>
      <c r="IK20" s="314"/>
      <c r="IL20" s="314"/>
      <c r="IM20" s="314"/>
      <c r="IN20" s="314"/>
      <c r="IO20" s="314"/>
      <c r="IP20" s="314"/>
      <c r="IQ20" s="314"/>
      <c r="IR20" s="314"/>
      <c r="IS20" s="314"/>
      <c r="IT20" s="314"/>
      <c r="IU20" s="314"/>
      <c r="IV20" s="314"/>
      <c r="IW20" s="314"/>
      <c r="IX20" s="314"/>
      <c r="IY20" s="314"/>
      <c r="IZ20" s="314"/>
      <c r="JA20" s="314"/>
      <c r="JB20" s="314"/>
      <c r="JC20" s="314"/>
      <c r="JD20" s="314"/>
      <c r="JE20" s="314"/>
      <c r="JF20" s="314"/>
      <c r="JG20" s="314"/>
      <c r="JH20" s="314"/>
      <c r="JI20" s="314"/>
      <c r="JJ20" s="314"/>
      <c r="JK20" s="314"/>
      <c r="JL20" s="314"/>
      <c r="JM20" s="314"/>
      <c r="JN20" s="314"/>
      <c r="JO20" s="314"/>
      <c r="JP20" s="314"/>
      <c r="JQ20" s="314"/>
      <c r="JR20" s="314"/>
      <c r="JS20" s="314"/>
      <c r="JT20" s="314"/>
      <c r="JU20" s="314"/>
      <c r="JV20" s="314"/>
      <c r="JW20" s="314"/>
      <c r="JX20" s="314"/>
      <c r="JY20" s="314"/>
      <c r="JZ20" s="314"/>
      <c r="KA20" s="314"/>
      <c r="KB20" s="314"/>
      <c r="KC20" s="314"/>
      <c r="KD20" s="314"/>
      <c r="KE20" s="314"/>
      <c r="KF20" s="314"/>
      <c r="KG20" s="314"/>
      <c r="KH20" s="314"/>
      <c r="KI20" s="314"/>
      <c r="KJ20" s="314"/>
      <c r="KK20" s="314"/>
      <c r="KL20" s="314"/>
      <c r="KM20" s="314"/>
      <c r="KN20" s="314"/>
      <c r="KO20" s="314"/>
      <c r="KP20" s="314"/>
      <c r="KQ20" s="314"/>
      <c r="KR20" s="314"/>
      <c r="KS20" s="314"/>
      <c r="KT20" s="314"/>
      <c r="KU20" s="314"/>
      <c r="KV20" s="314"/>
      <c r="KW20" s="314"/>
      <c r="KX20" s="314"/>
      <c r="KY20" s="314"/>
      <c r="KZ20" s="314"/>
      <c r="LA20" s="314"/>
      <c r="LB20" s="314"/>
      <c r="LC20" s="314"/>
      <c r="LD20" s="314"/>
      <c r="LE20" s="314"/>
      <c r="LF20" s="314"/>
      <c r="LG20" s="314"/>
      <c r="LH20" s="314"/>
      <c r="LI20" s="314"/>
      <c r="LJ20" s="314"/>
      <c r="LK20" s="314"/>
      <c r="LL20" s="314"/>
      <c r="LM20" s="314"/>
      <c r="LN20" s="314"/>
      <c r="LO20" s="314"/>
      <c r="LP20" s="313"/>
      <c r="LQ20" s="314"/>
      <c r="LR20" s="314"/>
      <c r="LS20" s="314"/>
      <c r="LT20" s="314"/>
      <c r="LU20" s="313"/>
      <c r="LV20" s="314"/>
      <c r="LW20" s="314"/>
      <c r="LX20" s="314"/>
      <c r="LY20" s="314"/>
      <c r="LZ20" s="314"/>
      <c r="MA20" s="314"/>
      <c r="MB20" s="314"/>
      <c r="MC20" s="314"/>
      <c r="MD20" s="314"/>
      <c r="ME20" s="314"/>
      <c r="MF20" s="314"/>
      <c r="MG20" s="314"/>
      <c r="MH20" s="314"/>
      <c r="MI20" s="314"/>
      <c r="MJ20" s="314"/>
      <c r="MK20" s="314"/>
      <c r="ML20" s="314"/>
      <c r="MM20" s="314"/>
      <c r="MN20" s="314"/>
      <c r="MO20" s="314"/>
      <c r="MP20" s="314"/>
      <c r="MQ20" s="314"/>
      <c r="MR20" s="314"/>
      <c r="MS20" s="314"/>
      <c r="MT20" s="314"/>
      <c r="MU20" s="314"/>
      <c r="MV20" s="314"/>
      <c r="MW20" s="314"/>
      <c r="MX20" s="314"/>
      <c r="MY20" s="314"/>
      <c r="MZ20" s="314"/>
      <c r="NA20" s="314"/>
      <c r="NB20" s="314"/>
      <c r="NC20" s="313"/>
      <c r="ND20" s="313"/>
      <c r="NE20" s="314"/>
      <c r="NF20" s="314"/>
      <c r="NG20" s="314"/>
      <c r="NH20" s="314"/>
      <c r="NI20" s="314"/>
      <c r="NJ20" s="313"/>
      <c r="NK20" s="292"/>
      <c r="NL20" s="292"/>
      <c r="NM20" s="292"/>
      <c r="NN20" s="292"/>
      <c r="NO20" s="292"/>
      <c r="NP20" s="292"/>
      <c r="NQ20" s="292"/>
    </row>
    <row r="21" spans="3:381" ht="20.100000000000001" customHeight="1" x14ac:dyDescent="0.25">
      <c r="C21" s="307"/>
      <c r="D21" s="308"/>
      <c r="E21" s="308"/>
      <c r="F21" s="309">
        <f t="shared" si="0"/>
        <v>1</v>
      </c>
      <c r="G21" s="310"/>
      <c r="H21" s="311" t="s">
        <v>564</v>
      </c>
      <c r="I21" s="312"/>
      <c r="J21" s="313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314"/>
      <c r="AB21" s="314"/>
      <c r="AC21" s="314"/>
      <c r="AD21" s="314"/>
      <c r="AE21" s="314"/>
      <c r="AF21" s="314"/>
      <c r="AG21" s="314"/>
      <c r="AH21" s="314"/>
      <c r="AI21" s="314"/>
      <c r="AJ21" s="314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4"/>
      <c r="BK21" s="314"/>
      <c r="BL21" s="314"/>
      <c r="BM21" s="314"/>
      <c r="BN21" s="314"/>
      <c r="BO21" s="314"/>
      <c r="BP21" s="314"/>
      <c r="BQ21" s="314"/>
      <c r="BR21" s="314"/>
      <c r="BS21" s="314"/>
      <c r="BT21" s="313"/>
      <c r="BU21" s="314"/>
      <c r="BV21" s="314"/>
      <c r="BW21" s="314"/>
      <c r="BX21" s="314"/>
      <c r="BY21" s="314"/>
      <c r="BZ21" s="314"/>
      <c r="CA21" s="314"/>
      <c r="CB21" s="314"/>
      <c r="CC21" s="314"/>
      <c r="CD21" s="314"/>
      <c r="CE21" s="314"/>
      <c r="CF21" s="315"/>
      <c r="CG21" s="314"/>
      <c r="CH21" s="314"/>
      <c r="CI21" s="314"/>
      <c r="CJ21" s="314"/>
      <c r="CK21" s="314"/>
      <c r="CL21" s="314"/>
      <c r="CM21" s="314"/>
      <c r="CN21" s="314"/>
      <c r="CO21" s="314"/>
      <c r="CP21" s="314"/>
      <c r="CQ21" s="314"/>
      <c r="CR21" s="314"/>
      <c r="CS21" s="313"/>
      <c r="CT21" s="314"/>
      <c r="CU21" s="314"/>
      <c r="CV21" s="314"/>
      <c r="CW21" s="314"/>
      <c r="CX21" s="314"/>
      <c r="CY21" s="314"/>
      <c r="CZ21" s="314"/>
      <c r="DA21" s="314"/>
      <c r="DB21" s="314"/>
      <c r="DC21" s="314"/>
      <c r="DD21" s="314"/>
      <c r="DE21" s="314"/>
      <c r="DF21" s="314"/>
      <c r="DG21" s="314"/>
      <c r="DH21" s="314"/>
      <c r="DI21" s="314"/>
      <c r="DJ21" s="314"/>
      <c r="DK21" s="314"/>
      <c r="DL21" s="314"/>
      <c r="DM21" s="313"/>
      <c r="DN21" s="314"/>
      <c r="DO21" s="314"/>
      <c r="DP21" s="313"/>
      <c r="DQ21" s="314"/>
      <c r="DR21" s="314"/>
      <c r="DS21" s="314"/>
      <c r="DT21" s="314"/>
      <c r="DU21" s="314"/>
      <c r="DV21" s="314"/>
      <c r="DW21" s="314"/>
      <c r="DX21" s="314"/>
      <c r="DY21" s="314"/>
      <c r="DZ21" s="313"/>
      <c r="EA21" s="314"/>
      <c r="EB21" s="314"/>
      <c r="EC21" s="314"/>
      <c r="ED21" s="314"/>
      <c r="EE21" s="314"/>
      <c r="EF21" s="314"/>
      <c r="EG21" s="314"/>
      <c r="EH21" s="314"/>
      <c r="EI21" s="314"/>
      <c r="EJ21" s="314"/>
      <c r="EK21" s="314"/>
      <c r="EL21" s="314"/>
      <c r="EM21" s="314"/>
      <c r="EN21" s="314"/>
      <c r="EO21" s="314"/>
      <c r="EP21" s="314"/>
      <c r="EQ21" s="314"/>
      <c r="ER21" s="314"/>
      <c r="ES21" s="314"/>
      <c r="ET21" s="314"/>
      <c r="EU21" s="314"/>
      <c r="EV21" s="314"/>
      <c r="EW21" s="314"/>
      <c r="EX21" s="314"/>
      <c r="EY21" s="314"/>
      <c r="EZ21" s="314"/>
      <c r="FA21" s="314"/>
      <c r="FB21" s="314"/>
      <c r="FC21" s="314"/>
      <c r="FD21" s="314"/>
      <c r="FE21" s="314"/>
      <c r="FF21" s="314"/>
      <c r="FG21" s="314"/>
      <c r="FH21" s="314"/>
      <c r="FI21" s="314"/>
      <c r="FJ21" s="314"/>
      <c r="FK21" s="314"/>
      <c r="FL21" s="314"/>
      <c r="FM21" s="314"/>
      <c r="FN21" s="314"/>
      <c r="FO21" s="314"/>
      <c r="FP21" s="314"/>
      <c r="FQ21" s="314"/>
      <c r="FR21" s="314"/>
      <c r="FS21" s="314"/>
      <c r="FT21" s="314"/>
      <c r="FU21" s="314"/>
      <c r="FV21" s="314"/>
      <c r="FW21" s="313"/>
      <c r="FX21" s="314"/>
      <c r="FY21" s="314"/>
      <c r="FZ21" s="314"/>
      <c r="GA21" s="314"/>
      <c r="GB21" s="314"/>
      <c r="GC21" s="314"/>
      <c r="GD21" s="314"/>
      <c r="GE21" s="314"/>
      <c r="GF21" s="314"/>
      <c r="GG21" s="314"/>
      <c r="GH21" s="314"/>
      <c r="GI21" s="314"/>
      <c r="GJ21" s="314"/>
      <c r="GK21" s="314"/>
      <c r="GL21" s="314"/>
      <c r="GM21" s="314"/>
      <c r="GN21" s="314"/>
      <c r="GO21" s="314"/>
      <c r="GP21" s="314"/>
      <c r="GQ21" s="313"/>
      <c r="GR21" s="314"/>
      <c r="GS21" s="314"/>
      <c r="GT21" s="314"/>
      <c r="GU21" s="314"/>
      <c r="GV21" s="314"/>
      <c r="GW21" s="314"/>
      <c r="GX21" s="314"/>
      <c r="GY21" s="314"/>
      <c r="GZ21" s="314"/>
      <c r="HA21" s="314"/>
      <c r="HB21" s="314"/>
      <c r="HC21" s="314"/>
      <c r="HD21" s="314"/>
      <c r="HE21" s="314"/>
      <c r="HF21" s="314"/>
      <c r="HG21" s="314"/>
      <c r="HH21" s="314"/>
      <c r="HI21" s="314"/>
      <c r="HJ21" s="314"/>
      <c r="HK21" s="314"/>
      <c r="HL21" s="314"/>
      <c r="HM21" s="314"/>
      <c r="HN21" s="314"/>
      <c r="HO21" s="314"/>
      <c r="HP21" s="314"/>
      <c r="HQ21" s="314"/>
      <c r="HR21" s="314"/>
      <c r="HS21" s="314"/>
      <c r="HT21" s="314"/>
      <c r="HU21" s="314"/>
      <c r="HV21" s="314"/>
      <c r="HW21" s="314"/>
      <c r="HX21" s="314"/>
      <c r="HY21" s="314"/>
      <c r="HZ21" s="314"/>
      <c r="IA21" s="314"/>
      <c r="IB21" s="314"/>
      <c r="IC21" s="314"/>
      <c r="ID21" s="314"/>
      <c r="IE21" s="314"/>
      <c r="IF21" s="314"/>
      <c r="IG21" s="314"/>
      <c r="IH21" s="314"/>
      <c r="II21" s="314"/>
      <c r="IJ21" s="314"/>
      <c r="IK21" s="314"/>
      <c r="IL21" s="314"/>
      <c r="IM21" s="314"/>
      <c r="IN21" s="314"/>
      <c r="IO21" s="314"/>
      <c r="IP21" s="314"/>
      <c r="IQ21" s="314"/>
      <c r="IR21" s="314"/>
      <c r="IS21" s="314"/>
      <c r="IT21" s="314"/>
      <c r="IU21" s="314"/>
      <c r="IV21" s="314"/>
      <c r="IW21" s="314"/>
      <c r="IX21" s="314"/>
      <c r="IY21" s="314"/>
      <c r="IZ21" s="314"/>
      <c r="JA21" s="314"/>
      <c r="JB21" s="314"/>
      <c r="JC21" s="314"/>
      <c r="JD21" s="314"/>
      <c r="JE21" s="314"/>
      <c r="JF21" s="314"/>
      <c r="JG21" s="314"/>
      <c r="JH21" s="314"/>
      <c r="JI21" s="314"/>
      <c r="JJ21" s="314"/>
      <c r="JK21" s="314"/>
      <c r="JL21" s="314"/>
      <c r="JM21" s="314"/>
      <c r="JN21" s="314"/>
      <c r="JO21" s="314"/>
      <c r="JP21" s="314"/>
      <c r="JQ21" s="314"/>
      <c r="JR21" s="314"/>
      <c r="JS21" s="314"/>
      <c r="JT21" s="314"/>
      <c r="JU21" s="314"/>
      <c r="JV21" s="314"/>
      <c r="JW21" s="314"/>
      <c r="JX21" s="314"/>
      <c r="JY21" s="314"/>
      <c r="JZ21" s="314"/>
      <c r="KA21" s="314"/>
      <c r="KB21" s="314"/>
      <c r="KC21" s="314"/>
      <c r="KD21" s="314"/>
      <c r="KE21" s="314"/>
      <c r="KF21" s="314"/>
      <c r="KG21" s="314"/>
      <c r="KH21" s="314"/>
      <c r="KI21" s="314"/>
      <c r="KJ21" s="314"/>
      <c r="KK21" s="314"/>
      <c r="KL21" s="314"/>
      <c r="KM21" s="314"/>
      <c r="KN21" s="314"/>
      <c r="KO21" s="314"/>
      <c r="KP21" s="314"/>
      <c r="KQ21" s="314"/>
      <c r="KR21" s="314"/>
      <c r="KS21" s="314"/>
      <c r="KT21" s="314"/>
      <c r="KU21" s="314"/>
      <c r="KV21" s="314"/>
      <c r="KW21" s="314"/>
      <c r="KX21" s="314"/>
      <c r="KY21" s="314"/>
      <c r="KZ21" s="314"/>
      <c r="LA21" s="314"/>
      <c r="LB21" s="314"/>
      <c r="LC21" s="314"/>
      <c r="LD21" s="314"/>
      <c r="LE21" s="314"/>
      <c r="LF21" s="314"/>
      <c r="LG21" s="314"/>
      <c r="LH21" s="314"/>
      <c r="LI21" s="314"/>
      <c r="LJ21" s="314"/>
      <c r="LK21" s="314"/>
      <c r="LL21" s="314"/>
      <c r="LM21" s="314"/>
      <c r="LN21" s="314"/>
      <c r="LO21" s="314"/>
      <c r="LP21" s="313"/>
      <c r="LQ21" s="314"/>
      <c r="LR21" s="314"/>
      <c r="LS21" s="314"/>
      <c r="LT21" s="314"/>
      <c r="LU21" s="313"/>
      <c r="LV21" s="314"/>
      <c r="LW21" s="314"/>
      <c r="LX21" s="314"/>
      <c r="LY21" s="314"/>
      <c r="LZ21" s="314"/>
      <c r="MA21" s="314"/>
      <c r="MB21" s="314"/>
      <c r="MC21" s="314"/>
      <c r="MD21" s="314"/>
      <c r="ME21" s="314"/>
      <c r="MF21" s="314"/>
      <c r="MG21" s="314"/>
      <c r="MH21" s="314"/>
      <c r="MI21" s="314"/>
      <c r="MJ21" s="314"/>
      <c r="MK21" s="314"/>
      <c r="ML21" s="314"/>
      <c r="MM21" s="314"/>
      <c r="MN21" s="314"/>
      <c r="MO21" s="314"/>
      <c r="MP21" s="314"/>
      <c r="MQ21" s="314"/>
      <c r="MR21" s="314"/>
      <c r="MS21" s="314"/>
      <c r="MT21" s="314"/>
      <c r="MU21" s="314"/>
      <c r="MV21" s="314"/>
      <c r="MW21" s="314"/>
      <c r="MX21" s="314"/>
      <c r="MY21" s="314"/>
      <c r="MZ21" s="314"/>
      <c r="NA21" s="314"/>
      <c r="NB21" s="314"/>
      <c r="NC21" s="313"/>
      <c r="ND21" s="313"/>
      <c r="NE21" s="314"/>
      <c r="NF21" s="314"/>
      <c r="NG21" s="314"/>
      <c r="NH21" s="314"/>
      <c r="NI21" s="314"/>
      <c r="NJ21" s="313"/>
    </row>
    <row r="22" spans="3:381" ht="20.100000000000001" customHeight="1" x14ac:dyDescent="0.25">
      <c r="C22" s="307"/>
      <c r="D22" s="308"/>
      <c r="E22" s="308"/>
      <c r="F22" s="309">
        <f t="shared" si="0"/>
        <v>1</v>
      </c>
      <c r="G22" s="310"/>
      <c r="H22" s="311" t="s">
        <v>564</v>
      </c>
      <c r="I22" s="312"/>
      <c r="J22" s="313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  <c r="V22" s="314"/>
      <c r="W22" s="314"/>
      <c r="X22" s="314"/>
      <c r="Y22" s="314"/>
      <c r="Z22" s="314"/>
      <c r="AA22" s="314"/>
      <c r="AB22" s="314"/>
      <c r="AC22" s="314"/>
      <c r="AD22" s="314"/>
      <c r="AE22" s="314"/>
      <c r="AF22" s="314"/>
      <c r="AG22" s="314"/>
      <c r="AH22" s="314"/>
      <c r="AI22" s="314"/>
      <c r="AJ22" s="314"/>
      <c r="AK22" s="314"/>
      <c r="AL22" s="314"/>
      <c r="AM22" s="314"/>
      <c r="AN22" s="314"/>
      <c r="AO22" s="314"/>
      <c r="AP22" s="314"/>
      <c r="AQ22" s="314"/>
      <c r="AR22" s="314"/>
      <c r="AS22" s="314"/>
      <c r="AT22" s="314"/>
      <c r="AU22" s="314"/>
      <c r="AV22" s="314"/>
      <c r="AW22" s="314"/>
      <c r="AX22" s="314"/>
      <c r="AY22" s="314"/>
      <c r="AZ22" s="314"/>
      <c r="BA22" s="314"/>
      <c r="BB22" s="314"/>
      <c r="BC22" s="314"/>
      <c r="BD22" s="314"/>
      <c r="BE22" s="314"/>
      <c r="BF22" s="314"/>
      <c r="BG22" s="314"/>
      <c r="BH22" s="314"/>
      <c r="BI22" s="314"/>
      <c r="BJ22" s="314"/>
      <c r="BK22" s="314"/>
      <c r="BL22" s="314"/>
      <c r="BM22" s="314"/>
      <c r="BN22" s="314"/>
      <c r="BO22" s="314"/>
      <c r="BP22" s="314"/>
      <c r="BQ22" s="314"/>
      <c r="BR22" s="314"/>
      <c r="BS22" s="314"/>
      <c r="BT22" s="313"/>
      <c r="BU22" s="314"/>
      <c r="BV22" s="314"/>
      <c r="BW22" s="314"/>
      <c r="BX22" s="314"/>
      <c r="BY22" s="314"/>
      <c r="BZ22" s="314"/>
      <c r="CA22" s="314"/>
      <c r="CB22" s="314"/>
      <c r="CC22" s="314"/>
      <c r="CD22" s="314"/>
      <c r="CE22" s="314"/>
      <c r="CF22" s="315"/>
      <c r="CG22" s="314"/>
      <c r="CH22" s="314"/>
      <c r="CI22" s="314"/>
      <c r="CJ22" s="314"/>
      <c r="CK22" s="314"/>
      <c r="CL22" s="314"/>
      <c r="CM22" s="314"/>
      <c r="CN22" s="314"/>
      <c r="CO22" s="314"/>
      <c r="CP22" s="314"/>
      <c r="CQ22" s="314"/>
      <c r="CR22" s="314"/>
      <c r="CS22" s="313"/>
      <c r="CT22" s="314"/>
      <c r="CU22" s="314"/>
      <c r="CV22" s="314"/>
      <c r="CW22" s="314"/>
      <c r="CX22" s="314"/>
      <c r="CY22" s="314"/>
      <c r="CZ22" s="314"/>
      <c r="DA22" s="314"/>
      <c r="DB22" s="314"/>
      <c r="DC22" s="314"/>
      <c r="DD22" s="314"/>
      <c r="DE22" s="314"/>
      <c r="DF22" s="314"/>
      <c r="DG22" s="314"/>
      <c r="DH22" s="314"/>
      <c r="DI22" s="314"/>
      <c r="DJ22" s="314"/>
      <c r="DK22" s="314"/>
      <c r="DL22" s="314"/>
      <c r="DM22" s="313"/>
      <c r="DN22" s="314"/>
      <c r="DO22" s="314"/>
      <c r="DP22" s="313"/>
      <c r="DQ22" s="314"/>
      <c r="DR22" s="314"/>
      <c r="DS22" s="314"/>
      <c r="DT22" s="314"/>
      <c r="DU22" s="314"/>
      <c r="DV22" s="314"/>
      <c r="DW22" s="314"/>
      <c r="DX22" s="314"/>
      <c r="DY22" s="314"/>
      <c r="DZ22" s="313"/>
      <c r="EA22" s="314"/>
      <c r="EB22" s="314"/>
      <c r="EC22" s="314"/>
      <c r="ED22" s="314"/>
      <c r="EE22" s="314"/>
      <c r="EF22" s="314"/>
      <c r="EG22" s="314"/>
      <c r="EH22" s="314"/>
      <c r="EI22" s="314"/>
      <c r="EJ22" s="314"/>
      <c r="EK22" s="314"/>
      <c r="EL22" s="314"/>
      <c r="EM22" s="314"/>
      <c r="EN22" s="314"/>
      <c r="EO22" s="314"/>
      <c r="EP22" s="314"/>
      <c r="EQ22" s="314"/>
      <c r="ER22" s="314"/>
      <c r="ES22" s="314"/>
      <c r="ET22" s="314"/>
      <c r="EU22" s="314"/>
      <c r="EV22" s="314"/>
      <c r="EW22" s="314"/>
      <c r="EX22" s="314"/>
      <c r="EY22" s="314"/>
      <c r="EZ22" s="314"/>
      <c r="FA22" s="314"/>
      <c r="FB22" s="314"/>
      <c r="FC22" s="314"/>
      <c r="FD22" s="314"/>
      <c r="FE22" s="314"/>
      <c r="FF22" s="314"/>
      <c r="FG22" s="314"/>
      <c r="FH22" s="314"/>
      <c r="FI22" s="314"/>
      <c r="FJ22" s="314"/>
      <c r="FK22" s="314"/>
      <c r="FL22" s="314"/>
      <c r="FM22" s="314"/>
      <c r="FN22" s="314"/>
      <c r="FO22" s="314"/>
      <c r="FP22" s="314"/>
      <c r="FQ22" s="314"/>
      <c r="FR22" s="314"/>
      <c r="FS22" s="314"/>
      <c r="FT22" s="314"/>
      <c r="FU22" s="314"/>
      <c r="FV22" s="314"/>
      <c r="FW22" s="313"/>
      <c r="FX22" s="314"/>
      <c r="FY22" s="314"/>
      <c r="FZ22" s="314"/>
      <c r="GA22" s="314"/>
      <c r="GB22" s="314"/>
      <c r="GC22" s="314"/>
      <c r="GD22" s="314"/>
      <c r="GE22" s="314"/>
      <c r="GF22" s="314"/>
      <c r="GG22" s="314"/>
      <c r="GH22" s="314"/>
      <c r="GI22" s="314"/>
      <c r="GJ22" s="314"/>
      <c r="GK22" s="314"/>
      <c r="GL22" s="314"/>
      <c r="GM22" s="314"/>
      <c r="GN22" s="314"/>
      <c r="GO22" s="314"/>
      <c r="GP22" s="314"/>
      <c r="GQ22" s="313"/>
      <c r="GR22" s="314"/>
      <c r="GS22" s="314"/>
      <c r="GT22" s="314"/>
      <c r="GU22" s="314"/>
      <c r="GV22" s="314"/>
      <c r="GW22" s="314"/>
      <c r="GX22" s="314"/>
      <c r="GY22" s="314"/>
      <c r="GZ22" s="314"/>
      <c r="HA22" s="314"/>
      <c r="HB22" s="314"/>
      <c r="HC22" s="314"/>
      <c r="HD22" s="314"/>
      <c r="HE22" s="314"/>
      <c r="HF22" s="314"/>
      <c r="HG22" s="314"/>
      <c r="HH22" s="314"/>
      <c r="HI22" s="314"/>
      <c r="HJ22" s="314"/>
      <c r="HK22" s="314"/>
      <c r="HL22" s="314"/>
      <c r="HM22" s="314"/>
      <c r="HN22" s="314"/>
      <c r="HO22" s="314"/>
      <c r="HP22" s="314"/>
      <c r="HQ22" s="314"/>
      <c r="HR22" s="314"/>
      <c r="HS22" s="314"/>
      <c r="HT22" s="314"/>
      <c r="HU22" s="314"/>
      <c r="HV22" s="314"/>
      <c r="HW22" s="314"/>
      <c r="HX22" s="314"/>
      <c r="HY22" s="314"/>
      <c r="HZ22" s="314"/>
      <c r="IA22" s="314"/>
      <c r="IB22" s="314"/>
      <c r="IC22" s="314"/>
      <c r="ID22" s="314"/>
      <c r="IE22" s="314"/>
      <c r="IF22" s="314"/>
      <c r="IG22" s="314"/>
      <c r="IH22" s="314"/>
      <c r="II22" s="314"/>
      <c r="IJ22" s="314"/>
      <c r="IK22" s="314"/>
      <c r="IL22" s="314"/>
      <c r="IM22" s="314"/>
      <c r="IN22" s="314"/>
      <c r="IO22" s="314"/>
      <c r="IP22" s="314"/>
      <c r="IQ22" s="314"/>
      <c r="IR22" s="314"/>
      <c r="IS22" s="314"/>
      <c r="IT22" s="314"/>
      <c r="IU22" s="314"/>
      <c r="IV22" s="314"/>
      <c r="IW22" s="314"/>
      <c r="IX22" s="314"/>
      <c r="IY22" s="314"/>
      <c r="IZ22" s="314"/>
      <c r="JA22" s="314"/>
      <c r="JB22" s="314"/>
      <c r="JC22" s="314"/>
      <c r="JD22" s="314"/>
      <c r="JE22" s="314"/>
      <c r="JF22" s="314"/>
      <c r="JG22" s="314"/>
      <c r="JH22" s="314"/>
      <c r="JI22" s="314"/>
      <c r="JJ22" s="314"/>
      <c r="JK22" s="314"/>
      <c r="JL22" s="314"/>
      <c r="JM22" s="314"/>
      <c r="JN22" s="314"/>
      <c r="JO22" s="314"/>
      <c r="JP22" s="314"/>
      <c r="JQ22" s="314"/>
      <c r="JR22" s="314"/>
      <c r="JS22" s="314"/>
      <c r="JT22" s="314"/>
      <c r="JU22" s="314"/>
      <c r="JV22" s="314"/>
      <c r="JW22" s="314"/>
      <c r="JX22" s="314"/>
      <c r="JY22" s="314"/>
      <c r="JZ22" s="314"/>
      <c r="KA22" s="314"/>
      <c r="KB22" s="314"/>
      <c r="KC22" s="314"/>
      <c r="KD22" s="314"/>
      <c r="KE22" s="314"/>
      <c r="KF22" s="314"/>
      <c r="KG22" s="314"/>
      <c r="KH22" s="314"/>
      <c r="KI22" s="314"/>
      <c r="KJ22" s="314"/>
      <c r="KK22" s="314"/>
      <c r="KL22" s="314"/>
      <c r="KM22" s="314"/>
      <c r="KN22" s="314"/>
      <c r="KO22" s="314"/>
      <c r="KP22" s="314"/>
      <c r="KQ22" s="314"/>
      <c r="KR22" s="314"/>
      <c r="KS22" s="314"/>
      <c r="KT22" s="314"/>
      <c r="KU22" s="314"/>
      <c r="KV22" s="314"/>
      <c r="KW22" s="314"/>
      <c r="KX22" s="314"/>
      <c r="KY22" s="314"/>
      <c r="KZ22" s="314"/>
      <c r="LA22" s="314"/>
      <c r="LB22" s="314"/>
      <c r="LC22" s="314"/>
      <c r="LD22" s="314"/>
      <c r="LE22" s="314"/>
      <c r="LF22" s="314"/>
      <c r="LG22" s="314"/>
      <c r="LH22" s="314"/>
      <c r="LI22" s="314"/>
      <c r="LJ22" s="314"/>
      <c r="LK22" s="314"/>
      <c r="LL22" s="314"/>
      <c r="LM22" s="314"/>
      <c r="LN22" s="314"/>
      <c r="LO22" s="314"/>
      <c r="LP22" s="313"/>
      <c r="LQ22" s="314"/>
      <c r="LR22" s="314"/>
      <c r="LS22" s="314"/>
      <c r="LT22" s="314"/>
      <c r="LU22" s="313"/>
      <c r="LV22" s="314"/>
      <c r="LW22" s="314"/>
      <c r="LX22" s="314"/>
      <c r="LY22" s="314"/>
      <c r="LZ22" s="314"/>
      <c r="MA22" s="314"/>
      <c r="MB22" s="314"/>
      <c r="MC22" s="314"/>
      <c r="MD22" s="314"/>
      <c r="ME22" s="314"/>
      <c r="MF22" s="314"/>
      <c r="MG22" s="314"/>
      <c r="MH22" s="314"/>
      <c r="MI22" s="314"/>
      <c r="MJ22" s="314"/>
      <c r="MK22" s="314"/>
      <c r="ML22" s="314"/>
      <c r="MM22" s="314"/>
      <c r="MN22" s="314"/>
      <c r="MO22" s="314"/>
      <c r="MP22" s="314"/>
      <c r="MQ22" s="314"/>
      <c r="MR22" s="314"/>
      <c r="MS22" s="314"/>
      <c r="MT22" s="314"/>
      <c r="MU22" s="314"/>
      <c r="MV22" s="314"/>
      <c r="MW22" s="314"/>
      <c r="MX22" s="314"/>
      <c r="MY22" s="314"/>
      <c r="MZ22" s="314"/>
      <c r="NA22" s="314"/>
      <c r="NB22" s="314"/>
      <c r="NC22" s="313"/>
      <c r="ND22" s="313"/>
      <c r="NE22" s="314"/>
      <c r="NF22" s="314"/>
      <c r="NG22" s="314"/>
      <c r="NH22" s="314"/>
      <c r="NI22" s="314"/>
      <c r="NJ22" s="313"/>
      <c r="NK22" s="292"/>
      <c r="NL22" s="292"/>
      <c r="NM22" s="292"/>
      <c r="NN22" s="292"/>
      <c r="NO22" s="292"/>
      <c r="NP22" s="292"/>
      <c r="NQ22" s="292"/>
    </row>
    <row r="23" spans="3:381" ht="20.100000000000001" customHeight="1" x14ac:dyDescent="0.25">
      <c r="C23" s="307"/>
      <c r="D23" s="308"/>
      <c r="E23" s="308"/>
      <c r="F23" s="309">
        <f t="shared" si="0"/>
        <v>1</v>
      </c>
      <c r="G23" s="310"/>
      <c r="H23" s="311" t="s">
        <v>564</v>
      </c>
      <c r="I23" s="312"/>
      <c r="J23" s="313"/>
      <c r="K23" s="314"/>
      <c r="L23" s="314"/>
      <c r="M23" s="314"/>
      <c r="N23" s="314"/>
      <c r="O23" s="314"/>
      <c r="P23" s="314"/>
      <c r="Q23" s="314"/>
      <c r="R23" s="314"/>
      <c r="S23" s="314"/>
      <c r="T23" s="314"/>
      <c r="U23" s="314"/>
      <c r="V23" s="314"/>
      <c r="W23" s="314"/>
      <c r="X23" s="314"/>
      <c r="Y23" s="314"/>
      <c r="Z23" s="314"/>
      <c r="AA23" s="314"/>
      <c r="AB23" s="314"/>
      <c r="AC23" s="314"/>
      <c r="AD23" s="314"/>
      <c r="AE23" s="314"/>
      <c r="AF23" s="314"/>
      <c r="AG23" s="314"/>
      <c r="AH23" s="314"/>
      <c r="AI23" s="314"/>
      <c r="AJ23" s="314"/>
      <c r="AK23" s="314"/>
      <c r="AL23" s="314"/>
      <c r="AM23" s="314"/>
      <c r="AN23" s="314"/>
      <c r="AO23" s="314"/>
      <c r="AP23" s="314"/>
      <c r="AQ23" s="314"/>
      <c r="AR23" s="314"/>
      <c r="AS23" s="314"/>
      <c r="AT23" s="314"/>
      <c r="AU23" s="314"/>
      <c r="AV23" s="314"/>
      <c r="AW23" s="314"/>
      <c r="AX23" s="314"/>
      <c r="AY23" s="314"/>
      <c r="AZ23" s="314"/>
      <c r="BA23" s="314"/>
      <c r="BB23" s="314"/>
      <c r="BC23" s="314"/>
      <c r="BD23" s="314"/>
      <c r="BE23" s="314"/>
      <c r="BF23" s="314"/>
      <c r="BG23" s="314"/>
      <c r="BH23" s="314"/>
      <c r="BI23" s="314"/>
      <c r="BJ23" s="314"/>
      <c r="BK23" s="314"/>
      <c r="BL23" s="314"/>
      <c r="BM23" s="314"/>
      <c r="BN23" s="314"/>
      <c r="BO23" s="314"/>
      <c r="BP23" s="314"/>
      <c r="BQ23" s="314"/>
      <c r="BR23" s="314"/>
      <c r="BS23" s="314"/>
      <c r="BT23" s="313"/>
      <c r="BU23" s="314"/>
      <c r="BV23" s="314"/>
      <c r="BW23" s="314"/>
      <c r="BX23" s="314"/>
      <c r="BY23" s="314"/>
      <c r="BZ23" s="314"/>
      <c r="CA23" s="314"/>
      <c r="CB23" s="314"/>
      <c r="CC23" s="314"/>
      <c r="CD23" s="314"/>
      <c r="CE23" s="314"/>
      <c r="CF23" s="315"/>
      <c r="CG23" s="314"/>
      <c r="CH23" s="314"/>
      <c r="CI23" s="314"/>
      <c r="CJ23" s="314"/>
      <c r="CK23" s="314"/>
      <c r="CL23" s="314"/>
      <c r="CM23" s="314"/>
      <c r="CN23" s="314"/>
      <c r="CO23" s="314"/>
      <c r="CP23" s="314"/>
      <c r="CQ23" s="314"/>
      <c r="CR23" s="314"/>
      <c r="CS23" s="313"/>
      <c r="CT23" s="314"/>
      <c r="CU23" s="314"/>
      <c r="CV23" s="314"/>
      <c r="CW23" s="314"/>
      <c r="CX23" s="314"/>
      <c r="CY23" s="314"/>
      <c r="CZ23" s="314"/>
      <c r="DA23" s="314"/>
      <c r="DB23" s="314"/>
      <c r="DC23" s="314"/>
      <c r="DD23" s="314"/>
      <c r="DE23" s="314"/>
      <c r="DF23" s="314"/>
      <c r="DG23" s="314"/>
      <c r="DH23" s="314"/>
      <c r="DI23" s="314"/>
      <c r="DJ23" s="314"/>
      <c r="DK23" s="314"/>
      <c r="DL23" s="314"/>
      <c r="DM23" s="313"/>
      <c r="DN23" s="314"/>
      <c r="DO23" s="314"/>
      <c r="DP23" s="313"/>
      <c r="DQ23" s="314"/>
      <c r="DR23" s="314"/>
      <c r="DS23" s="314"/>
      <c r="DT23" s="314"/>
      <c r="DU23" s="314"/>
      <c r="DV23" s="314"/>
      <c r="DW23" s="314"/>
      <c r="DX23" s="314"/>
      <c r="DY23" s="314"/>
      <c r="DZ23" s="313"/>
      <c r="EA23" s="314"/>
      <c r="EB23" s="314"/>
      <c r="EC23" s="314"/>
      <c r="ED23" s="314"/>
      <c r="EE23" s="314"/>
      <c r="EF23" s="314"/>
      <c r="EG23" s="314"/>
      <c r="EH23" s="314"/>
      <c r="EI23" s="314"/>
      <c r="EJ23" s="314"/>
      <c r="EK23" s="314"/>
      <c r="EL23" s="314"/>
      <c r="EM23" s="314"/>
      <c r="EN23" s="314"/>
      <c r="EO23" s="314"/>
      <c r="EP23" s="314"/>
      <c r="EQ23" s="314"/>
      <c r="ER23" s="314"/>
      <c r="ES23" s="314"/>
      <c r="ET23" s="314"/>
      <c r="EU23" s="314"/>
      <c r="EV23" s="314"/>
      <c r="EW23" s="314"/>
      <c r="EX23" s="314"/>
      <c r="EY23" s="314"/>
      <c r="EZ23" s="314"/>
      <c r="FA23" s="314"/>
      <c r="FB23" s="314"/>
      <c r="FC23" s="314"/>
      <c r="FD23" s="314"/>
      <c r="FE23" s="314"/>
      <c r="FF23" s="314"/>
      <c r="FG23" s="314"/>
      <c r="FH23" s="314"/>
      <c r="FI23" s="314"/>
      <c r="FJ23" s="314"/>
      <c r="FK23" s="314"/>
      <c r="FL23" s="314"/>
      <c r="FM23" s="314"/>
      <c r="FN23" s="314"/>
      <c r="FO23" s="314"/>
      <c r="FP23" s="314"/>
      <c r="FQ23" s="314"/>
      <c r="FR23" s="314"/>
      <c r="FS23" s="314"/>
      <c r="FT23" s="314"/>
      <c r="FU23" s="314"/>
      <c r="FV23" s="314"/>
      <c r="FW23" s="313"/>
      <c r="FX23" s="314"/>
      <c r="FY23" s="314"/>
      <c r="FZ23" s="314"/>
      <c r="GA23" s="314"/>
      <c r="GB23" s="314"/>
      <c r="GC23" s="314"/>
      <c r="GD23" s="314"/>
      <c r="GE23" s="314"/>
      <c r="GF23" s="314"/>
      <c r="GG23" s="314"/>
      <c r="GH23" s="314"/>
      <c r="GI23" s="314"/>
      <c r="GJ23" s="314"/>
      <c r="GK23" s="314"/>
      <c r="GL23" s="314"/>
      <c r="GM23" s="314"/>
      <c r="GN23" s="314"/>
      <c r="GO23" s="314"/>
      <c r="GP23" s="314"/>
      <c r="GQ23" s="313"/>
      <c r="GR23" s="314"/>
      <c r="GS23" s="314"/>
      <c r="GT23" s="314"/>
      <c r="GU23" s="314"/>
      <c r="GV23" s="314"/>
      <c r="GW23" s="314"/>
      <c r="GX23" s="314"/>
      <c r="GY23" s="314"/>
      <c r="GZ23" s="314"/>
      <c r="HA23" s="314"/>
      <c r="HB23" s="314"/>
      <c r="HC23" s="314"/>
      <c r="HD23" s="314"/>
      <c r="HE23" s="314"/>
      <c r="HF23" s="314"/>
      <c r="HG23" s="314"/>
      <c r="HH23" s="314"/>
      <c r="HI23" s="314"/>
      <c r="HJ23" s="314"/>
      <c r="HK23" s="314"/>
      <c r="HL23" s="314"/>
      <c r="HM23" s="314"/>
      <c r="HN23" s="314"/>
      <c r="HO23" s="314"/>
      <c r="HP23" s="314"/>
      <c r="HQ23" s="314"/>
      <c r="HR23" s="314"/>
      <c r="HS23" s="314"/>
      <c r="HT23" s="314"/>
      <c r="HU23" s="314"/>
      <c r="HV23" s="314"/>
      <c r="HW23" s="314"/>
      <c r="HX23" s="314"/>
      <c r="HY23" s="314"/>
      <c r="HZ23" s="314"/>
      <c r="IA23" s="314"/>
      <c r="IB23" s="314"/>
      <c r="IC23" s="314"/>
      <c r="ID23" s="314"/>
      <c r="IE23" s="314"/>
      <c r="IF23" s="314"/>
      <c r="IG23" s="314"/>
      <c r="IH23" s="314"/>
      <c r="II23" s="314"/>
      <c r="IJ23" s="314"/>
      <c r="IK23" s="314"/>
      <c r="IL23" s="314"/>
      <c r="IM23" s="314"/>
      <c r="IN23" s="314"/>
      <c r="IO23" s="314"/>
      <c r="IP23" s="314"/>
      <c r="IQ23" s="314"/>
      <c r="IR23" s="314"/>
      <c r="IS23" s="314"/>
      <c r="IT23" s="314"/>
      <c r="IU23" s="314"/>
      <c r="IV23" s="314"/>
      <c r="IW23" s="314"/>
      <c r="IX23" s="314"/>
      <c r="IY23" s="314"/>
      <c r="IZ23" s="314"/>
      <c r="JA23" s="314"/>
      <c r="JB23" s="314"/>
      <c r="JC23" s="314"/>
      <c r="JD23" s="314"/>
      <c r="JE23" s="314"/>
      <c r="JF23" s="314"/>
      <c r="JG23" s="314"/>
      <c r="JH23" s="314"/>
      <c r="JI23" s="314"/>
      <c r="JJ23" s="314"/>
      <c r="JK23" s="314"/>
      <c r="JL23" s="314"/>
      <c r="JM23" s="314"/>
      <c r="JN23" s="314"/>
      <c r="JO23" s="314"/>
      <c r="JP23" s="314"/>
      <c r="JQ23" s="314"/>
      <c r="JR23" s="314"/>
      <c r="JS23" s="314"/>
      <c r="JT23" s="314"/>
      <c r="JU23" s="314"/>
      <c r="JV23" s="314"/>
      <c r="JW23" s="314"/>
      <c r="JX23" s="314"/>
      <c r="JY23" s="314"/>
      <c r="JZ23" s="314"/>
      <c r="KA23" s="314"/>
      <c r="KB23" s="314"/>
      <c r="KC23" s="314"/>
      <c r="KD23" s="314"/>
      <c r="KE23" s="314"/>
      <c r="KF23" s="314"/>
      <c r="KG23" s="314"/>
      <c r="KH23" s="314"/>
      <c r="KI23" s="314"/>
      <c r="KJ23" s="314"/>
      <c r="KK23" s="314"/>
      <c r="KL23" s="314"/>
      <c r="KM23" s="314"/>
      <c r="KN23" s="314"/>
      <c r="KO23" s="314"/>
      <c r="KP23" s="314"/>
      <c r="KQ23" s="314"/>
      <c r="KR23" s="314"/>
      <c r="KS23" s="314"/>
      <c r="KT23" s="314"/>
      <c r="KU23" s="314"/>
      <c r="KV23" s="314"/>
      <c r="KW23" s="314"/>
      <c r="KX23" s="314"/>
      <c r="KY23" s="314"/>
      <c r="KZ23" s="314"/>
      <c r="LA23" s="314"/>
      <c r="LB23" s="314"/>
      <c r="LC23" s="314"/>
      <c r="LD23" s="314"/>
      <c r="LE23" s="314"/>
      <c r="LF23" s="314"/>
      <c r="LG23" s="314"/>
      <c r="LH23" s="314"/>
      <c r="LI23" s="314"/>
      <c r="LJ23" s="314"/>
      <c r="LK23" s="314"/>
      <c r="LL23" s="314"/>
      <c r="LM23" s="314"/>
      <c r="LN23" s="314"/>
      <c r="LO23" s="314"/>
      <c r="LP23" s="313"/>
      <c r="LQ23" s="314"/>
      <c r="LR23" s="314"/>
      <c r="LS23" s="314"/>
      <c r="LT23" s="314"/>
      <c r="LU23" s="313"/>
      <c r="LV23" s="314"/>
      <c r="LW23" s="314"/>
      <c r="LX23" s="314"/>
      <c r="LY23" s="314"/>
      <c r="LZ23" s="314"/>
      <c r="MA23" s="314"/>
      <c r="MB23" s="314"/>
      <c r="MC23" s="314"/>
      <c r="MD23" s="314"/>
      <c r="ME23" s="314"/>
      <c r="MF23" s="314"/>
      <c r="MG23" s="314"/>
      <c r="MH23" s="314"/>
      <c r="MI23" s="314"/>
      <c r="MJ23" s="314"/>
      <c r="MK23" s="314"/>
      <c r="ML23" s="314"/>
      <c r="MM23" s="314"/>
      <c r="MN23" s="314"/>
      <c r="MO23" s="314"/>
      <c r="MP23" s="314"/>
      <c r="MQ23" s="314"/>
      <c r="MR23" s="314"/>
      <c r="MS23" s="314"/>
      <c r="MT23" s="314"/>
      <c r="MU23" s="314"/>
      <c r="MV23" s="314"/>
      <c r="MW23" s="314"/>
      <c r="MX23" s="314"/>
      <c r="MY23" s="314"/>
      <c r="MZ23" s="314"/>
      <c r="NA23" s="314"/>
      <c r="NB23" s="314"/>
      <c r="NC23" s="313"/>
      <c r="ND23" s="313"/>
      <c r="NE23" s="314"/>
      <c r="NF23" s="314"/>
      <c r="NG23" s="314"/>
      <c r="NH23" s="314"/>
      <c r="NI23" s="314"/>
      <c r="NJ23" s="313"/>
    </row>
    <row r="24" spans="3:381" ht="20.100000000000001" customHeight="1" x14ac:dyDescent="0.25">
      <c r="C24" s="307"/>
      <c r="D24" s="308"/>
      <c r="E24" s="308"/>
      <c r="F24" s="309">
        <f t="shared" si="0"/>
        <v>1</v>
      </c>
      <c r="G24" s="310"/>
      <c r="H24" s="311" t="s">
        <v>564</v>
      </c>
      <c r="I24" s="312"/>
      <c r="J24" s="313"/>
      <c r="K24" s="314"/>
      <c r="L24" s="314"/>
      <c r="M24" s="314"/>
      <c r="N24" s="314"/>
      <c r="O24" s="314"/>
      <c r="P24" s="314"/>
      <c r="Q24" s="314"/>
      <c r="R24" s="314"/>
      <c r="S24" s="314"/>
      <c r="T24" s="314"/>
      <c r="U24" s="314"/>
      <c r="V24" s="314"/>
      <c r="W24" s="314"/>
      <c r="X24" s="314"/>
      <c r="Y24" s="314"/>
      <c r="Z24" s="314"/>
      <c r="AA24" s="314"/>
      <c r="AB24" s="314"/>
      <c r="AC24" s="314"/>
      <c r="AD24" s="314"/>
      <c r="AE24" s="314"/>
      <c r="AF24" s="314"/>
      <c r="AG24" s="314"/>
      <c r="AH24" s="314"/>
      <c r="AI24" s="314"/>
      <c r="AJ24" s="314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BH24" s="314"/>
      <c r="BI24" s="314"/>
      <c r="BJ24" s="314"/>
      <c r="BK24" s="314"/>
      <c r="BL24" s="314"/>
      <c r="BM24" s="314"/>
      <c r="BN24" s="314"/>
      <c r="BO24" s="314"/>
      <c r="BP24" s="314"/>
      <c r="BQ24" s="314"/>
      <c r="BR24" s="314"/>
      <c r="BS24" s="314"/>
      <c r="BT24" s="313"/>
      <c r="BU24" s="314"/>
      <c r="BV24" s="314"/>
      <c r="BW24" s="314"/>
      <c r="BX24" s="314"/>
      <c r="BY24" s="314"/>
      <c r="BZ24" s="314"/>
      <c r="CA24" s="314"/>
      <c r="CB24" s="314"/>
      <c r="CC24" s="314"/>
      <c r="CD24" s="314"/>
      <c r="CE24" s="314"/>
      <c r="CF24" s="315"/>
      <c r="CG24" s="314"/>
      <c r="CH24" s="314"/>
      <c r="CI24" s="314"/>
      <c r="CJ24" s="314"/>
      <c r="CK24" s="314"/>
      <c r="CL24" s="314"/>
      <c r="CM24" s="314"/>
      <c r="CN24" s="314"/>
      <c r="CO24" s="314"/>
      <c r="CP24" s="314"/>
      <c r="CQ24" s="314"/>
      <c r="CR24" s="314"/>
      <c r="CS24" s="313"/>
      <c r="CT24" s="314"/>
      <c r="CU24" s="314"/>
      <c r="CV24" s="314"/>
      <c r="CW24" s="314"/>
      <c r="CX24" s="314"/>
      <c r="CY24" s="314"/>
      <c r="CZ24" s="314"/>
      <c r="DA24" s="314"/>
      <c r="DB24" s="314"/>
      <c r="DC24" s="314"/>
      <c r="DD24" s="314"/>
      <c r="DE24" s="314"/>
      <c r="DF24" s="314"/>
      <c r="DG24" s="314"/>
      <c r="DH24" s="314"/>
      <c r="DI24" s="314"/>
      <c r="DJ24" s="314"/>
      <c r="DK24" s="314"/>
      <c r="DL24" s="314"/>
      <c r="DM24" s="313"/>
      <c r="DN24" s="314"/>
      <c r="DO24" s="314"/>
      <c r="DP24" s="313"/>
      <c r="DQ24" s="314"/>
      <c r="DR24" s="314"/>
      <c r="DS24" s="314"/>
      <c r="DT24" s="314"/>
      <c r="DU24" s="314"/>
      <c r="DV24" s="314"/>
      <c r="DW24" s="314"/>
      <c r="DX24" s="314"/>
      <c r="DY24" s="314"/>
      <c r="DZ24" s="313"/>
      <c r="EA24" s="314"/>
      <c r="EB24" s="314"/>
      <c r="EC24" s="314"/>
      <c r="ED24" s="314"/>
      <c r="EE24" s="314"/>
      <c r="EF24" s="314"/>
      <c r="EG24" s="314"/>
      <c r="EH24" s="314"/>
      <c r="EI24" s="314"/>
      <c r="EJ24" s="314"/>
      <c r="EK24" s="314"/>
      <c r="EL24" s="314"/>
      <c r="EM24" s="314"/>
      <c r="EN24" s="314"/>
      <c r="EO24" s="314"/>
      <c r="EP24" s="314"/>
      <c r="EQ24" s="314"/>
      <c r="ER24" s="314"/>
      <c r="ES24" s="314"/>
      <c r="ET24" s="314"/>
      <c r="EU24" s="314"/>
      <c r="EV24" s="314"/>
      <c r="EW24" s="314"/>
      <c r="EX24" s="314"/>
      <c r="EY24" s="314"/>
      <c r="EZ24" s="314"/>
      <c r="FA24" s="314"/>
      <c r="FB24" s="314"/>
      <c r="FC24" s="314"/>
      <c r="FD24" s="314"/>
      <c r="FE24" s="314"/>
      <c r="FF24" s="314"/>
      <c r="FG24" s="314"/>
      <c r="FH24" s="314"/>
      <c r="FI24" s="314"/>
      <c r="FJ24" s="314"/>
      <c r="FK24" s="314"/>
      <c r="FL24" s="314"/>
      <c r="FM24" s="314"/>
      <c r="FN24" s="314"/>
      <c r="FO24" s="314"/>
      <c r="FP24" s="314"/>
      <c r="FQ24" s="314"/>
      <c r="FR24" s="314"/>
      <c r="FS24" s="314"/>
      <c r="FT24" s="314"/>
      <c r="FU24" s="314"/>
      <c r="FV24" s="314"/>
      <c r="FW24" s="313"/>
      <c r="FX24" s="314"/>
      <c r="FY24" s="314"/>
      <c r="FZ24" s="314"/>
      <c r="GA24" s="314"/>
      <c r="GB24" s="314"/>
      <c r="GC24" s="314"/>
      <c r="GD24" s="314"/>
      <c r="GE24" s="314"/>
      <c r="GF24" s="314"/>
      <c r="GG24" s="314"/>
      <c r="GH24" s="314"/>
      <c r="GI24" s="314"/>
      <c r="GJ24" s="314"/>
      <c r="GK24" s="314"/>
      <c r="GL24" s="314"/>
      <c r="GM24" s="314"/>
      <c r="GN24" s="314"/>
      <c r="GO24" s="314"/>
      <c r="GP24" s="314"/>
      <c r="GQ24" s="313"/>
      <c r="GR24" s="314"/>
      <c r="GS24" s="314"/>
      <c r="GT24" s="314"/>
      <c r="GU24" s="314"/>
      <c r="GV24" s="314"/>
      <c r="GW24" s="314"/>
      <c r="GX24" s="314"/>
      <c r="GY24" s="314"/>
      <c r="GZ24" s="314"/>
      <c r="HA24" s="314"/>
      <c r="HB24" s="314"/>
      <c r="HC24" s="314"/>
      <c r="HD24" s="314"/>
      <c r="HE24" s="314"/>
      <c r="HF24" s="314"/>
      <c r="HG24" s="314"/>
      <c r="HH24" s="314"/>
      <c r="HI24" s="314"/>
      <c r="HJ24" s="314"/>
      <c r="HK24" s="314"/>
      <c r="HL24" s="314"/>
      <c r="HM24" s="314"/>
      <c r="HN24" s="314"/>
      <c r="HO24" s="314"/>
      <c r="HP24" s="314"/>
      <c r="HQ24" s="314"/>
      <c r="HR24" s="314"/>
      <c r="HS24" s="314"/>
      <c r="HT24" s="314"/>
      <c r="HU24" s="314"/>
      <c r="HV24" s="314"/>
      <c r="HW24" s="314"/>
      <c r="HX24" s="314"/>
      <c r="HY24" s="314"/>
      <c r="HZ24" s="314"/>
      <c r="IA24" s="314"/>
      <c r="IB24" s="314"/>
      <c r="IC24" s="314"/>
      <c r="ID24" s="314"/>
      <c r="IE24" s="314"/>
      <c r="IF24" s="314"/>
      <c r="IG24" s="314"/>
      <c r="IH24" s="314"/>
      <c r="II24" s="314"/>
      <c r="IJ24" s="314"/>
      <c r="IK24" s="314"/>
      <c r="IL24" s="314"/>
      <c r="IM24" s="314"/>
      <c r="IN24" s="314"/>
      <c r="IO24" s="314"/>
      <c r="IP24" s="314"/>
      <c r="IQ24" s="314"/>
      <c r="IR24" s="314"/>
      <c r="IS24" s="314"/>
      <c r="IT24" s="314"/>
      <c r="IU24" s="314"/>
      <c r="IV24" s="314"/>
      <c r="IW24" s="314"/>
      <c r="IX24" s="314"/>
      <c r="IY24" s="314"/>
      <c r="IZ24" s="314"/>
      <c r="JA24" s="314"/>
      <c r="JB24" s="314"/>
      <c r="JC24" s="314"/>
      <c r="JD24" s="314"/>
      <c r="JE24" s="314"/>
      <c r="JF24" s="314"/>
      <c r="JG24" s="314"/>
      <c r="JH24" s="314"/>
      <c r="JI24" s="314"/>
      <c r="JJ24" s="314"/>
      <c r="JK24" s="314"/>
      <c r="JL24" s="314"/>
      <c r="JM24" s="314"/>
      <c r="JN24" s="314"/>
      <c r="JO24" s="314"/>
      <c r="JP24" s="314"/>
      <c r="JQ24" s="314"/>
      <c r="JR24" s="314"/>
      <c r="JS24" s="314"/>
      <c r="JT24" s="314"/>
      <c r="JU24" s="314"/>
      <c r="JV24" s="314"/>
      <c r="JW24" s="314"/>
      <c r="JX24" s="314"/>
      <c r="JY24" s="314"/>
      <c r="JZ24" s="314"/>
      <c r="KA24" s="314"/>
      <c r="KB24" s="314"/>
      <c r="KC24" s="314"/>
      <c r="KD24" s="314"/>
      <c r="KE24" s="314"/>
      <c r="KF24" s="314"/>
      <c r="KG24" s="314"/>
      <c r="KH24" s="314"/>
      <c r="KI24" s="314"/>
      <c r="KJ24" s="314"/>
      <c r="KK24" s="314"/>
      <c r="KL24" s="314"/>
      <c r="KM24" s="314"/>
      <c r="KN24" s="314"/>
      <c r="KO24" s="314"/>
      <c r="KP24" s="314"/>
      <c r="KQ24" s="314"/>
      <c r="KR24" s="314"/>
      <c r="KS24" s="314"/>
      <c r="KT24" s="314"/>
      <c r="KU24" s="314"/>
      <c r="KV24" s="314"/>
      <c r="KW24" s="314"/>
      <c r="KX24" s="314"/>
      <c r="KY24" s="314"/>
      <c r="KZ24" s="314"/>
      <c r="LA24" s="314"/>
      <c r="LB24" s="314"/>
      <c r="LC24" s="314"/>
      <c r="LD24" s="314"/>
      <c r="LE24" s="314"/>
      <c r="LF24" s="314"/>
      <c r="LG24" s="314"/>
      <c r="LH24" s="314"/>
      <c r="LI24" s="314"/>
      <c r="LJ24" s="314"/>
      <c r="LK24" s="314"/>
      <c r="LL24" s="314"/>
      <c r="LM24" s="314"/>
      <c r="LN24" s="314"/>
      <c r="LO24" s="314"/>
      <c r="LP24" s="313"/>
      <c r="LQ24" s="314"/>
      <c r="LR24" s="314"/>
      <c r="LS24" s="314"/>
      <c r="LT24" s="314"/>
      <c r="LU24" s="313"/>
      <c r="LV24" s="314"/>
      <c r="LW24" s="314"/>
      <c r="LX24" s="314"/>
      <c r="LY24" s="314"/>
      <c r="LZ24" s="314"/>
      <c r="MA24" s="314"/>
      <c r="MB24" s="314"/>
      <c r="MC24" s="314"/>
      <c r="MD24" s="314"/>
      <c r="ME24" s="314"/>
      <c r="MF24" s="314"/>
      <c r="MG24" s="314"/>
      <c r="MH24" s="314"/>
      <c r="MI24" s="314"/>
      <c r="MJ24" s="314"/>
      <c r="MK24" s="314"/>
      <c r="ML24" s="314"/>
      <c r="MM24" s="314"/>
      <c r="MN24" s="314"/>
      <c r="MO24" s="314"/>
      <c r="MP24" s="314"/>
      <c r="MQ24" s="314"/>
      <c r="MR24" s="314"/>
      <c r="MS24" s="314"/>
      <c r="MT24" s="314"/>
      <c r="MU24" s="314"/>
      <c r="MV24" s="314"/>
      <c r="MW24" s="314"/>
      <c r="MX24" s="314"/>
      <c r="MY24" s="314"/>
      <c r="MZ24" s="314"/>
      <c r="NA24" s="314"/>
      <c r="NB24" s="314"/>
      <c r="NC24" s="313"/>
      <c r="ND24" s="313"/>
      <c r="NE24" s="314"/>
      <c r="NF24" s="314"/>
      <c r="NG24" s="314"/>
      <c r="NH24" s="314"/>
      <c r="NI24" s="314"/>
      <c r="NJ24" s="313"/>
      <c r="NK24" s="292"/>
      <c r="NL24" s="292"/>
      <c r="NM24" s="292"/>
      <c r="NN24" s="292"/>
      <c r="NO24" s="292"/>
      <c r="NP24" s="292"/>
      <c r="NQ24" s="292"/>
    </row>
    <row r="25" spans="3:381" ht="20.100000000000001" customHeight="1" x14ac:dyDescent="0.25">
      <c r="C25" s="317"/>
      <c r="D25" s="308"/>
      <c r="E25" s="308"/>
      <c r="F25" s="309">
        <f t="shared" si="0"/>
        <v>1</v>
      </c>
      <c r="G25" s="310"/>
      <c r="H25" s="311" t="s">
        <v>564</v>
      </c>
      <c r="I25" s="312"/>
      <c r="J25" s="313"/>
      <c r="K25" s="314"/>
      <c r="L25" s="314"/>
      <c r="M25" s="314"/>
      <c r="N25" s="314"/>
      <c r="O25" s="314"/>
      <c r="P25" s="314"/>
      <c r="Q25" s="314"/>
      <c r="R25" s="314"/>
      <c r="S25" s="314"/>
      <c r="T25" s="314"/>
      <c r="U25" s="314"/>
      <c r="V25" s="314"/>
      <c r="W25" s="314"/>
      <c r="X25" s="314"/>
      <c r="Y25" s="314"/>
      <c r="Z25" s="314"/>
      <c r="AA25" s="314"/>
      <c r="AB25" s="314"/>
      <c r="AC25" s="314"/>
      <c r="AD25" s="314"/>
      <c r="AE25" s="314"/>
      <c r="AF25" s="314"/>
      <c r="AG25" s="314"/>
      <c r="AH25" s="314"/>
      <c r="AI25" s="314"/>
      <c r="AJ25" s="314"/>
      <c r="AK25" s="314"/>
      <c r="AL25" s="314"/>
      <c r="AM25" s="314"/>
      <c r="AN25" s="314"/>
      <c r="AO25" s="314"/>
      <c r="AP25" s="314"/>
      <c r="AQ25" s="314"/>
      <c r="AR25" s="314"/>
      <c r="AS25" s="314"/>
      <c r="AT25" s="314"/>
      <c r="AU25" s="314"/>
      <c r="AV25" s="314"/>
      <c r="AW25" s="314"/>
      <c r="AX25" s="314"/>
      <c r="AY25" s="314"/>
      <c r="AZ25" s="314"/>
      <c r="BA25" s="314"/>
      <c r="BB25" s="314"/>
      <c r="BC25" s="314"/>
      <c r="BD25" s="314"/>
      <c r="BE25" s="314"/>
      <c r="BF25" s="314"/>
      <c r="BG25" s="314"/>
      <c r="BH25" s="314"/>
      <c r="BI25" s="314"/>
      <c r="BJ25" s="314"/>
      <c r="BK25" s="314"/>
      <c r="BL25" s="314"/>
      <c r="BM25" s="314"/>
      <c r="BN25" s="314"/>
      <c r="BO25" s="314"/>
      <c r="BP25" s="314"/>
      <c r="BQ25" s="314"/>
      <c r="BR25" s="314"/>
      <c r="BS25" s="314"/>
      <c r="BT25" s="313"/>
      <c r="BU25" s="314"/>
      <c r="BV25" s="314"/>
      <c r="BW25" s="314"/>
      <c r="BX25" s="314"/>
      <c r="BY25" s="314"/>
      <c r="BZ25" s="314"/>
      <c r="CA25" s="314"/>
      <c r="CB25" s="314"/>
      <c r="CC25" s="314"/>
      <c r="CD25" s="314"/>
      <c r="CE25" s="314"/>
      <c r="CF25" s="315"/>
      <c r="CG25" s="314"/>
      <c r="CH25" s="314"/>
      <c r="CI25" s="314"/>
      <c r="CJ25" s="314"/>
      <c r="CK25" s="314"/>
      <c r="CL25" s="314"/>
      <c r="CM25" s="314"/>
      <c r="CN25" s="314"/>
      <c r="CO25" s="314"/>
      <c r="CP25" s="314"/>
      <c r="CQ25" s="314"/>
      <c r="CR25" s="314"/>
      <c r="CS25" s="313"/>
      <c r="CT25" s="314"/>
      <c r="CU25" s="314"/>
      <c r="CV25" s="314"/>
      <c r="CW25" s="314"/>
      <c r="CX25" s="314"/>
      <c r="CY25" s="314"/>
      <c r="CZ25" s="314"/>
      <c r="DA25" s="314"/>
      <c r="DB25" s="314"/>
      <c r="DC25" s="314"/>
      <c r="DD25" s="314"/>
      <c r="DE25" s="314"/>
      <c r="DF25" s="314"/>
      <c r="DG25" s="314"/>
      <c r="DH25" s="314"/>
      <c r="DI25" s="314"/>
      <c r="DJ25" s="314"/>
      <c r="DK25" s="314"/>
      <c r="DL25" s="314"/>
      <c r="DM25" s="313"/>
      <c r="DN25" s="314"/>
      <c r="DO25" s="314"/>
      <c r="DP25" s="313"/>
      <c r="DQ25" s="314"/>
      <c r="DR25" s="314"/>
      <c r="DS25" s="314"/>
      <c r="DT25" s="314"/>
      <c r="DU25" s="314"/>
      <c r="DV25" s="314"/>
      <c r="DW25" s="314"/>
      <c r="DX25" s="314"/>
      <c r="DY25" s="314"/>
      <c r="DZ25" s="313"/>
      <c r="EA25" s="314"/>
      <c r="EB25" s="314"/>
      <c r="EC25" s="314"/>
      <c r="ED25" s="314"/>
      <c r="EE25" s="314"/>
      <c r="EF25" s="314"/>
      <c r="EG25" s="314"/>
      <c r="EH25" s="314"/>
      <c r="EI25" s="314"/>
      <c r="EJ25" s="314"/>
      <c r="EK25" s="314"/>
      <c r="EL25" s="314"/>
      <c r="EM25" s="314"/>
      <c r="EN25" s="314"/>
      <c r="EO25" s="314"/>
      <c r="EP25" s="314"/>
      <c r="EQ25" s="314"/>
      <c r="ER25" s="314"/>
      <c r="ES25" s="314"/>
      <c r="ET25" s="314"/>
      <c r="EU25" s="314"/>
      <c r="EV25" s="314"/>
      <c r="EW25" s="314"/>
      <c r="EX25" s="314"/>
      <c r="EY25" s="314"/>
      <c r="EZ25" s="314"/>
      <c r="FA25" s="314"/>
      <c r="FB25" s="314"/>
      <c r="FC25" s="314"/>
      <c r="FD25" s="314"/>
      <c r="FE25" s="314"/>
      <c r="FF25" s="314"/>
      <c r="FG25" s="314"/>
      <c r="FH25" s="314"/>
      <c r="FI25" s="314"/>
      <c r="FJ25" s="314"/>
      <c r="FK25" s="314"/>
      <c r="FL25" s="314"/>
      <c r="FM25" s="314"/>
      <c r="FN25" s="314"/>
      <c r="FO25" s="314"/>
      <c r="FP25" s="314"/>
      <c r="FQ25" s="314"/>
      <c r="FR25" s="314"/>
      <c r="FS25" s="314"/>
      <c r="FT25" s="314"/>
      <c r="FU25" s="314"/>
      <c r="FV25" s="314"/>
      <c r="FW25" s="313"/>
      <c r="FX25" s="314"/>
      <c r="FY25" s="314"/>
      <c r="FZ25" s="314"/>
      <c r="GA25" s="314"/>
      <c r="GB25" s="314"/>
      <c r="GC25" s="314"/>
      <c r="GD25" s="314"/>
      <c r="GE25" s="314"/>
      <c r="GF25" s="314"/>
      <c r="GG25" s="314"/>
      <c r="GH25" s="314"/>
      <c r="GI25" s="314"/>
      <c r="GJ25" s="314"/>
      <c r="GK25" s="314"/>
      <c r="GL25" s="314"/>
      <c r="GM25" s="314"/>
      <c r="GN25" s="314"/>
      <c r="GO25" s="314"/>
      <c r="GP25" s="314"/>
      <c r="GQ25" s="313"/>
      <c r="GR25" s="314"/>
      <c r="GS25" s="314"/>
      <c r="GT25" s="314"/>
      <c r="GU25" s="314"/>
      <c r="GV25" s="314"/>
      <c r="GW25" s="314"/>
      <c r="GX25" s="314"/>
      <c r="GY25" s="314"/>
      <c r="GZ25" s="314"/>
      <c r="HA25" s="314"/>
      <c r="HB25" s="314"/>
      <c r="HC25" s="314"/>
      <c r="HD25" s="314"/>
      <c r="HE25" s="314"/>
      <c r="HF25" s="314"/>
      <c r="HG25" s="314"/>
      <c r="HH25" s="314"/>
      <c r="HI25" s="314"/>
      <c r="HJ25" s="314"/>
      <c r="HK25" s="314"/>
      <c r="HL25" s="314"/>
      <c r="HM25" s="314"/>
      <c r="HN25" s="314"/>
      <c r="HO25" s="314"/>
      <c r="HP25" s="314"/>
      <c r="HQ25" s="314"/>
      <c r="HR25" s="314"/>
      <c r="HS25" s="314"/>
      <c r="HT25" s="314"/>
      <c r="HU25" s="314"/>
      <c r="HV25" s="314"/>
      <c r="HW25" s="314"/>
      <c r="HX25" s="314"/>
      <c r="HY25" s="314"/>
      <c r="HZ25" s="314"/>
      <c r="IA25" s="314"/>
      <c r="IB25" s="314"/>
      <c r="IC25" s="314"/>
      <c r="ID25" s="314"/>
      <c r="IE25" s="314"/>
      <c r="IF25" s="314"/>
      <c r="IG25" s="314"/>
      <c r="IH25" s="314"/>
      <c r="II25" s="314"/>
      <c r="IJ25" s="314"/>
      <c r="IK25" s="314"/>
      <c r="IL25" s="314"/>
      <c r="IM25" s="314"/>
      <c r="IN25" s="314"/>
      <c r="IO25" s="314"/>
      <c r="IP25" s="314"/>
      <c r="IQ25" s="314"/>
      <c r="IR25" s="314"/>
      <c r="IS25" s="314"/>
      <c r="IT25" s="314"/>
      <c r="IU25" s="314"/>
      <c r="IV25" s="314"/>
      <c r="IW25" s="314"/>
      <c r="IX25" s="314"/>
      <c r="IY25" s="314"/>
      <c r="IZ25" s="314"/>
      <c r="JA25" s="314"/>
      <c r="JB25" s="314"/>
      <c r="JC25" s="314"/>
      <c r="JD25" s="314"/>
      <c r="JE25" s="314"/>
      <c r="JF25" s="314"/>
      <c r="JG25" s="314"/>
      <c r="JH25" s="314"/>
      <c r="JI25" s="314"/>
      <c r="JJ25" s="314"/>
      <c r="JK25" s="314"/>
      <c r="JL25" s="314"/>
      <c r="JM25" s="314"/>
      <c r="JN25" s="314"/>
      <c r="JO25" s="314"/>
      <c r="JP25" s="314"/>
      <c r="JQ25" s="314"/>
      <c r="JR25" s="314"/>
      <c r="JS25" s="314"/>
      <c r="JT25" s="314"/>
      <c r="JU25" s="314"/>
      <c r="JV25" s="314"/>
      <c r="JW25" s="314"/>
      <c r="JX25" s="314"/>
      <c r="JY25" s="314"/>
      <c r="JZ25" s="314"/>
      <c r="KA25" s="314"/>
      <c r="KB25" s="314"/>
      <c r="KC25" s="314"/>
      <c r="KD25" s="314"/>
      <c r="KE25" s="314"/>
      <c r="KF25" s="314"/>
      <c r="KG25" s="314"/>
      <c r="KH25" s="314"/>
      <c r="KI25" s="314"/>
      <c r="KJ25" s="314"/>
      <c r="KK25" s="314"/>
      <c r="KL25" s="314"/>
      <c r="KM25" s="314"/>
      <c r="KN25" s="314"/>
      <c r="KO25" s="314"/>
      <c r="KP25" s="314"/>
      <c r="KQ25" s="314"/>
      <c r="KR25" s="314"/>
      <c r="KS25" s="314"/>
      <c r="KT25" s="314"/>
      <c r="KU25" s="314"/>
      <c r="KV25" s="314"/>
      <c r="KW25" s="314"/>
      <c r="KX25" s="314"/>
      <c r="KY25" s="314"/>
      <c r="KZ25" s="314"/>
      <c r="LA25" s="314"/>
      <c r="LB25" s="314"/>
      <c r="LC25" s="314"/>
      <c r="LD25" s="314"/>
      <c r="LE25" s="314"/>
      <c r="LF25" s="314"/>
      <c r="LG25" s="314"/>
      <c r="LH25" s="314"/>
      <c r="LI25" s="314"/>
      <c r="LJ25" s="314"/>
      <c r="LK25" s="314"/>
      <c r="LL25" s="314"/>
      <c r="LM25" s="314"/>
      <c r="LN25" s="314"/>
      <c r="LO25" s="314"/>
      <c r="LP25" s="313"/>
      <c r="LQ25" s="314"/>
      <c r="LR25" s="314"/>
      <c r="LS25" s="314"/>
      <c r="LT25" s="314"/>
      <c r="LU25" s="313"/>
      <c r="LV25" s="314"/>
      <c r="LW25" s="314"/>
      <c r="LX25" s="314"/>
      <c r="LY25" s="314"/>
      <c r="LZ25" s="314"/>
      <c r="MA25" s="314"/>
      <c r="MB25" s="314"/>
      <c r="MC25" s="314"/>
      <c r="MD25" s="314"/>
      <c r="ME25" s="314"/>
      <c r="MF25" s="314"/>
      <c r="MG25" s="314"/>
      <c r="MH25" s="314"/>
      <c r="MI25" s="314"/>
      <c r="MJ25" s="314"/>
      <c r="MK25" s="314"/>
      <c r="ML25" s="314"/>
      <c r="MM25" s="314"/>
      <c r="MN25" s="314"/>
      <c r="MO25" s="314"/>
      <c r="MP25" s="314"/>
      <c r="MQ25" s="314"/>
      <c r="MR25" s="314"/>
      <c r="MS25" s="314"/>
      <c r="MT25" s="314"/>
      <c r="MU25" s="314"/>
      <c r="MV25" s="314"/>
      <c r="MW25" s="314"/>
      <c r="MX25" s="314"/>
      <c r="MY25" s="314"/>
      <c r="MZ25" s="314"/>
      <c r="NA25" s="314"/>
      <c r="NB25" s="314"/>
      <c r="NC25" s="313"/>
      <c r="ND25" s="313"/>
      <c r="NE25" s="314"/>
      <c r="NF25" s="314"/>
      <c r="NG25" s="314"/>
      <c r="NH25" s="314"/>
      <c r="NI25" s="314"/>
      <c r="NJ25" s="313"/>
    </row>
    <row r="26" spans="3:381" ht="20.100000000000001" customHeight="1" x14ac:dyDescent="0.25">
      <c r="C26" s="317"/>
      <c r="D26" s="308"/>
      <c r="E26" s="308"/>
      <c r="F26" s="309">
        <f t="shared" si="0"/>
        <v>1</v>
      </c>
      <c r="G26" s="310"/>
      <c r="H26" s="311" t="s">
        <v>564</v>
      </c>
      <c r="I26" s="312"/>
      <c r="J26" s="313"/>
      <c r="K26" s="314"/>
      <c r="L26" s="314"/>
      <c r="M26" s="314"/>
      <c r="N26" s="314"/>
      <c r="O26" s="314"/>
      <c r="P26" s="314"/>
      <c r="Q26" s="314"/>
      <c r="R26" s="314"/>
      <c r="S26" s="314"/>
      <c r="T26" s="314"/>
      <c r="U26" s="314"/>
      <c r="V26" s="314"/>
      <c r="W26" s="314"/>
      <c r="X26" s="314"/>
      <c r="Y26" s="314"/>
      <c r="Z26" s="314"/>
      <c r="AA26" s="314"/>
      <c r="AB26" s="314"/>
      <c r="AC26" s="314"/>
      <c r="AD26" s="314"/>
      <c r="AE26" s="314"/>
      <c r="AF26" s="314"/>
      <c r="AG26" s="314"/>
      <c r="AH26" s="314"/>
      <c r="AI26" s="314"/>
      <c r="AJ26" s="314"/>
      <c r="AK26" s="314"/>
      <c r="AL26" s="314"/>
      <c r="AM26" s="314"/>
      <c r="AN26" s="314"/>
      <c r="AO26" s="314"/>
      <c r="AP26" s="314"/>
      <c r="AQ26" s="314"/>
      <c r="AR26" s="314"/>
      <c r="AS26" s="314"/>
      <c r="AT26" s="314"/>
      <c r="AU26" s="314"/>
      <c r="AV26" s="314"/>
      <c r="AW26" s="314"/>
      <c r="AX26" s="314"/>
      <c r="AY26" s="314"/>
      <c r="AZ26" s="314"/>
      <c r="BA26" s="314"/>
      <c r="BB26" s="314"/>
      <c r="BC26" s="314"/>
      <c r="BD26" s="314"/>
      <c r="BE26" s="314"/>
      <c r="BF26" s="314"/>
      <c r="BG26" s="314"/>
      <c r="BH26" s="314"/>
      <c r="BI26" s="314"/>
      <c r="BJ26" s="314"/>
      <c r="BK26" s="314"/>
      <c r="BL26" s="314"/>
      <c r="BM26" s="314"/>
      <c r="BN26" s="314"/>
      <c r="BO26" s="314"/>
      <c r="BP26" s="314"/>
      <c r="BQ26" s="314"/>
      <c r="BR26" s="314"/>
      <c r="BS26" s="314"/>
      <c r="BT26" s="313"/>
      <c r="BU26" s="314"/>
      <c r="BV26" s="314"/>
      <c r="BW26" s="314"/>
      <c r="BX26" s="314"/>
      <c r="BY26" s="314"/>
      <c r="BZ26" s="314"/>
      <c r="CA26" s="314"/>
      <c r="CB26" s="314"/>
      <c r="CC26" s="314"/>
      <c r="CD26" s="314"/>
      <c r="CE26" s="314"/>
      <c r="CF26" s="315"/>
      <c r="CG26" s="314"/>
      <c r="CH26" s="314"/>
      <c r="CI26" s="314"/>
      <c r="CJ26" s="314"/>
      <c r="CK26" s="314"/>
      <c r="CL26" s="314"/>
      <c r="CM26" s="314"/>
      <c r="CN26" s="314"/>
      <c r="CO26" s="314"/>
      <c r="CP26" s="314"/>
      <c r="CQ26" s="314"/>
      <c r="CR26" s="314"/>
      <c r="CS26" s="313"/>
      <c r="CT26" s="314"/>
      <c r="CU26" s="314"/>
      <c r="CV26" s="314"/>
      <c r="CW26" s="314"/>
      <c r="CX26" s="314"/>
      <c r="CY26" s="314"/>
      <c r="CZ26" s="314"/>
      <c r="DA26" s="314"/>
      <c r="DB26" s="314"/>
      <c r="DC26" s="314"/>
      <c r="DD26" s="314"/>
      <c r="DE26" s="314"/>
      <c r="DF26" s="314"/>
      <c r="DG26" s="314"/>
      <c r="DH26" s="314"/>
      <c r="DI26" s="314"/>
      <c r="DJ26" s="314"/>
      <c r="DK26" s="314"/>
      <c r="DL26" s="314"/>
      <c r="DM26" s="313"/>
      <c r="DN26" s="314"/>
      <c r="DO26" s="314"/>
      <c r="DP26" s="313"/>
      <c r="DQ26" s="314"/>
      <c r="DR26" s="314"/>
      <c r="DS26" s="314"/>
      <c r="DT26" s="314"/>
      <c r="DU26" s="314"/>
      <c r="DV26" s="314"/>
      <c r="DW26" s="314"/>
      <c r="DX26" s="314"/>
      <c r="DY26" s="314"/>
      <c r="DZ26" s="313"/>
      <c r="EA26" s="314"/>
      <c r="EB26" s="314"/>
      <c r="EC26" s="314"/>
      <c r="ED26" s="314"/>
      <c r="EE26" s="314"/>
      <c r="EF26" s="314"/>
      <c r="EG26" s="314"/>
      <c r="EH26" s="314"/>
      <c r="EI26" s="314"/>
      <c r="EJ26" s="314"/>
      <c r="EK26" s="314"/>
      <c r="EL26" s="314"/>
      <c r="EM26" s="314"/>
      <c r="EN26" s="314"/>
      <c r="EO26" s="314"/>
      <c r="EP26" s="314"/>
      <c r="EQ26" s="314"/>
      <c r="ER26" s="314"/>
      <c r="ES26" s="314"/>
      <c r="ET26" s="314"/>
      <c r="EU26" s="314"/>
      <c r="EV26" s="314"/>
      <c r="EW26" s="314"/>
      <c r="EX26" s="314"/>
      <c r="EY26" s="314"/>
      <c r="EZ26" s="314"/>
      <c r="FA26" s="314"/>
      <c r="FB26" s="314"/>
      <c r="FC26" s="314"/>
      <c r="FD26" s="314"/>
      <c r="FE26" s="314"/>
      <c r="FF26" s="314"/>
      <c r="FG26" s="314"/>
      <c r="FH26" s="314"/>
      <c r="FI26" s="314"/>
      <c r="FJ26" s="314"/>
      <c r="FK26" s="314"/>
      <c r="FL26" s="314"/>
      <c r="FM26" s="314"/>
      <c r="FN26" s="314"/>
      <c r="FO26" s="314"/>
      <c r="FP26" s="314"/>
      <c r="FQ26" s="314"/>
      <c r="FR26" s="314"/>
      <c r="FS26" s="314"/>
      <c r="FT26" s="314"/>
      <c r="FU26" s="314"/>
      <c r="FV26" s="314"/>
      <c r="FW26" s="313"/>
      <c r="FX26" s="314"/>
      <c r="FY26" s="314"/>
      <c r="FZ26" s="314"/>
      <c r="GA26" s="314"/>
      <c r="GB26" s="314"/>
      <c r="GC26" s="314"/>
      <c r="GD26" s="314"/>
      <c r="GE26" s="314"/>
      <c r="GF26" s="314"/>
      <c r="GG26" s="314"/>
      <c r="GH26" s="314"/>
      <c r="GI26" s="314"/>
      <c r="GJ26" s="314"/>
      <c r="GK26" s="314"/>
      <c r="GL26" s="314"/>
      <c r="GM26" s="314"/>
      <c r="GN26" s="314"/>
      <c r="GO26" s="314"/>
      <c r="GP26" s="314"/>
      <c r="GQ26" s="313"/>
      <c r="GR26" s="314"/>
      <c r="GS26" s="314"/>
      <c r="GT26" s="314"/>
      <c r="GU26" s="314"/>
      <c r="GV26" s="314"/>
      <c r="GW26" s="314"/>
      <c r="GX26" s="314"/>
      <c r="GY26" s="314"/>
      <c r="GZ26" s="314"/>
      <c r="HA26" s="314"/>
      <c r="HB26" s="314"/>
      <c r="HC26" s="314"/>
      <c r="HD26" s="314"/>
      <c r="HE26" s="314"/>
      <c r="HF26" s="314"/>
      <c r="HG26" s="314"/>
      <c r="HH26" s="314"/>
      <c r="HI26" s="314"/>
      <c r="HJ26" s="314"/>
      <c r="HK26" s="314"/>
      <c r="HL26" s="314"/>
      <c r="HM26" s="314"/>
      <c r="HN26" s="314"/>
      <c r="HO26" s="314"/>
      <c r="HP26" s="314"/>
      <c r="HQ26" s="314"/>
      <c r="HR26" s="314"/>
      <c r="HS26" s="314"/>
      <c r="HT26" s="314"/>
      <c r="HU26" s="314"/>
      <c r="HV26" s="314"/>
      <c r="HW26" s="314"/>
      <c r="HX26" s="314"/>
      <c r="HY26" s="314"/>
      <c r="HZ26" s="314"/>
      <c r="IA26" s="314"/>
      <c r="IB26" s="314"/>
      <c r="IC26" s="314"/>
      <c r="ID26" s="314"/>
      <c r="IE26" s="314"/>
      <c r="IF26" s="314"/>
      <c r="IG26" s="314"/>
      <c r="IH26" s="314"/>
      <c r="II26" s="314"/>
      <c r="IJ26" s="314"/>
      <c r="IK26" s="314"/>
      <c r="IL26" s="314"/>
      <c r="IM26" s="314"/>
      <c r="IN26" s="314"/>
      <c r="IO26" s="314"/>
      <c r="IP26" s="314"/>
      <c r="IQ26" s="314"/>
      <c r="IR26" s="314"/>
      <c r="IS26" s="314"/>
      <c r="IT26" s="314"/>
      <c r="IU26" s="314"/>
      <c r="IV26" s="314"/>
      <c r="IW26" s="314"/>
      <c r="IX26" s="314"/>
      <c r="IY26" s="314"/>
      <c r="IZ26" s="314"/>
      <c r="JA26" s="314"/>
      <c r="JB26" s="314"/>
      <c r="JC26" s="314"/>
      <c r="JD26" s="314"/>
      <c r="JE26" s="314"/>
      <c r="JF26" s="314"/>
      <c r="JG26" s="314"/>
      <c r="JH26" s="314"/>
      <c r="JI26" s="314"/>
      <c r="JJ26" s="314"/>
      <c r="JK26" s="314"/>
      <c r="JL26" s="314"/>
      <c r="JM26" s="314"/>
      <c r="JN26" s="314"/>
      <c r="JO26" s="314"/>
      <c r="JP26" s="314"/>
      <c r="JQ26" s="314"/>
      <c r="JR26" s="314"/>
      <c r="JS26" s="314"/>
      <c r="JT26" s="314"/>
      <c r="JU26" s="314"/>
      <c r="JV26" s="314"/>
      <c r="JW26" s="314"/>
      <c r="JX26" s="314"/>
      <c r="JY26" s="314"/>
      <c r="JZ26" s="314"/>
      <c r="KA26" s="314"/>
      <c r="KB26" s="314"/>
      <c r="KC26" s="314"/>
      <c r="KD26" s="314"/>
      <c r="KE26" s="314"/>
      <c r="KF26" s="314"/>
      <c r="KG26" s="314"/>
      <c r="KH26" s="314"/>
      <c r="KI26" s="314"/>
      <c r="KJ26" s="314"/>
      <c r="KK26" s="314"/>
      <c r="KL26" s="314"/>
      <c r="KM26" s="314"/>
      <c r="KN26" s="314"/>
      <c r="KO26" s="314"/>
      <c r="KP26" s="314"/>
      <c r="KQ26" s="314"/>
      <c r="KR26" s="314"/>
      <c r="KS26" s="314"/>
      <c r="KT26" s="314"/>
      <c r="KU26" s="314"/>
      <c r="KV26" s="314"/>
      <c r="KW26" s="314"/>
      <c r="KX26" s="314"/>
      <c r="KY26" s="314"/>
      <c r="KZ26" s="314"/>
      <c r="LA26" s="314"/>
      <c r="LB26" s="314"/>
      <c r="LC26" s="314"/>
      <c r="LD26" s="314"/>
      <c r="LE26" s="314"/>
      <c r="LF26" s="314"/>
      <c r="LG26" s="314"/>
      <c r="LH26" s="314"/>
      <c r="LI26" s="314"/>
      <c r="LJ26" s="314"/>
      <c r="LK26" s="314"/>
      <c r="LL26" s="314"/>
      <c r="LM26" s="314"/>
      <c r="LN26" s="314"/>
      <c r="LO26" s="314"/>
      <c r="LP26" s="313"/>
      <c r="LQ26" s="314"/>
      <c r="LR26" s="314"/>
      <c r="LS26" s="314"/>
      <c r="LT26" s="314"/>
      <c r="LU26" s="313"/>
      <c r="LV26" s="314"/>
      <c r="LW26" s="314"/>
      <c r="LX26" s="314"/>
      <c r="LY26" s="314"/>
      <c r="LZ26" s="314"/>
      <c r="MA26" s="314"/>
      <c r="MB26" s="314"/>
      <c r="MC26" s="314"/>
      <c r="MD26" s="314"/>
      <c r="ME26" s="314"/>
      <c r="MF26" s="314"/>
      <c r="MG26" s="314"/>
      <c r="MH26" s="314"/>
      <c r="MI26" s="314"/>
      <c r="MJ26" s="314"/>
      <c r="MK26" s="314"/>
      <c r="ML26" s="314"/>
      <c r="MM26" s="314"/>
      <c r="MN26" s="314"/>
      <c r="MO26" s="314"/>
      <c r="MP26" s="314"/>
      <c r="MQ26" s="314"/>
      <c r="MR26" s="314"/>
      <c r="MS26" s="314"/>
      <c r="MT26" s="314"/>
      <c r="MU26" s="314"/>
      <c r="MV26" s="314"/>
      <c r="MW26" s="314"/>
      <c r="MX26" s="314"/>
      <c r="MY26" s="314"/>
      <c r="MZ26" s="314"/>
      <c r="NA26" s="314"/>
      <c r="NB26" s="314"/>
      <c r="NC26" s="313"/>
      <c r="ND26" s="313"/>
      <c r="NE26" s="314"/>
      <c r="NF26" s="314"/>
      <c r="NG26" s="314"/>
      <c r="NH26" s="314"/>
      <c r="NI26" s="314"/>
      <c r="NJ26" s="313"/>
      <c r="NK26" s="292"/>
      <c r="NL26" s="292"/>
      <c r="NM26" s="292"/>
      <c r="NN26" s="292"/>
      <c r="NO26" s="292"/>
      <c r="NP26" s="292"/>
      <c r="NQ26" s="292"/>
    </row>
    <row r="27" spans="3:381" ht="20.100000000000001" customHeight="1" x14ac:dyDescent="0.25">
      <c r="C27" s="307"/>
      <c r="D27" s="308"/>
      <c r="E27" s="308"/>
      <c r="F27" s="309">
        <f t="shared" si="0"/>
        <v>1</v>
      </c>
      <c r="G27" s="310"/>
      <c r="H27" s="311" t="s">
        <v>564</v>
      </c>
      <c r="I27" s="312"/>
      <c r="J27" s="313"/>
      <c r="K27" s="314"/>
      <c r="L27" s="314"/>
      <c r="M27" s="314"/>
      <c r="N27" s="314"/>
      <c r="O27" s="314"/>
      <c r="P27" s="314"/>
      <c r="Q27" s="314"/>
      <c r="R27" s="314"/>
      <c r="S27" s="314"/>
      <c r="T27" s="314"/>
      <c r="U27" s="314"/>
      <c r="V27" s="314"/>
      <c r="W27" s="314"/>
      <c r="X27" s="314"/>
      <c r="Y27" s="314"/>
      <c r="Z27" s="314"/>
      <c r="AA27" s="314"/>
      <c r="AB27" s="314"/>
      <c r="AC27" s="314"/>
      <c r="AD27" s="314"/>
      <c r="AE27" s="314"/>
      <c r="AF27" s="314"/>
      <c r="AG27" s="314"/>
      <c r="AH27" s="314"/>
      <c r="AI27" s="314"/>
      <c r="AJ27" s="314"/>
      <c r="AK27" s="314"/>
      <c r="AL27" s="314"/>
      <c r="AM27" s="314"/>
      <c r="AN27" s="314"/>
      <c r="AO27" s="314"/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4"/>
      <c r="BG27" s="314"/>
      <c r="BH27" s="314"/>
      <c r="BI27" s="314"/>
      <c r="BJ27" s="314"/>
      <c r="BK27" s="314"/>
      <c r="BL27" s="314"/>
      <c r="BM27" s="314"/>
      <c r="BN27" s="314"/>
      <c r="BO27" s="314"/>
      <c r="BP27" s="314"/>
      <c r="BQ27" s="314"/>
      <c r="BR27" s="314"/>
      <c r="BS27" s="314"/>
      <c r="BT27" s="313"/>
      <c r="BU27" s="314"/>
      <c r="BV27" s="314"/>
      <c r="BW27" s="314"/>
      <c r="BX27" s="314"/>
      <c r="BY27" s="314"/>
      <c r="BZ27" s="314"/>
      <c r="CA27" s="314"/>
      <c r="CB27" s="314"/>
      <c r="CC27" s="314"/>
      <c r="CD27" s="314"/>
      <c r="CE27" s="314"/>
      <c r="CF27" s="315"/>
      <c r="CG27" s="314"/>
      <c r="CH27" s="314"/>
      <c r="CI27" s="314"/>
      <c r="CJ27" s="314"/>
      <c r="CK27" s="314"/>
      <c r="CL27" s="314"/>
      <c r="CM27" s="314"/>
      <c r="CN27" s="314"/>
      <c r="CO27" s="314"/>
      <c r="CP27" s="314"/>
      <c r="CQ27" s="314"/>
      <c r="CR27" s="314"/>
      <c r="CS27" s="313"/>
      <c r="CT27" s="314"/>
      <c r="CU27" s="314"/>
      <c r="CV27" s="314"/>
      <c r="CW27" s="314"/>
      <c r="CX27" s="314"/>
      <c r="CY27" s="314"/>
      <c r="CZ27" s="314"/>
      <c r="DA27" s="314"/>
      <c r="DB27" s="314"/>
      <c r="DC27" s="314"/>
      <c r="DD27" s="314"/>
      <c r="DE27" s="314"/>
      <c r="DF27" s="314"/>
      <c r="DG27" s="314"/>
      <c r="DH27" s="314"/>
      <c r="DI27" s="314"/>
      <c r="DJ27" s="314"/>
      <c r="DK27" s="314"/>
      <c r="DL27" s="314"/>
      <c r="DM27" s="313"/>
      <c r="DN27" s="314"/>
      <c r="DO27" s="314"/>
      <c r="DP27" s="313"/>
      <c r="DQ27" s="314"/>
      <c r="DR27" s="314"/>
      <c r="DS27" s="314"/>
      <c r="DT27" s="314"/>
      <c r="DU27" s="314"/>
      <c r="DV27" s="314"/>
      <c r="DW27" s="314"/>
      <c r="DX27" s="314"/>
      <c r="DY27" s="314"/>
      <c r="DZ27" s="313"/>
      <c r="EA27" s="314"/>
      <c r="EB27" s="314"/>
      <c r="EC27" s="314"/>
      <c r="ED27" s="314"/>
      <c r="EE27" s="314"/>
      <c r="EF27" s="314"/>
      <c r="EG27" s="314"/>
      <c r="EH27" s="314"/>
      <c r="EI27" s="314"/>
      <c r="EJ27" s="314"/>
      <c r="EK27" s="314"/>
      <c r="EL27" s="314"/>
      <c r="EM27" s="314"/>
      <c r="EN27" s="314"/>
      <c r="EO27" s="314"/>
      <c r="EP27" s="314"/>
      <c r="EQ27" s="314"/>
      <c r="ER27" s="314"/>
      <c r="ES27" s="314"/>
      <c r="ET27" s="314"/>
      <c r="EU27" s="314"/>
      <c r="EV27" s="314"/>
      <c r="EW27" s="314"/>
      <c r="EX27" s="314"/>
      <c r="EY27" s="314"/>
      <c r="EZ27" s="314"/>
      <c r="FA27" s="314"/>
      <c r="FB27" s="314"/>
      <c r="FC27" s="314"/>
      <c r="FD27" s="314"/>
      <c r="FE27" s="314"/>
      <c r="FF27" s="314"/>
      <c r="FG27" s="314"/>
      <c r="FH27" s="314"/>
      <c r="FI27" s="314"/>
      <c r="FJ27" s="314"/>
      <c r="FK27" s="314"/>
      <c r="FL27" s="314"/>
      <c r="FM27" s="314"/>
      <c r="FN27" s="314"/>
      <c r="FO27" s="314"/>
      <c r="FP27" s="314"/>
      <c r="FQ27" s="314"/>
      <c r="FR27" s="314"/>
      <c r="FS27" s="314"/>
      <c r="FT27" s="314"/>
      <c r="FU27" s="314"/>
      <c r="FV27" s="314"/>
      <c r="FW27" s="313"/>
      <c r="FX27" s="314"/>
      <c r="FY27" s="314"/>
      <c r="FZ27" s="314"/>
      <c r="GA27" s="314"/>
      <c r="GB27" s="314"/>
      <c r="GC27" s="314"/>
      <c r="GD27" s="314"/>
      <c r="GE27" s="314"/>
      <c r="GF27" s="314"/>
      <c r="GG27" s="314"/>
      <c r="GH27" s="314"/>
      <c r="GI27" s="314"/>
      <c r="GJ27" s="314"/>
      <c r="GK27" s="314"/>
      <c r="GL27" s="314"/>
      <c r="GM27" s="314"/>
      <c r="GN27" s="314"/>
      <c r="GO27" s="314"/>
      <c r="GP27" s="314"/>
      <c r="GQ27" s="313"/>
      <c r="GR27" s="314"/>
      <c r="GS27" s="314"/>
      <c r="GT27" s="314"/>
      <c r="GU27" s="314"/>
      <c r="GV27" s="314"/>
      <c r="GW27" s="314"/>
      <c r="GX27" s="314"/>
      <c r="GY27" s="314"/>
      <c r="GZ27" s="314"/>
      <c r="HA27" s="314"/>
      <c r="HB27" s="314"/>
      <c r="HC27" s="314"/>
      <c r="HD27" s="314"/>
      <c r="HE27" s="314"/>
      <c r="HF27" s="314"/>
      <c r="HG27" s="314"/>
      <c r="HH27" s="314"/>
      <c r="HI27" s="314"/>
      <c r="HJ27" s="314"/>
      <c r="HK27" s="314"/>
      <c r="HL27" s="314"/>
      <c r="HM27" s="314"/>
      <c r="HN27" s="314"/>
      <c r="HO27" s="314"/>
      <c r="HP27" s="314"/>
      <c r="HQ27" s="314"/>
      <c r="HR27" s="314"/>
      <c r="HS27" s="314"/>
      <c r="HT27" s="314"/>
      <c r="HU27" s="314"/>
      <c r="HV27" s="314"/>
      <c r="HW27" s="314"/>
      <c r="HX27" s="314"/>
      <c r="HY27" s="314"/>
      <c r="HZ27" s="314"/>
      <c r="IA27" s="314"/>
      <c r="IB27" s="314"/>
      <c r="IC27" s="314"/>
      <c r="ID27" s="314"/>
      <c r="IE27" s="314"/>
      <c r="IF27" s="314"/>
      <c r="IG27" s="314"/>
      <c r="IH27" s="314"/>
      <c r="II27" s="314"/>
      <c r="IJ27" s="314"/>
      <c r="IK27" s="314"/>
      <c r="IL27" s="314"/>
      <c r="IM27" s="314"/>
      <c r="IN27" s="314"/>
      <c r="IO27" s="314"/>
      <c r="IP27" s="314"/>
      <c r="IQ27" s="314"/>
      <c r="IR27" s="314"/>
      <c r="IS27" s="314"/>
      <c r="IT27" s="314"/>
      <c r="IU27" s="314"/>
      <c r="IV27" s="314"/>
      <c r="IW27" s="314"/>
      <c r="IX27" s="314"/>
      <c r="IY27" s="314"/>
      <c r="IZ27" s="314"/>
      <c r="JA27" s="314"/>
      <c r="JB27" s="314"/>
      <c r="JC27" s="314"/>
      <c r="JD27" s="314"/>
      <c r="JE27" s="314"/>
      <c r="JF27" s="314"/>
      <c r="JG27" s="314"/>
      <c r="JH27" s="314"/>
      <c r="JI27" s="314"/>
      <c r="JJ27" s="314"/>
      <c r="JK27" s="314"/>
      <c r="JL27" s="314"/>
      <c r="JM27" s="314"/>
      <c r="JN27" s="314"/>
      <c r="JO27" s="314"/>
      <c r="JP27" s="314"/>
      <c r="JQ27" s="314"/>
      <c r="JR27" s="314"/>
      <c r="JS27" s="314"/>
      <c r="JT27" s="314"/>
      <c r="JU27" s="314"/>
      <c r="JV27" s="314"/>
      <c r="JW27" s="314"/>
      <c r="JX27" s="314"/>
      <c r="JY27" s="314"/>
      <c r="JZ27" s="314"/>
      <c r="KA27" s="314"/>
      <c r="KB27" s="314"/>
      <c r="KC27" s="314"/>
      <c r="KD27" s="314"/>
      <c r="KE27" s="314"/>
      <c r="KF27" s="314"/>
      <c r="KG27" s="314"/>
      <c r="KH27" s="314"/>
      <c r="KI27" s="314"/>
      <c r="KJ27" s="314"/>
      <c r="KK27" s="314"/>
      <c r="KL27" s="314"/>
      <c r="KM27" s="314"/>
      <c r="KN27" s="314"/>
      <c r="KO27" s="314"/>
      <c r="KP27" s="314"/>
      <c r="KQ27" s="314"/>
      <c r="KR27" s="314"/>
      <c r="KS27" s="314"/>
      <c r="KT27" s="314"/>
      <c r="KU27" s="314"/>
      <c r="KV27" s="314"/>
      <c r="KW27" s="314"/>
      <c r="KX27" s="314"/>
      <c r="KY27" s="314"/>
      <c r="KZ27" s="314"/>
      <c r="LA27" s="314"/>
      <c r="LB27" s="314"/>
      <c r="LC27" s="314"/>
      <c r="LD27" s="314"/>
      <c r="LE27" s="314"/>
      <c r="LF27" s="314"/>
      <c r="LG27" s="314"/>
      <c r="LH27" s="314"/>
      <c r="LI27" s="314"/>
      <c r="LJ27" s="314"/>
      <c r="LK27" s="314"/>
      <c r="LL27" s="314"/>
      <c r="LM27" s="314"/>
      <c r="LN27" s="314"/>
      <c r="LO27" s="314"/>
      <c r="LP27" s="313"/>
      <c r="LQ27" s="314"/>
      <c r="LR27" s="314"/>
      <c r="LS27" s="314"/>
      <c r="LT27" s="314"/>
      <c r="LU27" s="313"/>
      <c r="LV27" s="314"/>
      <c r="LW27" s="314"/>
      <c r="LX27" s="314"/>
      <c r="LY27" s="314"/>
      <c r="LZ27" s="314"/>
      <c r="MA27" s="314"/>
      <c r="MB27" s="314"/>
      <c r="MC27" s="314"/>
      <c r="MD27" s="314"/>
      <c r="ME27" s="314"/>
      <c r="MF27" s="314"/>
      <c r="MG27" s="314"/>
      <c r="MH27" s="314"/>
      <c r="MI27" s="314"/>
      <c r="MJ27" s="314"/>
      <c r="MK27" s="314"/>
      <c r="ML27" s="314"/>
      <c r="MM27" s="314"/>
      <c r="MN27" s="314"/>
      <c r="MO27" s="314"/>
      <c r="MP27" s="314"/>
      <c r="MQ27" s="314"/>
      <c r="MR27" s="314"/>
      <c r="MS27" s="314"/>
      <c r="MT27" s="314"/>
      <c r="MU27" s="314"/>
      <c r="MV27" s="314"/>
      <c r="MW27" s="314"/>
      <c r="MX27" s="314"/>
      <c r="MY27" s="314"/>
      <c r="MZ27" s="314"/>
      <c r="NA27" s="314"/>
      <c r="NB27" s="314"/>
      <c r="NC27" s="313"/>
      <c r="ND27" s="313"/>
      <c r="NE27" s="314"/>
      <c r="NF27" s="314"/>
      <c r="NG27" s="314"/>
      <c r="NH27" s="314"/>
      <c r="NI27" s="314"/>
      <c r="NJ27" s="313"/>
    </row>
    <row r="28" spans="3:381" ht="20.100000000000001" customHeight="1" x14ac:dyDescent="0.25">
      <c r="C28" s="307"/>
      <c r="D28" s="308"/>
      <c r="E28" s="308"/>
      <c r="F28" s="309">
        <f t="shared" si="0"/>
        <v>1</v>
      </c>
      <c r="G28" s="310"/>
      <c r="H28" s="311" t="s">
        <v>564</v>
      </c>
      <c r="I28" s="312"/>
      <c r="J28" s="313"/>
      <c r="K28" s="314"/>
      <c r="L28" s="314"/>
      <c r="M28" s="314"/>
      <c r="N28" s="314"/>
      <c r="O28" s="314"/>
      <c r="P28" s="314"/>
      <c r="Q28" s="314"/>
      <c r="R28" s="314"/>
      <c r="S28" s="314"/>
      <c r="T28" s="314"/>
      <c r="U28" s="314"/>
      <c r="V28" s="314"/>
      <c r="W28" s="314"/>
      <c r="X28" s="314"/>
      <c r="Y28" s="314"/>
      <c r="Z28" s="314"/>
      <c r="AA28" s="314"/>
      <c r="AB28" s="314"/>
      <c r="AC28" s="314"/>
      <c r="AD28" s="314"/>
      <c r="AE28" s="314"/>
      <c r="AF28" s="314"/>
      <c r="AG28" s="314"/>
      <c r="AH28" s="314"/>
      <c r="AI28" s="314"/>
      <c r="AJ28" s="314"/>
      <c r="AK28" s="314"/>
      <c r="AL28" s="314"/>
      <c r="AM28" s="314"/>
      <c r="AN28" s="314"/>
      <c r="AO28" s="314"/>
      <c r="AP28" s="314"/>
      <c r="AQ28" s="314"/>
      <c r="AR28" s="314"/>
      <c r="AS28" s="314"/>
      <c r="AT28" s="314"/>
      <c r="AU28" s="314"/>
      <c r="AV28" s="314"/>
      <c r="AW28" s="314"/>
      <c r="AX28" s="314"/>
      <c r="AY28" s="314"/>
      <c r="AZ28" s="314"/>
      <c r="BA28" s="314"/>
      <c r="BB28" s="314"/>
      <c r="BC28" s="314"/>
      <c r="BD28" s="314"/>
      <c r="BE28" s="314"/>
      <c r="BF28" s="314"/>
      <c r="BG28" s="314"/>
      <c r="BH28" s="314"/>
      <c r="BI28" s="314"/>
      <c r="BJ28" s="314"/>
      <c r="BK28" s="314"/>
      <c r="BL28" s="314"/>
      <c r="BM28" s="314"/>
      <c r="BN28" s="314"/>
      <c r="BO28" s="314"/>
      <c r="BP28" s="314"/>
      <c r="BQ28" s="314"/>
      <c r="BR28" s="314"/>
      <c r="BS28" s="314"/>
      <c r="BT28" s="313"/>
      <c r="BU28" s="314"/>
      <c r="BV28" s="314"/>
      <c r="BW28" s="314"/>
      <c r="BX28" s="314"/>
      <c r="BY28" s="314"/>
      <c r="BZ28" s="314"/>
      <c r="CA28" s="314"/>
      <c r="CB28" s="314"/>
      <c r="CC28" s="314"/>
      <c r="CD28" s="314"/>
      <c r="CE28" s="314"/>
      <c r="CF28" s="315"/>
      <c r="CG28" s="314"/>
      <c r="CH28" s="314"/>
      <c r="CI28" s="314"/>
      <c r="CJ28" s="314"/>
      <c r="CK28" s="314"/>
      <c r="CL28" s="314"/>
      <c r="CM28" s="314"/>
      <c r="CN28" s="314"/>
      <c r="CO28" s="314"/>
      <c r="CP28" s="314"/>
      <c r="CQ28" s="314"/>
      <c r="CR28" s="314"/>
      <c r="CS28" s="313"/>
      <c r="CT28" s="314"/>
      <c r="CU28" s="314"/>
      <c r="CV28" s="314"/>
      <c r="CW28" s="314"/>
      <c r="CX28" s="314"/>
      <c r="CY28" s="314"/>
      <c r="CZ28" s="314"/>
      <c r="DA28" s="314"/>
      <c r="DB28" s="314"/>
      <c r="DC28" s="314"/>
      <c r="DD28" s="314"/>
      <c r="DE28" s="314"/>
      <c r="DF28" s="314"/>
      <c r="DG28" s="314"/>
      <c r="DH28" s="314"/>
      <c r="DI28" s="314"/>
      <c r="DJ28" s="314"/>
      <c r="DK28" s="314"/>
      <c r="DL28" s="314"/>
      <c r="DM28" s="313"/>
      <c r="DN28" s="314"/>
      <c r="DO28" s="314"/>
      <c r="DP28" s="313"/>
      <c r="DQ28" s="314"/>
      <c r="DR28" s="314"/>
      <c r="DS28" s="314"/>
      <c r="DT28" s="314"/>
      <c r="DU28" s="314"/>
      <c r="DV28" s="314"/>
      <c r="DW28" s="314"/>
      <c r="DX28" s="314"/>
      <c r="DY28" s="314"/>
      <c r="DZ28" s="313"/>
      <c r="EA28" s="314"/>
      <c r="EB28" s="314"/>
      <c r="EC28" s="314"/>
      <c r="ED28" s="314"/>
      <c r="EE28" s="314"/>
      <c r="EF28" s="314"/>
      <c r="EG28" s="314"/>
      <c r="EH28" s="314"/>
      <c r="EI28" s="314"/>
      <c r="EJ28" s="314"/>
      <c r="EK28" s="314"/>
      <c r="EL28" s="314"/>
      <c r="EM28" s="314"/>
      <c r="EN28" s="314"/>
      <c r="EO28" s="314"/>
      <c r="EP28" s="314"/>
      <c r="EQ28" s="314"/>
      <c r="ER28" s="314"/>
      <c r="ES28" s="314"/>
      <c r="ET28" s="314"/>
      <c r="EU28" s="314"/>
      <c r="EV28" s="314"/>
      <c r="EW28" s="314"/>
      <c r="EX28" s="314"/>
      <c r="EY28" s="314"/>
      <c r="EZ28" s="314"/>
      <c r="FA28" s="314"/>
      <c r="FB28" s="314"/>
      <c r="FC28" s="314"/>
      <c r="FD28" s="314"/>
      <c r="FE28" s="314"/>
      <c r="FF28" s="314"/>
      <c r="FG28" s="314"/>
      <c r="FH28" s="314"/>
      <c r="FI28" s="314"/>
      <c r="FJ28" s="314"/>
      <c r="FK28" s="314"/>
      <c r="FL28" s="314"/>
      <c r="FM28" s="314"/>
      <c r="FN28" s="314"/>
      <c r="FO28" s="314"/>
      <c r="FP28" s="314"/>
      <c r="FQ28" s="314"/>
      <c r="FR28" s="314"/>
      <c r="FS28" s="314"/>
      <c r="FT28" s="314"/>
      <c r="FU28" s="314"/>
      <c r="FV28" s="314"/>
      <c r="FW28" s="313"/>
      <c r="FX28" s="314"/>
      <c r="FY28" s="314"/>
      <c r="FZ28" s="314"/>
      <c r="GA28" s="314"/>
      <c r="GB28" s="314"/>
      <c r="GC28" s="314"/>
      <c r="GD28" s="314"/>
      <c r="GE28" s="314"/>
      <c r="GF28" s="314"/>
      <c r="GG28" s="314"/>
      <c r="GH28" s="314"/>
      <c r="GI28" s="314"/>
      <c r="GJ28" s="314"/>
      <c r="GK28" s="314"/>
      <c r="GL28" s="314"/>
      <c r="GM28" s="314"/>
      <c r="GN28" s="314"/>
      <c r="GO28" s="314"/>
      <c r="GP28" s="314"/>
      <c r="GQ28" s="313"/>
      <c r="GR28" s="314"/>
      <c r="GS28" s="314"/>
      <c r="GT28" s="314"/>
      <c r="GU28" s="314"/>
      <c r="GV28" s="314"/>
      <c r="GW28" s="314"/>
      <c r="GX28" s="314"/>
      <c r="GY28" s="314"/>
      <c r="GZ28" s="314"/>
      <c r="HA28" s="314"/>
      <c r="HB28" s="314"/>
      <c r="HC28" s="314"/>
      <c r="HD28" s="314"/>
      <c r="HE28" s="314"/>
      <c r="HF28" s="314"/>
      <c r="HG28" s="314"/>
      <c r="HH28" s="314"/>
      <c r="HI28" s="314"/>
      <c r="HJ28" s="314"/>
      <c r="HK28" s="314"/>
      <c r="HL28" s="314"/>
      <c r="HM28" s="314"/>
      <c r="HN28" s="314"/>
      <c r="HO28" s="314"/>
      <c r="HP28" s="314"/>
      <c r="HQ28" s="314"/>
      <c r="HR28" s="314"/>
      <c r="HS28" s="314"/>
      <c r="HT28" s="314"/>
      <c r="HU28" s="314"/>
      <c r="HV28" s="314"/>
      <c r="HW28" s="314"/>
      <c r="HX28" s="314"/>
      <c r="HY28" s="314"/>
      <c r="HZ28" s="314"/>
      <c r="IA28" s="314"/>
      <c r="IB28" s="314"/>
      <c r="IC28" s="314"/>
      <c r="ID28" s="314"/>
      <c r="IE28" s="314"/>
      <c r="IF28" s="314"/>
      <c r="IG28" s="314"/>
      <c r="IH28" s="314"/>
      <c r="II28" s="314"/>
      <c r="IJ28" s="314"/>
      <c r="IK28" s="314"/>
      <c r="IL28" s="314"/>
      <c r="IM28" s="314"/>
      <c r="IN28" s="314"/>
      <c r="IO28" s="314"/>
      <c r="IP28" s="314"/>
      <c r="IQ28" s="314"/>
      <c r="IR28" s="314"/>
      <c r="IS28" s="314"/>
      <c r="IT28" s="314"/>
      <c r="IU28" s="314"/>
      <c r="IV28" s="314"/>
      <c r="IW28" s="314"/>
      <c r="IX28" s="314"/>
      <c r="IY28" s="314"/>
      <c r="IZ28" s="314"/>
      <c r="JA28" s="314"/>
      <c r="JB28" s="314"/>
      <c r="JC28" s="314"/>
      <c r="JD28" s="314"/>
      <c r="JE28" s="314"/>
      <c r="JF28" s="314"/>
      <c r="JG28" s="314"/>
      <c r="JH28" s="314"/>
      <c r="JI28" s="314"/>
      <c r="JJ28" s="314"/>
      <c r="JK28" s="314"/>
      <c r="JL28" s="314"/>
      <c r="JM28" s="314"/>
      <c r="JN28" s="314"/>
      <c r="JO28" s="314"/>
      <c r="JP28" s="314"/>
      <c r="JQ28" s="314"/>
      <c r="JR28" s="314"/>
      <c r="JS28" s="314"/>
      <c r="JT28" s="314"/>
      <c r="JU28" s="314"/>
      <c r="JV28" s="314"/>
      <c r="JW28" s="314"/>
      <c r="JX28" s="314"/>
      <c r="JY28" s="314"/>
      <c r="JZ28" s="314"/>
      <c r="KA28" s="314"/>
      <c r="KB28" s="314"/>
      <c r="KC28" s="314"/>
      <c r="KD28" s="314"/>
      <c r="KE28" s="314"/>
      <c r="KF28" s="314"/>
      <c r="KG28" s="314"/>
      <c r="KH28" s="314"/>
      <c r="KI28" s="314"/>
      <c r="KJ28" s="314"/>
      <c r="KK28" s="314"/>
      <c r="KL28" s="314"/>
      <c r="KM28" s="314"/>
      <c r="KN28" s="314"/>
      <c r="KO28" s="314"/>
      <c r="KP28" s="314"/>
      <c r="KQ28" s="314"/>
      <c r="KR28" s="314"/>
      <c r="KS28" s="314"/>
      <c r="KT28" s="314"/>
      <c r="KU28" s="314"/>
      <c r="KV28" s="314"/>
      <c r="KW28" s="314"/>
      <c r="KX28" s="314"/>
      <c r="KY28" s="314"/>
      <c r="KZ28" s="314"/>
      <c r="LA28" s="314"/>
      <c r="LB28" s="314"/>
      <c r="LC28" s="314"/>
      <c r="LD28" s="314"/>
      <c r="LE28" s="314"/>
      <c r="LF28" s="314"/>
      <c r="LG28" s="314"/>
      <c r="LH28" s="314"/>
      <c r="LI28" s="314"/>
      <c r="LJ28" s="314"/>
      <c r="LK28" s="314"/>
      <c r="LL28" s="314"/>
      <c r="LM28" s="314"/>
      <c r="LN28" s="314"/>
      <c r="LO28" s="314"/>
      <c r="LP28" s="313"/>
      <c r="LQ28" s="314"/>
      <c r="LR28" s="314"/>
      <c r="LS28" s="314"/>
      <c r="LT28" s="314"/>
      <c r="LU28" s="313"/>
      <c r="LV28" s="314"/>
      <c r="LW28" s="314"/>
      <c r="LX28" s="314"/>
      <c r="LY28" s="314"/>
      <c r="LZ28" s="314"/>
      <c r="MA28" s="314"/>
      <c r="MB28" s="314"/>
      <c r="MC28" s="314"/>
      <c r="MD28" s="314"/>
      <c r="ME28" s="314"/>
      <c r="MF28" s="314"/>
      <c r="MG28" s="314"/>
      <c r="MH28" s="314"/>
      <c r="MI28" s="314"/>
      <c r="MJ28" s="314"/>
      <c r="MK28" s="314"/>
      <c r="ML28" s="314"/>
      <c r="MM28" s="314"/>
      <c r="MN28" s="314"/>
      <c r="MO28" s="314"/>
      <c r="MP28" s="314"/>
      <c r="MQ28" s="314"/>
      <c r="MR28" s="314"/>
      <c r="MS28" s="314"/>
      <c r="MT28" s="314"/>
      <c r="MU28" s="314"/>
      <c r="MV28" s="314"/>
      <c r="MW28" s="314"/>
      <c r="MX28" s="314"/>
      <c r="MY28" s="314"/>
      <c r="MZ28" s="314"/>
      <c r="NA28" s="314"/>
      <c r="NB28" s="314"/>
      <c r="NC28" s="313"/>
      <c r="ND28" s="313"/>
      <c r="NE28" s="314"/>
      <c r="NF28" s="314"/>
      <c r="NG28" s="314"/>
      <c r="NH28" s="314"/>
      <c r="NI28" s="314"/>
      <c r="NJ28" s="313"/>
      <c r="NK28" s="292"/>
      <c r="NL28" s="292"/>
      <c r="NM28" s="292"/>
      <c r="NN28" s="292"/>
      <c r="NO28" s="292"/>
      <c r="NP28" s="292"/>
      <c r="NQ28" s="292"/>
    </row>
    <row r="29" spans="3:381" ht="20.100000000000001" customHeight="1" x14ac:dyDescent="0.25">
      <c r="C29" s="307"/>
      <c r="D29" s="308"/>
      <c r="E29" s="308"/>
      <c r="F29" s="309">
        <f t="shared" si="0"/>
        <v>1</v>
      </c>
      <c r="G29" s="310"/>
      <c r="H29" s="311" t="s">
        <v>564</v>
      </c>
      <c r="I29" s="312"/>
      <c r="J29" s="313"/>
      <c r="K29" s="314"/>
      <c r="L29" s="314"/>
      <c r="M29" s="314"/>
      <c r="N29" s="314"/>
      <c r="O29" s="314"/>
      <c r="P29" s="314"/>
      <c r="Q29" s="314"/>
      <c r="R29" s="314"/>
      <c r="S29" s="314"/>
      <c r="T29" s="314"/>
      <c r="U29" s="314"/>
      <c r="V29" s="314"/>
      <c r="W29" s="314"/>
      <c r="X29" s="314"/>
      <c r="Y29" s="314"/>
      <c r="Z29" s="314"/>
      <c r="AA29" s="314"/>
      <c r="AB29" s="314"/>
      <c r="AC29" s="314"/>
      <c r="AD29" s="314"/>
      <c r="AE29" s="314"/>
      <c r="AF29" s="314"/>
      <c r="AG29" s="314"/>
      <c r="AH29" s="314"/>
      <c r="AI29" s="314"/>
      <c r="AJ29" s="314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4"/>
      <c r="BH29" s="314"/>
      <c r="BI29" s="314"/>
      <c r="BJ29" s="314"/>
      <c r="BK29" s="314"/>
      <c r="BL29" s="314"/>
      <c r="BM29" s="314"/>
      <c r="BN29" s="314"/>
      <c r="BO29" s="314"/>
      <c r="BP29" s="314"/>
      <c r="BQ29" s="314"/>
      <c r="BR29" s="314"/>
      <c r="BS29" s="314"/>
      <c r="BT29" s="313"/>
      <c r="BU29" s="314"/>
      <c r="BV29" s="314"/>
      <c r="BW29" s="314"/>
      <c r="BX29" s="314"/>
      <c r="BY29" s="314"/>
      <c r="BZ29" s="314"/>
      <c r="CA29" s="314"/>
      <c r="CB29" s="314"/>
      <c r="CC29" s="314"/>
      <c r="CD29" s="314"/>
      <c r="CE29" s="314"/>
      <c r="CF29" s="315"/>
      <c r="CG29" s="314"/>
      <c r="CH29" s="314"/>
      <c r="CI29" s="314"/>
      <c r="CJ29" s="314"/>
      <c r="CK29" s="314"/>
      <c r="CL29" s="314"/>
      <c r="CM29" s="314"/>
      <c r="CN29" s="314"/>
      <c r="CO29" s="314"/>
      <c r="CP29" s="314"/>
      <c r="CQ29" s="314"/>
      <c r="CR29" s="314"/>
      <c r="CS29" s="313"/>
      <c r="CT29" s="314"/>
      <c r="CU29" s="314"/>
      <c r="CV29" s="314"/>
      <c r="CW29" s="314"/>
      <c r="CX29" s="314"/>
      <c r="CY29" s="314"/>
      <c r="CZ29" s="314"/>
      <c r="DA29" s="314"/>
      <c r="DB29" s="314"/>
      <c r="DC29" s="314"/>
      <c r="DD29" s="314"/>
      <c r="DE29" s="314"/>
      <c r="DF29" s="314"/>
      <c r="DG29" s="314"/>
      <c r="DH29" s="314"/>
      <c r="DI29" s="314"/>
      <c r="DJ29" s="314"/>
      <c r="DK29" s="314"/>
      <c r="DL29" s="314"/>
      <c r="DM29" s="313"/>
      <c r="DN29" s="314"/>
      <c r="DO29" s="314"/>
      <c r="DP29" s="313"/>
      <c r="DQ29" s="314"/>
      <c r="DR29" s="314"/>
      <c r="DS29" s="314"/>
      <c r="DT29" s="314"/>
      <c r="DU29" s="314"/>
      <c r="DV29" s="314"/>
      <c r="DW29" s="314"/>
      <c r="DX29" s="314"/>
      <c r="DY29" s="314"/>
      <c r="DZ29" s="313"/>
      <c r="EA29" s="314"/>
      <c r="EB29" s="314"/>
      <c r="EC29" s="314"/>
      <c r="ED29" s="314"/>
      <c r="EE29" s="314"/>
      <c r="EF29" s="314"/>
      <c r="EG29" s="314"/>
      <c r="EH29" s="314"/>
      <c r="EI29" s="314"/>
      <c r="EJ29" s="314"/>
      <c r="EK29" s="314"/>
      <c r="EL29" s="314"/>
      <c r="EM29" s="314"/>
      <c r="EN29" s="314"/>
      <c r="EO29" s="314"/>
      <c r="EP29" s="314"/>
      <c r="EQ29" s="314"/>
      <c r="ER29" s="314"/>
      <c r="ES29" s="314"/>
      <c r="ET29" s="314"/>
      <c r="EU29" s="314"/>
      <c r="EV29" s="314"/>
      <c r="EW29" s="314"/>
      <c r="EX29" s="314"/>
      <c r="EY29" s="314"/>
      <c r="EZ29" s="314"/>
      <c r="FA29" s="314"/>
      <c r="FB29" s="314"/>
      <c r="FC29" s="314"/>
      <c r="FD29" s="314"/>
      <c r="FE29" s="314"/>
      <c r="FF29" s="314"/>
      <c r="FG29" s="314"/>
      <c r="FH29" s="314"/>
      <c r="FI29" s="314"/>
      <c r="FJ29" s="314"/>
      <c r="FK29" s="314"/>
      <c r="FL29" s="314"/>
      <c r="FM29" s="314"/>
      <c r="FN29" s="314"/>
      <c r="FO29" s="314"/>
      <c r="FP29" s="314"/>
      <c r="FQ29" s="314"/>
      <c r="FR29" s="314"/>
      <c r="FS29" s="314"/>
      <c r="FT29" s="314"/>
      <c r="FU29" s="314"/>
      <c r="FV29" s="314"/>
      <c r="FW29" s="313"/>
      <c r="FX29" s="314"/>
      <c r="FY29" s="314"/>
      <c r="FZ29" s="314"/>
      <c r="GA29" s="314"/>
      <c r="GB29" s="314"/>
      <c r="GC29" s="314"/>
      <c r="GD29" s="314"/>
      <c r="GE29" s="314"/>
      <c r="GF29" s="314"/>
      <c r="GG29" s="314"/>
      <c r="GH29" s="314"/>
      <c r="GI29" s="314"/>
      <c r="GJ29" s="314"/>
      <c r="GK29" s="314"/>
      <c r="GL29" s="314"/>
      <c r="GM29" s="314"/>
      <c r="GN29" s="314"/>
      <c r="GO29" s="314"/>
      <c r="GP29" s="314"/>
      <c r="GQ29" s="313"/>
      <c r="GR29" s="314"/>
      <c r="GS29" s="314"/>
      <c r="GT29" s="314"/>
      <c r="GU29" s="314"/>
      <c r="GV29" s="314"/>
      <c r="GW29" s="314"/>
      <c r="GX29" s="314"/>
      <c r="GY29" s="314"/>
      <c r="GZ29" s="314"/>
      <c r="HA29" s="314"/>
      <c r="HB29" s="314"/>
      <c r="HC29" s="314"/>
      <c r="HD29" s="314"/>
      <c r="HE29" s="314"/>
      <c r="HF29" s="314"/>
      <c r="HG29" s="314"/>
      <c r="HH29" s="314"/>
      <c r="HI29" s="314"/>
      <c r="HJ29" s="314"/>
      <c r="HK29" s="314"/>
      <c r="HL29" s="314"/>
      <c r="HM29" s="314"/>
      <c r="HN29" s="314"/>
      <c r="HO29" s="314"/>
      <c r="HP29" s="314"/>
      <c r="HQ29" s="314"/>
      <c r="HR29" s="314"/>
      <c r="HS29" s="314"/>
      <c r="HT29" s="314"/>
      <c r="HU29" s="314"/>
      <c r="HV29" s="314"/>
      <c r="HW29" s="314"/>
      <c r="HX29" s="314"/>
      <c r="HY29" s="314"/>
      <c r="HZ29" s="314"/>
      <c r="IA29" s="314"/>
      <c r="IB29" s="314"/>
      <c r="IC29" s="314"/>
      <c r="ID29" s="314"/>
      <c r="IE29" s="314"/>
      <c r="IF29" s="314"/>
      <c r="IG29" s="314"/>
      <c r="IH29" s="314"/>
      <c r="II29" s="314"/>
      <c r="IJ29" s="314"/>
      <c r="IK29" s="314"/>
      <c r="IL29" s="314"/>
      <c r="IM29" s="314"/>
      <c r="IN29" s="314"/>
      <c r="IO29" s="314"/>
      <c r="IP29" s="314"/>
      <c r="IQ29" s="314"/>
      <c r="IR29" s="314"/>
      <c r="IS29" s="314"/>
      <c r="IT29" s="314"/>
      <c r="IU29" s="314"/>
      <c r="IV29" s="314"/>
      <c r="IW29" s="314"/>
      <c r="IX29" s="314"/>
      <c r="IY29" s="314"/>
      <c r="IZ29" s="314"/>
      <c r="JA29" s="314"/>
      <c r="JB29" s="314"/>
      <c r="JC29" s="314"/>
      <c r="JD29" s="314"/>
      <c r="JE29" s="314"/>
      <c r="JF29" s="314"/>
      <c r="JG29" s="314"/>
      <c r="JH29" s="314"/>
      <c r="JI29" s="314"/>
      <c r="JJ29" s="314"/>
      <c r="JK29" s="314"/>
      <c r="JL29" s="314"/>
      <c r="JM29" s="314"/>
      <c r="JN29" s="314"/>
      <c r="JO29" s="314"/>
      <c r="JP29" s="314"/>
      <c r="JQ29" s="314"/>
      <c r="JR29" s="314"/>
      <c r="JS29" s="314"/>
      <c r="JT29" s="314"/>
      <c r="JU29" s="314"/>
      <c r="JV29" s="314"/>
      <c r="JW29" s="314"/>
      <c r="JX29" s="314"/>
      <c r="JY29" s="314"/>
      <c r="JZ29" s="314"/>
      <c r="KA29" s="314"/>
      <c r="KB29" s="314"/>
      <c r="KC29" s="314"/>
      <c r="KD29" s="314"/>
      <c r="KE29" s="314"/>
      <c r="KF29" s="314"/>
      <c r="KG29" s="314"/>
      <c r="KH29" s="314"/>
      <c r="KI29" s="314"/>
      <c r="KJ29" s="314"/>
      <c r="KK29" s="314"/>
      <c r="KL29" s="314"/>
      <c r="KM29" s="314"/>
      <c r="KN29" s="314"/>
      <c r="KO29" s="314"/>
      <c r="KP29" s="314"/>
      <c r="KQ29" s="314"/>
      <c r="KR29" s="314"/>
      <c r="KS29" s="314"/>
      <c r="KT29" s="314"/>
      <c r="KU29" s="314"/>
      <c r="KV29" s="314"/>
      <c r="KW29" s="314"/>
      <c r="KX29" s="314"/>
      <c r="KY29" s="314"/>
      <c r="KZ29" s="314"/>
      <c r="LA29" s="314"/>
      <c r="LB29" s="314"/>
      <c r="LC29" s="314"/>
      <c r="LD29" s="314"/>
      <c r="LE29" s="314"/>
      <c r="LF29" s="314"/>
      <c r="LG29" s="314"/>
      <c r="LH29" s="314"/>
      <c r="LI29" s="314"/>
      <c r="LJ29" s="314"/>
      <c r="LK29" s="314"/>
      <c r="LL29" s="314"/>
      <c r="LM29" s="314"/>
      <c r="LN29" s="314"/>
      <c r="LO29" s="314"/>
      <c r="LP29" s="313"/>
      <c r="LQ29" s="314"/>
      <c r="LR29" s="314"/>
      <c r="LS29" s="314"/>
      <c r="LT29" s="314"/>
      <c r="LU29" s="313"/>
      <c r="LV29" s="314"/>
      <c r="LW29" s="314"/>
      <c r="LX29" s="314"/>
      <c r="LY29" s="314"/>
      <c r="LZ29" s="314"/>
      <c r="MA29" s="314"/>
      <c r="MB29" s="314"/>
      <c r="MC29" s="314"/>
      <c r="MD29" s="314"/>
      <c r="ME29" s="314"/>
      <c r="MF29" s="314"/>
      <c r="MG29" s="314"/>
      <c r="MH29" s="314"/>
      <c r="MI29" s="314"/>
      <c r="MJ29" s="314"/>
      <c r="MK29" s="314"/>
      <c r="ML29" s="314"/>
      <c r="MM29" s="314"/>
      <c r="MN29" s="314"/>
      <c r="MO29" s="314"/>
      <c r="MP29" s="314"/>
      <c r="MQ29" s="314"/>
      <c r="MR29" s="314"/>
      <c r="MS29" s="314"/>
      <c r="MT29" s="314"/>
      <c r="MU29" s="314"/>
      <c r="MV29" s="314"/>
      <c r="MW29" s="314"/>
      <c r="MX29" s="314"/>
      <c r="MY29" s="314"/>
      <c r="MZ29" s="314"/>
      <c r="NA29" s="314"/>
      <c r="NB29" s="314"/>
      <c r="NC29" s="313"/>
      <c r="ND29" s="313"/>
      <c r="NE29" s="314"/>
      <c r="NF29" s="314"/>
      <c r="NG29" s="314"/>
      <c r="NH29" s="314"/>
      <c r="NI29" s="314"/>
      <c r="NJ29" s="313"/>
    </row>
    <row r="30" spans="3:381" ht="20.100000000000001" customHeight="1" x14ac:dyDescent="0.25">
      <c r="C30" s="307"/>
      <c r="D30" s="308"/>
      <c r="E30" s="308"/>
      <c r="F30" s="309">
        <f t="shared" si="0"/>
        <v>1</v>
      </c>
      <c r="G30" s="310"/>
      <c r="H30" s="311" t="s">
        <v>564</v>
      </c>
      <c r="I30" s="312"/>
      <c r="J30" s="313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  <c r="AC30" s="314"/>
      <c r="AD30" s="314"/>
      <c r="AE30" s="314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4"/>
      <c r="BK30" s="314"/>
      <c r="BL30" s="314"/>
      <c r="BM30" s="314"/>
      <c r="BN30" s="314"/>
      <c r="BO30" s="314"/>
      <c r="BP30" s="314"/>
      <c r="BQ30" s="314"/>
      <c r="BR30" s="314"/>
      <c r="BS30" s="314"/>
      <c r="BT30" s="313"/>
      <c r="BU30" s="314"/>
      <c r="BV30" s="314"/>
      <c r="BW30" s="314"/>
      <c r="BX30" s="314"/>
      <c r="BY30" s="314"/>
      <c r="BZ30" s="314"/>
      <c r="CA30" s="314"/>
      <c r="CB30" s="314"/>
      <c r="CC30" s="314"/>
      <c r="CD30" s="314"/>
      <c r="CE30" s="314"/>
      <c r="CF30" s="315"/>
      <c r="CG30" s="314"/>
      <c r="CH30" s="314"/>
      <c r="CI30" s="314"/>
      <c r="CJ30" s="314"/>
      <c r="CK30" s="314"/>
      <c r="CL30" s="314"/>
      <c r="CM30" s="314"/>
      <c r="CN30" s="314"/>
      <c r="CO30" s="314"/>
      <c r="CP30" s="314"/>
      <c r="CQ30" s="314"/>
      <c r="CR30" s="314"/>
      <c r="CS30" s="313"/>
      <c r="CT30" s="314"/>
      <c r="CU30" s="314"/>
      <c r="CV30" s="314"/>
      <c r="CW30" s="314"/>
      <c r="CX30" s="314"/>
      <c r="CY30" s="314"/>
      <c r="CZ30" s="314"/>
      <c r="DA30" s="314"/>
      <c r="DB30" s="314"/>
      <c r="DC30" s="314"/>
      <c r="DD30" s="314"/>
      <c r="DE30" s="314"/>
      <c r="DF30" s="314"/>
      <c r="DG30" s="314"/>
      <c r="DH30" s="314"/>
      <c r="DI30" s="314"/>
      <c r="DJ30" s="314"/>
      <c r="DK30" s="314"/>
      <c r="DL30" s="314"/>
      <c r="DM30" s="313"/>
      <c r="DN30" s="314"/>
      <c r="DO30" s="314"/>
      <c r="DP30" s="313"/>
      <c r="DQ30" s="314"/>
      <c r="DR30" s="314"/>
      <c r="DS30" s="314"/>
      <c r="DT30" s="314"/>
      <c r="DU30" s="314"/>
      <c r="DV30" s="314"/>
      <c r="DW30" s="314"/>
      <c r="DX30" s="314"/>
      <c r="DY30" s="314"/>
      <c r="DZ30" s="313"/>
      <c r="EA30" s="314"/>
      <c r="EB30" s="314"/>
      <c r="EC30" s="314"/>
      <c r="ED30" s="314"/>
      <c r="EE30" s="314"/>
      <c r="EF30" s="314"/>
      <c r="EG30" s="314"/>
      <c r="EH30" s="314"/>
      <c r="EI30" s="314"/>
      <c r="EJ30" s="314"/>
      <c r="EK30" s="314"/>
      <c r="EL30" s="314"/>
      <c r="EM30" s="314"/>
      <c r="EN30" s="314"/>
      <c r="EO30" s="314"/>
      <c r="EP30" s="314"/>
      <c r="EQ30" s="314"/>
      <c r="ER30" s="314"/>
      <c r="ES30" s="314"/>
      <c r="ET30" s="314"/>
      <c r="EU30" s="314"/>
      <c r="EV30" s="314"/>
      <c r="EW30" s="314"/>
      <c r="EX30" s="314"/>
      <c r="EY30" s="314"/>
      <c r="EZ30" s="314"/>
      <c r="FA30" s="314"/>
      <c r="FB30" s="314"/>
      <c r="FC30" s="314"/>
      <c r="FD30" s="314"/>
      <c r="FE30" s="314"/>
      <c r="FF30" s="314"/>
      <c r="FG30" s="314"/>
      <c r="FH30" s="314"/>
      <c r="FI30" s="314"/>
      <c r="FJ30" s="314"/>
      <c r="FK30" s="314"/>
      <c r="FL30" s="314"/>
      <c r="FM30" s="314"/>
      <c r="FN30" s="314"/>
      <c r="FO30" s="314"/>
      <c r="FP30" s="314"/>
      <c r="FQ30" s="314"/>
      <c r="FR30" s="314"/>
      <c r="FS30" s="314"/>
      <c r="FT30" s="314"/>
      <c r="FU30" s="314"/>
      <c r="FV30" s="314"/>
      <c r="FW30" s="313"/>
      <c r="FX30" s="314"/>
      <c r="FY30" s="314"/>
      <c r="FZ30" s="314"/>
      <c r="GA30" s="314"/>
      <c r="GB30" s="314"/>
      <c r="GC30" s="314"/>
      <c r="GD30" s="314"/>
      <c r="GE30" s="314"/>
      <c r="GF30" s="314"/>
      <c r="GG30" s="314"/>
      <c r="GH30" s="314"/>
      <c r="GI30" s="314"/>
      <c r="GJ30" s="314"/>
      <c r="GK30" s="314"/>
      <c r="GL30" s="314"/>
      <c r="GM30" s="314"/>
      <c r="GN30" s="314"/>
      <c r="GO30" s="314"/>
      <c r="GP30" s="314"/>
      <c r="GQ30" s="313"/>
      <c r="GR30" s="314"/>
      <c r="GS30" s="314"/>
      <c r="GT30" s="314"/>
      <c r="GU30" s="314"/>
      <c r="GV30" s="314"/>
      <c r="GW30" s="314"/>
      <c r="GX30" s="314"/>
      <c r="GY30" s="314"/>
      <c r="GZ30" s="314"/>
      <c r="HA30" s="314"/>
      <c r="HB30" s="314"/>
      <c r="HC30" s="314"/>
      <c r="HD30" s="314"/>
      <c r="HE30" s="314"/>
      <c r="HF30" s="314"/>
      <c r="HG30" s="314"/>
      <c r="HH30" s="314"/>
      <c r="HI30" s="314"/>
      <c r="HJ30" s="314"/>
      <c r="HK30" s="314"/>
      <c r="HL30" s="314"/>
      <c r="HM30" s="314"/>
      <c r="HN30" s="314"/>
      <c r="HO30" s="314"/>
      <c r="HP30" s="314"/>
      <c r="HQ30" s="314"/>
      <c r="HR30" s="314"/>
      <c r="HS30" s="314"/>
      <c r="HT30" s="314"/>
      <c r="HU30" s="314"/>
      <c r="HV30" s="314"/>
      <c r="HW30" s="314"/>
      <c r="HX30" s="314"/>
      <c r="HY30" s="314"/>
      <c r="HZ30" s="314"/>
      <c r="IA30" s="314"/>
      <c r="IB30" s="314"/>
      <c r="IC30" s="314"/>
      <c r="ID30" s="314"/>
      <c r="IE30" s="314"/>
      <c r="IF30" s="314"/>
      <c r="IG30" s="314"/>
      <c r="IH30" s="314"/>
      <c r="II30" s="314"/>
      <c r="IJ30" s="314"/>
      <c r="IK30" s="314"/>
      <c r="IL30" s="314"/>
      <c r="IM30" s="314"/>
      <c r="IN30" s="314"/>
      <c r="IO30" s="314"/>
      <c r="IP30" s="314"/>
      <c r="IQ30" s="314"/>
      <c r="IR30" s="314"/>
      <c r="IS30" s="314"/>
      <c r="IT30" s="314"/>
      <c r="IU30" s="314"/>
      <c r="IV30" s="314"/>
      <c r="IW30" s="314"/>
      <c r="IX30" s="314"/>
      <c r="IY30" s="314"/>
      <c r="IZ30" s="314"/>
      <c r="JA30" s="314"/>
      <c r="JB30" s="314"/>
      <c r="JC30" s="314"/>
      <c r="JD30" s="314"/>
      <c r="JE30" s="314"/>
      <c r="JF30" s="314"/>
      <c r="JG30" s="314"/>
      <c r="JH30" s="314"/>
      <c r="JI30" s="314"/>
      <c r="JJ30" s="314"/>
      <c r="JK30" s="314"/>
      <c r="JL30" s="314"/>
      <c r="JM30" s="314"/>
      <c r="JN30" s="314"/>
      <c r="JO30" s="314"/>
      <c r="JP30" s="314"/>
      <c r="JQ30" s="314"/>
      <c r="JR30" s="314"/>
      <c r="JS30" s="314"/>
      <c r="JT30" s="314"/>
      <c r="JU30" s="314"/>
      <c r="JV30" s="314"/>
      <c r="JW30" s="314"/>
      <c r="JX30" s="314"/>
      <c r="JY30" s="314"/>
      <c r="JZ30" s="314"/>
      <c r="KA30" s="314"/>
      <c r="KB30" s="314"/>
      <c r="KC30" s="314"/>
      <c r="KD30" s="314"/>
      <c r="KE30" s="314"/>
      <c r="KF30" s="314"/>
      <c r="KG30" s="314"/>
      <c r="KH30" s="314"/>
      <c r="KI30" s="314"/>
      <c r="KJ30" s="314"/>
      <c r="KK30" s="314"/>
      <c r="KL30" s="314"/>
      <c r="KM30" s="314"/>
      <c r="KN30" s="314"/>
      <c r="KO30" s="314"/>
      <c r="KP30" s="314"/>
      <c r="KQ30" s="314"/>
      <c r="KR30" s="314"/>
      <c r="KS30" s="314"/>
      <c r="KT30" s="314"/>
      <c r="KU30" s="314"/>
      <c r="KV30" s="314"/>
      <c r="KW30" s="314"/>
      <c r="KX30" s="314"/>
      <c r="KY30" s="314"/>
      <c r="KZ30" s="314"/>
      <c r="LA30" s="314"/>
      <c r="LB30" s="314"/>
      <c r="LC30" s="314"/>
      <c r="LD30" s="314"/>
      <c r="LE30" s="314"/>
      <c r="LF30" s="314"/>
      <c r="LG30" s="314"/>
      <c r="LH30" s="314"/>
      <c r="LI30" s="314"/>
      <c r="LJ30" s="314"/>
      <c r="LK30" s="314"/>
      <c r="LL30" s="314"/>
      <c r="LM30" s="314"/>
      <c r="LN30" s="314"/>
      <c r="LO30" s="314"/>
      <c r="LP30" s="313"/>
      <c r="LQ30" s="314"/>
      <c r="LR30" s="314"/>
      <c r="LS30" s="314"/>
      <c r="LT30" s="314"/>
      <c r="LU30" s="313"/>
      <c r="LV30" s="314"/>
      <c r="LW30" s="314"/>
      <c r="LX30" s="314"/>
      <c r="LY30" s="314"/>
      <c r="LZ30" s="314"/>
      <c r="MA30" s="314"/>
      <c r="MB30" s="314"/>
      <c r="MC30" s="314"/>
      <c r="MD30" s="314"/>
      <c r="ME30" s="314"/>
      <c r="MF30" s="314"/>
      <c r="MG30" s="314"/>
      <c r="MH30" s="314"/>
      <c r="MI30" s="314"/>
      <c r="MJ30" s="314"/>
      <c r="MK30" s="314"/>
      <c r="ML30" s="314"/>
      <c r="MM30" s="314"/>
      <c r="MN30" s="314"/>
      <c r="MO30" s="314"/>
      <c r="MP30" s="314"/>
      <c r="MQ30" s="314"/>
      <c r="MR30" s="314"/>
      <c r="MS30" s="314"/>
      <c r="MT30" s="314"/>
      <c r="MU30" s="314"/>
      <c r="MV30" s="314"/>
      <c r="MW30" s="314"/>
      <c r="MX30" s="314"/>
      <c r="MY30" s="314"/>
      <c r="MZ30" s="314"/>
      <c r="NA30" s="314"/>
      <c r="NB30" s="314"/>
      <c r="NC30" s="313"/>
      <c r="ND30" s="313"/>
      <c r="NE30" s="314"/>
      <c r="NF30" s="314"/>
      <c r="NG30" s="314"/>
      <c r="NH30" s="314"/>
      <c r="NI30" s="314"/>
      <c r="NJ30" s="313"/>
      <c r="NK30" s="292"/>
      <c r="NL30" s="292"/>
      <c r="NM30" s="292"/>
      <c r="NN30" s="292"/>
      <c r="NO30" s="292"/>
      <c r="NP30" s="292"/>
      <c r="NQ30" s="292"/>
    </row>
    <row r="31" spans="3:381" ht="20.100000000000001" customHeight="1" x14ac:dyDescent="0.25">
      <c r="C31" s="307"/>
      <c r="D31" s="308"/>
      <c r="E31" s="308"/>
      <c r="F31" s="309">
        <f t="shared" si="0"/>
        <v>1</v>
      </c>
      <c r="G31" s="310"/>
      <c r="H31" s="311" t="s">
        <v>564</v>
      </c>
      <c r="I31" s="312"/>
      <c r="J31" s="313"/>
      <c r="K31" s="314"/>
      <c r="L31" s="314"/>
      <c r="M31" s="314"/>
      <c r="N31" s="314"/>
      <c r="O31" s="314"/>
      <c r="P31" s="314"/>
      <c r="Q31" s="314"/>
      <c r="R31" s="314"/>
      <c r="S31" s="314"/>
      <c r="T31" s="314"/>
      <c r="U31" s="314"/>
      <c r="V31" s="314"/>
      <c r="W31" s="314"/>
      <c r="X31" s="314"/>
      <c r="Y31" s="314"/>
      <c r="Z31" s="314"/>
      <c r="AA31" s="314"/>
      <c r="AB31" s="314"/>
      <c r="AC31" s="314"/>
      <c r="AD31" s="314"/>
      <c r="AE31" s="314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  <c r="BJ31" s="314"/>
      <c r="BK31" s="314"/>
      <c r="BL31" s="314"/>
      <c r="BM31" s="314"/>
      <c r="BN31" s="314"/>
      <c r="BO31" s="314"/>
      <c r="BP31" s="314"/>
      <c r="BQ31" s="314"/>
      <c r="BR31" s="314"/>
      <c r="BS31" s="314"/>
      <c r="BT31" s="313"/>
      <c r="BU31" s="314"/>
      <c r="BV31" s="314"/>
      <c r="BW31" s="314"/>
      <c r="BX31" s="314"/>
      <c r="BY31" s="314"/>
      <c r="BZ31" s="314"/>
      <c r="CA31" s="314"/>
      <c r="CB31" s="314"/>
      <c r="CC31" s="314"/>
      <c r="CD31" s="314"/>
      <c r="CE31" s="314"/>
      <c r="CF31" s="315"/>
      <c r="CG31" s="314"/>
      <c r="CH31" s="314"/>
      <c r="CI31" s="314"/>
      <c r="CJ31" s="314"/>
      <c r="CK31" s="314"/>
      <c r="CL31" s="314"/>
      <c r="CM31" s="314"/>
      <c r="CN31" s="314"/>
      <c r="CO31" s="314"/>
      <c r="CP31" s="314"/>
      <c r="CQ31" s="314"/>
      <c r="CR31" s="314"/>
      <c r="CS31" s="313"/>
      <c r="CT31" s="314"/>
      <c r="CU31" s="314"/>
      <c r="CV31" s="314"/>
      <c r="CW31" s="314"/>
      <c r="CX31" s="314"/>
      <c r="CY31" s="314"/>
      <c r="CZ31" s="314"/>
      <c r="DA31" s="314"/>
      <c r="DB31" s="314"/>
      <c r="DC31" s="314"/>
      <c r="DD31" s="314"/>
      <c r="DE31" s="314"/>
      <c r="DF31" s="314"/>
      <c r="DG31" s="314"/>
      <c r="DH31" s="314"/>
      <c r="DI31" s="314"/>
      <c r="DJ31" s="314"/>
      <c r="DK31" s="314"/>
      <c r="DL31" s="314"/>
      <c r="DM31" s="313"/>
      <c r="DN31" s="314"/>
      <c r="DO31" s="314"/>
      <c r="DP31" s="313"/>
      <c r="DQ31" s="314"/>
      <c r="DR31" s="314"/>
      <c r="DS31" s="314"/>
      <c r="DT31" s="314"/>
      <c r="DU31" s="314"/>
      <c r="DV31" s="314"/>
      <c r="DW31" s="314"/>
      <c r="DX31" s="314"/>
      <c r="DY31" s="314"/>
      <c r="DZ31" s="313"/>
      <c r="EA31" s="314"/>
      <c r="EB31" s="314"/>
      <c r="EC31" s="314"/>
      <c r="ED31" s="314"/>
      <c r="EE31" s="314"/>
      <c r="EF31" s="314"/>
      <c r="EG31" s="314"/>
      <c r="EH31" s="314"/>
      <c r="EI31" s="314"/>
      <c r="EJ31" s="314"/>
      <c r="EK31" s="314"/>
      <c r="EL31" s="314"/>
      <c r="EM31" s="314"/>
      <c r="EN31" s="314"/>
      <c r="EO31" s="314"/>
      <c r="EP31" s="314"/>
      <c r="EQ31" s="314"/>
      <c r="ER31" s="314"/>
      <c r="ES31" s="314"/>
      <c r="ET31" s="314"/>
      <c r="EU31" s="314"/>
      <c r="EV31" s="314"/>
      <c r="EW31" s="314"/>
      <c r="EX31" s="314"/>
      <c r="EY31" s="314"/>
      <c r="EZ31" s="314"/>
      <c r="FA31" s="314"/>
      <c r="FB31" s="314"/>
      <c r="FC31" s="314"/>
      <c r="FD31" s="314"/>
      <c r="FE31" s="314"/>
      <c r="FF31" s="314"/>
      <c r="FG31" s="314"/>
      <c r="FH31" s="314"/>
      <c r="FI31" s="314"/>
      <c r="FJ31" s="314"/>
      <c r="FK31" s="314"/>
      <c r="FL31" s="314"/>
      <c r="FM31" s="314"/>
      <c r="FN31" s="314"/>
      <c r="FO31" s="314"/>
      <c r="FP31" s="314"/>
      <c r="FQ31" s="314"/>
      <c r="FR31" s="314"/>
      <c r="FS31" s="314"/>
      <c r="FT31" s="314"/>
      <c r="FU31" s="314"/>
      <c r="FV31" s="314"/>
      <c r="FW31" s="313"/>
      <c r="FX31" s="314"/>
      <c r="FY31" s="314"/>
      <c r="FZ31" s="314"/>
      <c r="GA31" s="314"/>
      <c r="GB31" s="314"/>
      <c r="GC31" s="314"/>
      <c r="GD31" s="314"/>
      <c r="GE31" s="314"/>
      <c r="GF31" s="314"/>
      <c r="GG31" s="314"/>
      <c r="GH31" s="314"/>
      <c r="GI31" s="314"/>
      <c r="GJ31" s="314"/>
      <c r="GK31" s="314"/>
      <c r="GL31" s="314"/>
      <c r="GM31" s="314"/>
      <c r="GN31" s="314"/>
      <c r="GO31" s="314"/>
      <c r="GP31" s="314"/>
      <c r="GQ31" s="313"/>
      <c r="GR31" s="314"/>
      <c r="GS31" s="314"/>
      <c r="GT31" s="314"/>
      <c r="GU31" s="314"/>
      <c r="GV31" s="314"/>
      <c r="GW31" s="314"/>
      <c r="GX31" s="314"/>
      <c r="GY31" s="314"/>
      <c r="GZ31" s="314"/>
      <c r="HA31" s="314"/>
      <c r="HB31" s="314"/>
      <c r="HC31" s="314"/>
      <c r="HD31" s="314"/>
      <c r="HE31" s="314"/>
      <c r="HF31" s="314"/>
      <c r="HG31" s="314"/>
      <c r="HH31" s="314"/>
      <c r="HI31" s="314"/>
      <c r="HJ31" s="314"/>
      <c r="HK31" s="314"/>
      <c r="HL31" s="314"/>
      <c r="HM31" s="314"/>
      <c r="HN31" s="314"/>
      <c r="HO31" s="314"/>
      <c r="HP31" s="314"/>
      <c r="HQ31" s="314"/>
      <c r="HR31" s="314"/>
      <c r="HS31" s="314"/>
      <c r="HT31" s="314"/>
      <c r="HU31" s="314"/>
      <c r="HV31" s="314"/>
      <c r="HW31" s="314"/>
      <c r="HX31" s="314"/>
      <c r="HY31" s="314"/>
      <c r="HZ31" s="314"/>
      <c r="IA31" s="314"/>
      <c r="IB31" s="314"/>
      <c r="IC31" s="314"/>
      <c r="ID31" s="314"/>
      <c r="IE31" s="314"/>
      <c r="IF31" s="314"/>
      <c r="IG31" s="314"/>
      <c r="IH31" s="314"/>
      <c r="II31" s="314"/>
      <c r="IJ31" s="314"/>
      <c r="IK31" s="314"/>
      <c r="IL31" s="314"/>
      <c r="IM31" s="314"/>
      <c r="IN31" s="314"/>
      <c r="IO31" s="314"/>
      <c r="IP31" s="314"/>
      <c r="IQ31" s="314"/>
      <c r="IR31" s="314"/>
      <c r="IS31" s="314"/>
      <c r="IT31" s="314"/>
      <c r="IU31" s="314"/>
      <c r="IV31" s="314"/>
      <c r="IW31" s="314"/>
      <c r="IX31" s="314"/>
      <c r="IY31" s="314"/>
      <c r="IZ31" s="314"/>
      <c r="JA31" s="314"/>
      <c r="JB31" s="314"/>
      <c r="JC31" s="314"/>
      <c r="JD31" s="314"/>
      <c r="JE31" s="314"/>
      <c r="JF31" s="314"/>
      <c r="JG31" s="314"/>
      <c r="JH31" s="314"/>
      <c r="JI31" s="314"/>
      <c r="JJ31" s="314"/>
      <c r="JK31" s="314"/>
      <c r="JL31" s="314"/>
      <c r="JM31" s="314"/>
      <c r="JN31" s="314"/>
      <c r="JO31" s="314"/>
      <c r="JP31" s="314"/>
      <c r="JQ31" s="314"/>
      <c r="JR31" s="314"/>
      <c r="JS31" s="314"/>
      <c r="JT31" s="314"/>
      <c r="JU31" s="314"/>
      <c r="JV31" s="314"/>
      <c r="JW31" s="314"/>
      <c r="JX31" s="314"/>
      <c r="JY31" s="314"/>
      <c r="JZ31" s="314"/>
      <c r="KA31" s="314"/>
      <c r="KB31" s="314"/>
      <c r="KC31" s="314"/>
      <c r="KD31" s="314"/>
      <c r="KE31" s="314"/>
      <c r="KF31" s="314"/>
      <c r="KG31" s="314"/>
      <c r="KH31" s="314"/>
      <c r="KI31" s="314"/>
      <c r="KJ31" s="314"/>
      <c r="KK31" s="314"/>
      <c r="KL31" s="314"/>
      <c r="KM31" s="314"/>
      <c r="KN31" s="314"/>
      <c r="KO31" s="314"/>
      <c r="KP31" s="314"/>
      <c r="KQ31" s="314"/>
      <c r="KR31" s="314"/>
      <c r="KS31" s="314"/>
      <c r="KT31" s="314"/>
      <c r="KU31" s="314"/>
      <c r="KV31" s="314"/>
      <c r="KW31" s="314"/>
      <c r="KX31" s="314"/>
      <c r="KY31" s="314"/>
      <c r="KZ31" s="314"/>
      <c r="LA31" s="314"/>
      <c r="LB31" s="314"/>
      <c r="LC31" s="314"/>
      <c r="LD31" s="314"/>
      <c r="LE31" s="314"/>
      <c r="LF31" s="314"/>
      <c r="LG31" s="314"/>
      <c r="LH31" s="314"/>
      <c r="LI31" s="314"/>
      <c r="LJ31" s="314"/>
      <c r="LK31" s="314"/>
      <c r="LL31" s="314"/>
      <c r="LM31" s="314"/>
      <c r="LN31" s="314"/>
      <c r="LO31" s="314"/>
      <c r="LP31" s="313"/>
      <c r="LQ31" s="314"/>
      <c r="LR31" s="314"/>
      <c r="LS31" s="314"/>
      <c r="LT31" s="314"/>
      <c r="LU31" s="313"/>
      <c r="LV31" s="314"/>
      <c r="LW31" s="314"/>
      <c r="LX31" s="314"/>
      <c r="LY31" s="314"/>
      <c r="LZ31" s="314"/>
      <c r="MA31" s="314"/>
      <c r="MB31" s="314"/>
      <c r="MC31" s="314"/>
      <c r="MD31" s="314"/>
      <c r="ME31" s="314"/>
      <c r="MF31" s="314"/>
      <c r="MG31" s="314"/>
      <c r="MH31" s="314"/>
      <c r="MI31" s="314"/>
      <c r="MJ31" s="314"/>
      <c r="MK31" s="314"/>
      <c r="ML31" s="314"/>
      <c r="MM31" s="314"/>
      <c r="MN31" s="314"/>
      <c r="MO31" s="314"/>
      <c r="MP31" s="314"/>
      <c r="MQ31" s="314"/>
      <c r="MR31" s="314"/>
      <c r="MS31" s="314"/>
      <c r="MT31" s="314"/>
      <c r="MU31" s="314"/>
      <c r="MV31" s="314"/>
      <c r="MW31" s="314"/>
      <c r="MX31" s="314"/>
      <c r="MY31" s="314"/>
      <c r="MZ31" s="314"/>
      <c r="NA31" s="314"/>
      <c r="NB31" s="314"/>
      <c r="NC31" s="313"/>
      <c r="ND31" s="313"/>
      <c r="NE31" s="314"/>
      <c r="NF31" s="314"/>
      <c r="NG31" s="314"/>
      <c r="NH31" s="314"/>
      <c r="NI31" s="314"/>
      <c r="NJ31" s="313"/>
    </row>
    <row r="32" spans="3:381" ht="20.100000000000001" customHeight="1" x14ac:dyDescent="0.25">
      <c r="C32" s="307"/>
      <c r="D32" s="308"/>
      <c r="E32" s="308"/>
      <c r="F32" s="309">
        <f t="shared" si="0"/>
        <v>1</v>
      </c>
      <c r="G32" s="310"/>
      <c r="H32" s="311" t="s">
        <v>564</v>
      </c>
      <c r="I32" s="312"/>
      <c r="J32" s="313"/>
      <c r="K32" s="314"/>
      <c r="L32" s="314"/>
      <c r="M32" s="314"/>
      <c r="N32" s="314"/>
      <c r="O32" s="314"/>
      <c r="P32" s="314"/>
      <c r="Q32" s="314"/>
      <c r="R32" s="314"/>
      <c r="S32" s="314"/>
      <c r="T32" s="314"/>
      <c r="U32" s="314"/>
      <c r="V32" s="314"/>
      <c r="W32" s="314"/>
      <c r="X32" s="314"/>
      <c r="Y32" s="314"/>
      <c r="Z32" s="314"/>
      <c r="AA32" s="314"/>
      <c r="AB32" s="314"/>
      <c r="AC32" s="314"/>
      <c r="AD32" s="314"/>
      <c r="AE32" s="314"/>
      <c r="AF32" s="314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4"/>
      <c r="BG32" s="314"/>
      <c r="BH32" s="314"/>
      <c r="BI32" s="314"/>
      <c r="BJ32" s="314"/>
      <c r="BK32" s="314"/>
      <c r="BL32" s="314"/>
      <c r="BM32" s="314"/>
      <c r="BN32" s="314"/>
      <c r="BO32" s="314"/>
      <c r="BP32" s="314"/>
      <c r="BQ32" s="314"/>
      <c r="BR32" s="314"/>
      <c r="BS32" s="314"/>
      <c r="BT32" s="313"/>
      <c r="BU32" s="314"/>
      <c r="BV32" s="314"/>
      <c r="BW32" s="314"/>
      <c r="BX32" s="314"/>
      <c r="BY32" s="314"/>
      <c r="BZ32" s="314"/>
      <c r="CA32" s="314"/>
      <c r="CB32" s="314"/>
      <c r="CC32" s="314"/>
      <c r="CD32" s="314"/>
      <c r="CE32" s="314"/>
      <c r="CF32" s="315"/>
      <c r="CG32" s="314"/>
      <c r="CH32" s="314"/>
      <c r="CI32" s="314"/>
      <c r="CJ32" s="314"/>
      <c r="CK32" s="314"/>
      <c r="CL32" s="314"/>
      <c r="CM32" s="314"/>
      <c r="CN32" s="314"/>
      <c r="CO32" s="314"/>
      <c r="CP32" s="314"/>
      <c r="CQ32" s="314"/>
      <c r="CR32" s="314"/>
      <c r="CS32" s="313"/>
      <c r="CT32" s="314"/>
      <c r="CU32" s="314"/>
      <c r="CV32" s="314"/>
      <c r="CW32" s="314"/>
      <c r="CX32" s="314"/>
      <c r="CY32" s="314"/>
      <c r="CZ32" s="314"/>
      <c r="DA32" s="314"/>
      <c r="DB32" s="314"/>
      <c r="DC32" s="314"/>
      <c r="DD32" s="314"/>
      <c r="DE32" s="314"/>
      <c r="DF32" s="314"/>
      <c r="DG32" s="314"/>
      <c r="DH32" s="314"/>
      <c r="DI32" s="314"/>
      <c r="DJ32" s="314"/>
      <c r="DK32" s="314"/>
      <c r="DL32" s="314"/>
      <c r="DM32" s="313"/>
      <c r="DN32" s="314"/>
      <c r="DO32" s="314"/>
      <c r="DP32" s="313"/>
      <c r="DQ32" s="314"/>
      <c r="DR32" s="314"/>
      <c r="DS32" s="314"/>
      <c r="DT32" s="314"/>
      <c r="DU32" s="314"/>
      <c r="DV32" s="314"/>
      <c r="DW32" s="314"/>
      <c r="DX32" s="314"/>
      <c r="DY32" s="314"/>
      <c r="DZ32" s="313"/>
      <c r="EA32" s="314"/>
      <c r="EB32" s="314"/>
      <c r="EC32" s="314"/>
      <c r="ED32" s="314"/>
      <c r="EE32" s="314"/>
      <c r="EF32" s="314"/>
      <c r="EG32" s="314"/>
      <c r="EH32" s="314"/>
      <c r="EI32" s="314"/>
      <c r="EJ32" s="314"/>
      <c r="EK32" s="314"/>
      <c r="EL32" s="314"/>
      <c r="EM32" s="314"/>
      <c r="EN32" s="314"/>
      <c r="EO32" s="314"/>
      <c r="EP32" s="314"/>
      <c r="EQ32" s="314"/>
      <c r="ER32" s="314"/>
      <c r="ES32" s="314"/>
      <c r="ET32" s="314"/>
      <c r="EU32" s="314"/>
      <c r="EV32" s="314"/>
      <c r="EW32" s="314"/>
      <c r="EX32" s="314"/>
      <c r="EY32" s="314"/>
      <c r="EZ32" s="314"/>
      <c r="FA32" s="314"/>
      <c r="FB32" s="314"/>
      <c r="FC32" s="314"/>
      <c r="FD32" s="314"/>
      <c r="FE32" s="314"/>
      <c r="FF32" s="314"/>
      <c r="FG32" s="314"/>
      <c r="FH32" s="314"/>
      <c r="FI32" s="314"/>
      <c r="FJ32" s="314"/>
      <c r="FK32" s="314"/>
      <c r="FL32" s="314"/>
      <c r="FM32" s="314"/>
      <c r="FN32" s="314"/>
      <c r="FO32" s="314"/>
      <c r="FP32" s="314"/>
      <c r="FQ32" s="314"/>
      <c r="FR32" s="314"/>
      <c r="FS32" s="314"/>
      <c r="FT32" s="314"/>
      <c r="FU32" s="314"/>
      <c r="FV32" s="314"/>
      <c r="FW32" s="313"/>
      <c r="FX32" s="314"/>
      <c r="FY32" s="314"/>
      <c r="FZ32" s="314"/>
      <c r="GA32" s="314"/>
      <c r="GB32" s="314"/>
      <c r="GC32" s="314"/>
      <c r="GD32" s="314"/>
      <c r="GE32" s="314"/>
      <c r="GF32" s="314"/>
      <c r="GG32" s="314"/>
      <c r="GH32" s="314"/>
      <c r="GI32" s="314"/>
      <c r="GJ32" s="314"/>
      <c r="GK32" s="314"/>
      <c r="GL32" s="314"/>
      <c r="GM32" s="314"/>
      <c r="GN32" s="314"/>
      <c r="GO32" s="314"/>
      <c r="GP32" s="314"/>
      <c r="GQ32" s="313"/>
      <c r="GR32" s="314"/>
      <c r="GS32" s="314"/>
      <c r="GT32" s="314"/>
      <c r="GU32" s="314"/>
      <c r="GV32" s="314"/>
      <c r="GW32" s="314"/>
      <c r="GX32" s="314"/>
      <c r="GY32" s="314"/>
      <c r="GZ32" s="314"/>
      <c r="HA32" s="314"/>
      <c r="HB32" s="314"/>
      <c r="HC32" s="314"/>
      <c r="HD32" s="314"/>
      <c r="HE32" s="314"/>
      <c r="HF32" s="314"/>
      <c r="HG32" s="314"/>
      <c r="HH32" s="314"/>
      <c r="HI32" s="314"/>
      <c r="HJ32" s="314"/>
      <c r="HK32" s="314"/>
      <c r="HL32" s="314"/>
      <c r="HM32" s="314"/>
      <c r="HN32" s="314"/>
      <c r="HO32" s="314"/>
      <c r="HP32" s="314"/>
      <c r="HQ32" s="314"/>
      <c r="HR32" s="314"/>
      <c r="HS32" s="314"/>
      <c r="HT32" s="314"/>
      <c r="HU32" s="314"/>
      <c r="HV32" s="314"/>
      <c r="HW32" s="314"/>
      <c r="HX32" s="314"/>
      <c r="HY32" s="314"/>
      <c r="HZ32" s="314"/>
      <c r="IA32" s="314"/>
      <c r="IB32" s="314"/>
      <c r="IC32" s="314"/>
      <c r="ID32" s="314"/>
      <c r="IE32" s="314"/>
      <c r="IF32" s="314"/>
      <c r="IG32" s="314"/>
      <c r="IH32" s="314"/>
      <c r="II32" s="314"/>
      <c r="IJ32" s="314"/>
      <c r="IK32" s="314"/>
      <c r="IL32" s="314"/>
      <c r="IM32" s="314"/>
      <c r="IN32" s="314"/>
      <c r="IO32" s="314"/>
      <c r="IP32" s="314"/>
      <c r="IQ32" s="314"/>
      <c r="IR32" s="314"/>
      <c r="IS32" s="314"/>
      <c r="IT32" s="314"/>
      <c r="IU32" s="314"/>
      <c r="IV32" s="314"/>
      <c r="IW32" s="314"/>
      <c r="IX32" s="314"/>
      <c r="IY32" s="314"/>
      <c r="IZ32" s="314"/>
      <c r="JA32" s="314"/>
      <c r="JB32" s="314"/>
      <c r="JC32" s="314"/>
      <c r="JD32" s="314"/>
      <c r="JE32" s="314"/>
      <c r="JF32" s="314"/>
      <c r="JG32" s="314"/>
      <c r="JH32" s="314"/>
      <c r="JI32" s="314"/>
      <c r="JJ32" s="314"/>
      <c r="JK32" s="314"/>
      <c r="JL32" s="314"/>
      <c r="JM32" s="314"/>
      <c r="JN32" s="314"/>
      <c r="JO32" s="314"/>
      <c r="JP32" s="314"/>
      <c r="JQ32" s="314"/>
      <c r="JR32" s="314"/>
      <c r="JS32" s="314"/>
      <c r="JT32" s="314"/>
      <c r="JU32" s="314"/>
      <c r="JV32" s="314"/>
      <c r="JW32" s="314"/>
      <c r="JX32" s="314"/>
      <c r="JY32" s="314"/>
      <c r="JZ32" s="314"/>
      <c r="KA32" s="314"/>
      <c r="KB32" s="314"/>
      <c r="KC32" s="314"/>
      <c r="KD32" s="314"/>
      <c r="KE32" s="314"/>
      <c r="KF32" s="314"/>
      <c r="KG32" s="314"/>
      <c r="KH32" s="314"/>
      <c r="KI32" s="314"/>
      <c r="KJ32" s="314"/>
      <c r="KK32" s="314"/>
      <c r="KL32" s="314"/>
      <c r="KM32" s="314"/>
      <c r="KN32" s="314"/>
      <c r="KO32" s="314"/>
      <c r="KP32" s="314"/>
      <c r="KQ32" s="314"/>
      <c r="KR32" s="314"/>
      <c r="KS32" s="314"/>
      <c r="KT32" s="314"/>
      <c r="KU32" s="314"/>
      <c r="KV32" s="314"/>
      <c r="KW32" s="314"/>
      <c r="KX32" s="314"/>
      <c r="KY32" s="314"/>
      <c r="KZ32" s="314"/>
      <c r="LA32" s="314"/>
      <c r="LB32" s="314"/>
      <c r="LC32" s="314"/>
      <c r="LD32" s="314"/>
      <c r="LE32" s="314"/>
      <c r="LF32" s="314"/>
      <c r="LG32" s="314"/>
      <c r="LH32" s="314"/>
      <c r="LI32" s="314"/>
      <c r="LJ32" s="314"/>
      <c r="LK32" s="314"/>
      <c r="LL32" s="314"/>
      <c r="LM32" s="314"/>
      <c r="LN32" s="314"/>
      <c r="LO32" s="314"/>
      <c r="LP32" s="313"/>
      <c r="LQ32" s="314"/>
      <c r="LR32" s="314"/>
      <c r="LS32" s="314"/>
      <c r="LT32" s="314"/>
      <c r="LU32" s="313"/>
      <c r="LV32" s="314"/>
      <c r="LW32" s="314"/>
      <c r="LX32" s="314"/>
      <c r="LY32" s="314"/>
      <c r="LZ32" s="314"/>
      <c r="MA32" s="314"/>
      <c r="MB32" s="314"/>
      <c r="MC32" s="314"/>
      <c r="MD32" s="314"/>
      <c r="ME32" s="314"/>
      <c r="MF32" s="314"/>
      <c r="MG32" s="314"/>
      <c r="MH32" s="314"/>
      <c r="MI32" s="314"/>
      <c r="MJ32" s="314"/>
      <c r="MK32" s="314"/>
      <c r="ML32" s="314"/>
      <c r="MM32" s="314"/>
      <c r="MN32" s="314"/>
      <c r="MO32" s="314"/>
      <c r="MP32" s="314"/>
      <c r="MQ32" s="314"/>
      <c r="MR32" s="314"/>
      <c r="MS32" s="314"/>
      <c r="MT32" s="314"/>
      <c r="MU32" s="314"/>
      <c r="MV32" s="314"/>
      <c r="MW32" s="314"/>
      <c r="MX32" s="314"/>
      <c r="MY32" s="314"/>
      <c r="MZ32" s="314"/>
      <c r="NA32" s="314"/>
      <c r="NB32" s="314"/>
      <c r="NC32" s="313"/>
      <c r="ND32" s="313"/>
      <c r="NE32" s="314"/>
      <c r="NF32" s="314"/>
      <c r="NG32" s="314"/>
      <c r="NH32" s="314"/>
      <c r="NI32" s="314"/>
      <c r="NJ32" s="313"/>
      <c r="NK32" s="292"/>
      <c r="NL32" s="292"/>
      <c r="NM32" s="292"/>
      <c r="NN32" s="292"/>
      <c r="NO32" s="292"/>
      <c r="NP32" s="292"/>
      <c r="NQ32" s="292"/>
    </row>
    <row r="33" spans="3:381" ht="20.100000000000001" customHeight="1" x14ac:dyDescent="0.25">
      <c r="C33" s="307"/>
      <c r="D33" s="308"/>
      <c r="E33" s="308"/>
      <c r="F33" s="309">
        <f t="shared" si="0"/>
        <v>1</v>
      </c>
      <c r="G33" s="310"/>
      <c r="H33" s="311" t="s">
        <v>564</v>
      </c>
      <c r="I33" s="312"/>
      <c r="J33" s="313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314"/>
      <c r="AB33" s="314"/>
      <c r="AC33" s="314"/>
      <c r="AD33" s="314"/>
      <c r="AE33" s="314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314"/>
      <c r="BJ33" s="314"/>
      <c r="BK33" s="314"/>
      <c r="BL33" s="314"/>
      <c r="BM33" s="314"/>
      <c r="BN33" s="314"/>
      <c r="BO33" s="314"/>
      <c r="BP33" s="314"/>
      <c r="BQ33" s="314"/>
      <c r="BR33" s="314"/>
      <c r="BS33" s="314"/>
      <c r="BT33" s="313"/>
      <c r="BU33" s="314"/>
      <c r="BV33" s="314"/>
      <c r="BW33" s="314"/>
      <c r="BX33" s="314"/>
      <c r="BY33" s="314"/>
      <c r="BZ33" s="314"/>
      <c r="CA33" s="314"/>
      <c r="CB33" s="314"/>
      <c r="CC33" s="314"/>
      <c r="CD33" s="314"/>
      <c r="CE33" s="314"/>
      <c r="CF33" s="315"/>
      <c r="CG33" s="314"/>
      <c r="CH33" s="314"/>
      <c r="CI33" s="314"/>
      <c r="CJ33" s="314"/>
      <c r="CK33" s="314"/>
      <c r="CL33" s="314"/>
      <c r="CM33" s="314"/>
      <c r="CN33" s="314"/>
      <c r="CO33" s="314"/>
      <c r="CP33" s="314"/>
      <c r="CQ33" s="314"/>
      <c r="CR33" s="314"/>
      <c r="CS33" s="313"/>
      <c r="CT33" s="314"/>
      <c r="CU33" s="314"/>
      <c r="CV33" s="314"/>
      <c r="CW33" s="314"/>
      <c r="CX33" s="314"/>
      <c r="CY33" s="314"/>
      <c r="CZ33" s="314"/>
      <c r="DA33" s="314"/>
      <c r="DB33" s="314"/>
      <c r="DC33" s="314"/>
      <c r="DD33" s="314"/>
      <c r="DE33" s="314"/>
      <c r="DF33" s="314"/>
      <c r="DG33" s="314"/>
      <c r="DH33" s="314"/>
      <c r="DI33" s="314"/>
      <c r="DJ33" s="314"/>
      <c r="DK33" s="314"/>
      <c r="DL33" s="314"/>
      <c r="DM33" s="313"/>
      <c r="DN33" s="314"/>
      <c r="DO33" s="314"/>
      <c r="DP33" s="313"/>
      <c r="DQ33" s="314"/>
      <c r="DR33" s="314"/>
      <c r="DS33" s="314"/>
      <c r="DT33" s="314"/>
      <c r="DU33" s="314"/>
      <c r="DV33" s="314"/>
      <c r="DW33" s="314"/>
      <c r="DX33" s="314"/>
      <c r="DY33" s="314"/>
      <c r="DZ33" s="313"/>
      <c r="EA33" s="314"/>
      <c r="EB33" s="314"/>
      <c r="EC33" s="314"/>
      <c r="ED33" s="314"/>
      <c r="EE33" s="314"/>
      <c r="EF33" s="314"/>
      <c r="EG33" s="314"/>
      <c r="EH33" s="314"/>
      <c r="EI33" s="314"/>
      <c r="EJ33" s="314"/>
      <c r="EK33" s="314"/>
      <c r="EL33" s="314"/>
      <c r="EM33" s="314"/>
      <c r="EN33" s="314"/>
      <c r="EO33" s="314"/>
      <c r="EP33" s="314"/>
      <c r="EQ33" s="314"/>
      <c r="ER33" s="314"/>
      <c r="ES33" s="314"/>
      <c r="ET33" s="314"/>
      <c r="EU33" s="314"/>
      <c r="EV33" s="314"/>
      <c r="EW33" s="314"/>
      <c r="EX33" s="314"/>
      <c r="EY33" s="314"/>
      <c r="EZ33" s="314"/>
      <c r="FA33" s="314"/>
      <c r="FB33" s="314"/>
      <c r="FC33" s="314"/>
      <c r="FD33" s="314"/>
      <c r="FE33" s="314"/>
      <c r="FF33" s="314"/>
      <c r="FG33" s="314"/>
      <c r="FH33" s="314"/>
      <c r="FI33" s="314"/>
      <c r="FJ33" s="314"/>
      <c r="FK33" s="314"/>
      <c r="FL33" s="314"/>
      <c r="FM33" s="314"/>
      <c r="FN33" s="314"/>
      <c r="FO33" s="314"/>
      <c r="FP33" s="314"/>
      <c r="FQ33" s="314"/>
      <c r="FR33" s="314"/>
      <c r="FS33" s="314"/>
      <c r="FT33" s="314"/>
      <c r="FU33" s="314"/>
      <c r="FV33" s="314"/>
      <c r="FW33" s="313"/>
      <c r="FX33" s="314"/>
      <c r="FY33" s="314"/>
      <c r="FZ33" s="314"/>
      <c r="GA33" s="314"/>
      <c r="GB33" s="314"/>
      <c r="GC33" s="314"/>
      <c r="GD33" s="314"/>
      <c r="GE33" s="314"/>
      <c r="GF33" s="314"/>
      <c r="GG33" s="314"/>
      <c r="GH33" s="314"/>
      <c r="GI33" s="314"/>
      <c r="GJ33" s="314"/>
      <c r="GK33" s="314"/>
      <c r="GL33" s="314"/>
      <c r="GM33" s="314"/>
      <c r="GN33" s="314"/>
      <c r="GO33" s="314"/>
      <c r="GP33" s="314"/>
      <c r="GQ33" s="313"/>
      <c r="GR33" s="314"/>
      <c r="GS33" s="314"/>
      <c r="GT33" s="314"/>
      <c r="GU33" s="314"/>
      <c r="GV33" s="314"/>
      <c r="GW33" s="314"/>
      <c r="GX33" s="314"/>
      <c r="GY33" s="314"/>
      <c r="GZ33" s="314"/>
      <c r="HA33" s="314"/>
      <c r="HB33" s="314"/>
      <c r="HC33" s="314"/>
      <c r="HD33" s="314"/>
      <c r="HE33" s="314"/>
      <c r="HF33" s="314"/>
      <c r="HG33" s="314"/>
      <c r="HH33" s="314"/>
      <c r="HI33" s="314"/>
      <c r="HJ33" s="314"/>
      <c r="HK33" s="314"/>
      <c r="HL33" s="314"/>
      <c r="HM33" s="314"/>
      <c r="HN33" s="314"/>
      <c r="HO33" s="314"/>
      <c r="HP33" s="314"/>
      <c r="HQ33" s="314"/>
      <c r="HR33" s="314"/>
      <c r="HS33" s="314"/>
      <c r="HT33" s="314"/>
      <c r="HU33" s="314"/>
      <c r="HV33" s="314"/>
      <c r="HW33" s="314"/>
      <c r="HX33" s="314"/>
      <c r="HY33" s="314"/>
      <c r="HZ33" s="314"/>
      <c r="IA33" s="314"/>
      <c r="IB33" s="314"/>
      <c r="IC33" s="314"/>
      <c r="ID33" s="314"/>
      <c r="IE33" s="314"/>
      <c r="IF33" s="314"/>
      <c r="IG33" s="314"/>
      <c r="IH33" s="314"/>
      <c r="II33" s="314"/>
      <c r="IJ33" s="314"/>
      <c r="IK33" s="314"/>
      <c r="IL33" s="314"/>
      <c r="IM33" s="314"/>
      <c r="IN33" s="314"/>
      <c r="IO33" s="314"/>
      <c r="IP33" s="314"/>
      <c r="IQ33" s="314"/>
      <c r="IR33" s="314"/>
      <c r="IS33" s="314"/>
      <c r="IT33" s="314"/>
      <c r="IU33" s="314"/>
      <c r="IV33" s="314"/>
      <c r="IW33" s="314"/>
      <c r="IX33" s="314"/>
      <c r="IY33" s="314"/>
      <c r="IZ33" s="314"/>
      <c r="JA33" s="314"/>
      <c r="JB33" s="314"/>
      <c r="JC33" s="314"/>
      <c r="JD33" s="314"/>
      <c r="JE33" s="314"/>
      <c r="JF33" s="314"/>
      <c r="JG33" s="314"/>
      <c r="JH33" s="314"/>
      <c r="JI33" s="314"/>
      <c r="JJ33" s="314"/>
      <c r="JK33" s="314"/>
      <c r="JL33" s="314"/>
      <c r="JM33" s="314"/>
      <c r="JN33" s="314"/>
      <c r="JO33" s="314"/>
      <c r="JP33" s="314"/>
      <c r="JQ33" s="314"/>
      <c r="JR33" s="314"/>
      <c r="JS33" s="314"/>
      <c r="JT33" s="314"/>
      <c r="JU33" s="314"/>
      <c r="JV33" s="314"/>
      <c r="JW33" s="314"/>
      <c r="JX33" s="314"/>
      <c r="JY33" s="314"/>
      <c r="JZ33" s="314"/>
      <c r="KA33" s="314"/>
      <c r="KB33" s="314"/>
      <c r="KC33" s="314"/>
      <c r="KD33" s="314"/>
      <c r="KE33" s="314"/>
      <c r="KF33" s="314"/>
      <c r="KG33" s="314"/>
      <c r="KH33" s="314"/>
      <c r="KI33" s="314"/>
      <c r="KJ33" s="314"/>
      <c r="KK33" s="314"/>
      <c r="KL33" s="314"/>
      <c r="KM33" s="314"/>
      <c r="KN33" s="314"/>
      <c r="KO33" s="314"/>
      <c r="KP33" s="314"/>
      <c r="KQ33" s="314"/>
      <c r="KR33" s="314"/>
      <c r="KS33" s="314"/>
      <c r="KT33" s="314"/>
      <c r="KU33" s="314"/>
      <c r="KV33" s="314"/>
      <c r="KW33" s="314"/>
      <c r="KX33" s="314"/>
      <c r="KY33" s="314"/>
      <c r="KZ33" s="314"/>
      <c r="LA33" s="314"/>
      <c r="LB33" s="314"/>
      <c r="LC33" s="314"/>
      <c r="LD33" s="314"/>
      <c r="LE33" s="314"/>
      <c r="LF33" s="314"/>
      <c r="LG33" s="314"/>
      <c r="LH33" s="314"/>
      <c r="LI33" s="314"/>
      <c r="LJ33" s="314"/>
      <c r="LK33" s="314"/>
      <c r="LL33" s="314"/>
      <c r="LM33" s="314"/>
      <c r="LN33" s="314"/>
      <c r="LO33" s="314"/>
      <c r="LP33" s="313"/>
      <c r="LQ33" s="314"/>
      <c r="LR33" s="314"/>
      <c r="LS33" s="314"/>
      <c r="LT33" s="314"/>
      <c r="LU33" s="313"/>
      <c r="LV33" s="314"/>
      <c r="LW33" s="314"/>
      <c r="LX33" s="314"/>
      <c r="LY33" s="314"/>
      <c r="LZ33" s="314"/>
      <c r="MA33" s="314"/>
      <c r="MB33" s="314"/>
      <c r="MC33" s="314"/>
      <c r="MD33" s="314"/>
      <c r="ME33" s="314"/>
      <c r="MF33" s="314"/>
      <c r="MG33" s="314"/>
      <c r="MH33" s="314"/>
      <c r="MI33" s="314"/>
      <c r="MJ33" s="314"/>
      <c r="MK33" s="314"/>
      <c r="ML33" s="314"/>
      <c r="MM33" s="314"/>
      <c r="MN33" s="314"/>
      <c r="MO33" s="314"/>
      <c r="MP33" s="314"/>
      <c r="MQ33" s="314"/>
      <c r="MR33" s="314"/>
      <c r="MS33" s="314"/>
      <c r="MT33" s="314"/>
      <c r="MU33" s="314"/>
      <c r="MV33" s="314"/>
      <c r="MW33" s="314"/>
      <c r="MX33" s="314"/>
      <c r="MY33" s="314"/>
      <c r="MZ33" s="314"/>
      <c r="NA33" s="314"/>
      <c r="NB33" s="314"/>
      <c r="NC33" s="313"/>
      <c r="ND33" s="313"/>
      <c r="NE33" s="314"/>
      <c r="NF33" s="314"/>
      <c r="NG33" s="314"/>
      <c r="NH33" s="314"/>
      <c r="NI33" s="314"/>
      <c r="NJ33" s="313"/>
    </row>
    <row r="34" spans="3:381" ht="20.100000000000001" customHeight="1" x14ac:dyDescent="0.25">
      <c r="C34" s="307"/>
      <c r="D34" s="308"/>
      <c r="E34" s="308"/>
      <c r="F34" s="309">
        <f t="shared" si="0"/>
        <v>1</v>
      </c>
      <c r="G34" s="310"/>
      <c r="H34" s="311" t="s">
        <v>564</v>
      </c>
      <c r="I34" s="312"/>
      <c r="J34" s="313"/>
      <c r="K34" s="314"/>
      <c r="L34" s="314"/>
      <c r="M34" s="314"/>
      <c r="N34" s="314"/>
      <c r="O34" s="314"/>
      <c r="P34" s="314"/>
      <c r="Q34" s="314"/>
      <c r="R34" s="314"/>
      <c r="S34" s="314"/>
      <c r="T34" s="314"/>
      <c r="U34" s="314"/>
      <c r="V34" s="314"/>
      <c r="W34" s="314"/>
      <c r="X34" s="314"/>
      <c r="Y34" s="314"/>
      <c r="Z34" s="314"/>
      <c r="AA34" s="314"/>
      <c r="AB34" s="314"/>
      <c r="AC34" s="314"/>
      <c r="AD34" s="314"/>
      <c r="AE34" s="314"/>
      <c r="AF34" s="314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14"/>
      <c r="BH34" s="314"/>
      <c r="BI34" s="314"/>
      <c r="BJ34" s="314"/>
      <c r="BK34" s="314"/>
      <c r="BL34" s="314"/>
      <c r="BM34" s="314"/>
      <c r="BN34" s="314"/>
      <c r="BO34" s="314"/>
      <c r="BP34" s="314"/>
      <c r="BQ34" s="314"/>
      <c r="BR34" s="314"/>
      <c r="BS34" s="314"/>
      <c r="BT34" s="313"/>
      <c r="BU34" s="314"/>
      <c r="BV34" s="314"/>
      <c r="BW34" s="314"/>
      <c r="BX34" s="314"/>
      <c r="BY34" s="314"/>
      <c r="BZ34" s="314"/>
      <c r="CA34" s="314"/>
      <c r="CB34" s="314"/>
      <c r="CC34" s="314"/>
      <c r="CD34" s="314"/>
      <c r="CE34" s="314"/>
      <c r="CF34" s="315"/>
      <c r="CG34" s="314"/>
      <c r="CH34" s="314"/>
      <c r="CI34" s="314"/>
      <c r="CJ34" s="314"/>
      <c r="CK34" s="314"/>
      <c r="CL34" s="314"/>
      <c r="CM34" s="314"/>
      <c r="CN34" s="314"/>
      <c r="CO34" s="314"/>
      <c r="CP34" s="314"/>
      <c r="CQ34" s="314"/>
      <c r="CR34" s="314"/>
      <c r="CS34" s="313"/>
      <c r="CT34" s="314"/>
      <c r="CU34" s="314"/>
      <c r="CV34" s="314"/>
      <c r="CW34" s="314"/>
      <c r="CX34" s="314"/>
      <c r="CY34" s="314"/>
      <c r="CZ34" s="314"/>
      <c r="DA34" s="314"/>
      <c r="DB34" s="314"/>
      <c r="DC34" s="314"/>
      <c r="DD34" s="314"/>
      <c r="DE34" s="314"/>
      <c r="DF34" s="314"/>
      <c r="DG34" s="314"/>
      <c r="DH34" s="314"/>
      <c r="DI34" s="314"/>
      <c r="DJ34" s="314"/>
      <c r="DK34" s="314"/>
      <c r="DL34" s="314"/>
      <c r="DM34" s="313"/>
      <c r="DN34" s="314"/>
      <c r="DO34" s="314"/>
      <c r="DP34" s="313"/>
      <c r="DQ34" s="314"/>
      <c r="DR34" s="314"/>
      <c r="DS34" s="314"/>
      <c r="DT34" s="314"/>
      <c r="DU34" s="314"/>
      <c r="DV34" s="314"/>
      <c r="DW34" s="314"/>
      <c r="DX34" s="314"/>
      <c r="DY34" s="314"/>
      <c r="DZ34" s="313"/>
      <c r="EA34" s="314"/>
      <c r="EB34" s="314"/>
      <c r="EC34" s="314"/>
      <c r="ED34" s="314"/>
      <c r="EE34" s="314"/>
      <c r="EF34" s="314"/>
      <c r="EG34" s="314"/>
      <c r="EH34" s="314"/>
      <c r="EI34" s="314"/>
      <c r="EJ34" s="314"/>
      <c r="EK34" s="314"/>
      <c r="EL34" s="314"/>
      <c r="EM34" s="314"/>
      <c r="EN34" s="314"/>
      <c r="EO34" s="314"/>
      <c r="EP34" s="314"/>
      <c r="EQ34" s="314"/>
      <c r="ER34" s="314"/>
      <c r="ES34" s="314"/>
      <c r="ET34" s="314"/>
      <c r="EU34" s="314"/>
      <c r="EV34" s="314"/>
      <c r="EW34" s="314"/>
      <c r="EX34" s="314"/>
      <c r="EY34" s="314"/>
      <c r="EZ34" s="314"/>
      <c r="FA34" s="314"/>
      <c r="FB34" s="314"/>
      <c r="FC34" s="314"/>
      <c r="FD34" s="314"/>
      <c r="FE34" s="314"/>
      <c r="FF34" s="314"/>
      <c r="FG34" s="314"/>
      <c r="FH34" s="314"/>
      <c r="FI34" s="314"/>
      <c r="FJ34" s="314"/>
      <c r="FK34" s="314"/>
      <c r="FL34" s="314"/>
      <c r="FM34" s="314"/>
      <c r="FN34" s="314"/>
      <c r="FO34" s="314"/>
      <c r="FP34" s="314"/>
      <c r="FQ34" s="314"/>
      <c r="FR34" s="314"/>
      <c r="FS34" s="314"/>
      <c r="FT34" s="314"/>
      <c r="FU34" s="314"/>
      <c r="FV34" s="314"/>
      <c r="FW34" s="313"/>
      <c r="FX34" s="314"/>
      <c r="FY34" s="314"/>
      <c r="FZ34" s="314"/>
      <c r="GA34" s="314"/>
      <c r="GB34" s="314"/>
      <c r="GC34" s="314"/>
      <c r="GD34" s="314"/>
      <c r="GE34" s="314"/>
      <c r="GF34" s="314"/>
      <c r="GG34" s="314"/>
      <c r="GH34" s="314"/>
      <c r="GI34" s="314"/>
      <c r="GJ34" s="314"/>
      <c r="GK34" s="314"/>
      <c r="GL34" s="314"/>
      <c r="GM34" s="314"/>
      <c r="GN34" s="314"/>
      <c r="GO34" s="314"/>
      <c r="GP34" s="314"/>
      <c r="GQ34" s="313"/>
      <c r="GR34" s="314"/>
      <c r="GS34" s="314"/>
      <c r="GT34" s="314"/>
      <c r="GU34" s="314"/>
      <c r="GV34" s="314"/>
      <c r="GW34" s="314"/>
      <c r="GX34" s="314"/>
      <c r="GY34" s="314"/>
      <c r="GZ34" s="314"/>
      <c r="HA34" s="314"/>
      <c r="HB34" s="314"/>
      <c r="HC34" s="314"/>
      <c r="HD34" s="314"/>
      <c r="HE34" s="314"/>
      <c r="HF34" s="314"/>
      <c r="HG34" s="314"/>
      <c r="HH34" s="314"/>
      <c r="HI34" s="314"/>
      <c r="HJ34" s="314"/>
      <c r="HK34" s="314"/>
      <c r="HL34" s="314"/>
      <c r="HM34" s="314"/>
      <c r="HN34" s="314"/>
      <c r="HO34" s="314"/>
      <c r="HP34" s="314"/>
      <c r="HQ34" s="314"/>
      <c r="HR34" s="314"/>
      <c r="HS34" s="314"/>
      <c r="HT34" s="314"/>
      <c r="HU34" s="314"/>
      <c r="HV34" s="314"/>
      <c r="HW34" s="314"/>
      <c r="HX34" s="314"/>
      <c r="HY34" s="314"/>
      <c r="HZ34" s="314"/>
      <c r="IA34" s="314"/>
      <c r="IB34" s="314"/>
      <c r="IC34" s="314"/>
      <c r="ID34" s="314"/>
      <c r="IE34" s="314"/>
      <c r="IF34" s="314"/>
      <c r="IG34" s="314"/>
      <c r="IH34" s="314"/>
      <c r="II34" s="314"/>
      <c r="IJ34" s="314"/>
      <c r="IK34" s="314"/>
      <c r="IL34" s="314"/>
      <c r="IM34" s="314"/>
      <c r="IN34" s="314"/>
      <c r="IO34" s="314"/>
      <c r="IP34" s="314"/>
      <c r="IQ34" s="314"/>
      <c r="IR34" s="314"/>
      <c r="IS34" s="314"/>
      <c r="IT34" s="314"/>
      <c r="IU34" s="314"/>
      <c r="IV34" s="314"/>
      <c r="IW34" s="314"/>
      <c r="IX34" s="314"/>
      <c r="IY34" s="314"/>
      <c r="IZ34" s="314"/>
      <c r="JA34" s="314"/>
      <c r="JB34" s="314"/>
      <c r="JC34" s="314"/>
      <c r="JD34" s="314"/>
      <c r="JE34" s="314"/>
      <c r="JF34" s="314"/>
      <c r="JG34" s="314"/>
      <c r="JH34" s="314"/>
      <c r="JI34" s="314"/>
      <c r="JJ34" s="314"/>
      <c r="JK34" s="314"/>
      <c r="JL34" s="314"/>
      <c r="JM34" s="314"/>
      <c r="JN34" s="314"/>
      <c r="JO34" s="314"/>
      <c r="JP34" s="314"/>
      <c r="JQ34" s="314"/>
      <c r="JR34" s="314"/>
      <c r="JS34" s="314"/>
      <c r="JT34" s="314"/>
      <c r="JU34" s="314"/>
      <c r="JV34" s="314"/>
      <c r="JW34" s="314"/>
      <c r="JX34" s="314"/>
      <c r="JY34" s="314"/>
      <c r="JZ34" s="314"/>
      <c r="KA34" s="314"/>
      <c r="KB34" s="314"/>
      <c r="KC34" s="314"/>
      <c r="KD34" s="314"/>
      <c r="KE34" s="314"/>
      <c r="KF34" s="314"/>
      <c r="KG34" s="314"/>
      <c r="KH34" s="314"/>
      <c r="KI34" s="314"/>
      <c r="KJ34" s="314"/>
      <c r="KK34" s="314"/>
      <c r="KL34" s="314"/>
      <c r="KM34" s="314"/>
      <c r="KN34" s="314"/>
      <c r="KO34" s="314"/>
      <c r="KP34" s="314"/>
      <c r="KQ34" s="314"/>
      <c r="KR34" s="314"/>
      <c r="KS34" s="314"/>
      <c r="KT34" s="314"/>
      <c r="KU34" s="314"/>
      <c r="KV34" s="314"/>
      <c r="KW34" s="314"/>
      <c r="KX34" s="314"/>
      <c r="KY34" s="314"/>
      <c r="KZ34" s="314"/>
      <c r="LA34" s="314"/>
      <c r="LB34" s="314"/>
      <c r="LC34" s="314"/>
      <c r="LD34" s="314"/>
      <c r="LE34" s="314"/>
      <c r="LF34" s="314"/>
      <c r="LG34" s="314"/>
      <c r="LH34" s="314"/>
      <c r="LI34" s="314"/>
      <c r="LJ34" s="314"/>
      <c r="LK34" s="314"/>
      <c r="LL34" s="314"/>
      <c r="LM34" s="314"/>
      <c r="LN34" s="314"/>
      <c r="LO34" s="314"/>
      <c r="LP34" s="313"/>
      <c r="LQ34" s="314"/>
      <c r="LR34" s="314"/>
      <c r="LS34" s="314"/>
      <c r="LT34" s="314"/>
      <c r="LU34" s="313"/>
      <c r="LV34" s="314"/>
      <c r="LW34" s="314"/>
      <c r="LX34" s="314"/>
      <c r="LY34" s="314"/>
      <c r="LZ34" s="314"/>
      <c r="MA34" s="314"/>
      <c r="MB34" s="314"/>
      <c r="MC34" s="314"/>
      <c r="MD34" s="314"/>
      <c r="ME34" s="314"/>
      <c r="MF34" s="314"/>
      <c r="MG34" s="314"/>
      <c r="MH34" s="314"/>
      <c r="MI34" s="314"/>
      <c r="MJ34" s="314"/>
      <c r="MK34" s="314"/>
      <c r="ML34" s="314"/>
      <c r="MM34" s="314"/>
      <c r="MN34" s="314"/>
      <c r="MO34" s="314"/>
      <c r="MP34" s="314"/>
      <c r="MQ34" s="314"/>
      <c r="MR34" s="314"/>
      <c r="MS34" s="314"/>
      <c r="MT34" s="314"/>
      <c r="MU34" s="314"/>
      <c r="MV34" s="314"/>
      <c r="MW34" s="314"/>
      <c r="MX34" s="314"/>
      <c r="MY34" s="314"/>
      <c r="MZ34" s="314"/>
      <c r="NA34" s="314"/>
      <c r="NB34" s="314"/>
      <c r="NC34" s="313"/>
      <c r="ND34" s="313"/>
      <c r="NE34" s="314"/>
      <c r="NF34" s="314"/>
      <c r="NG34" s="314"/>
      <c r="NH34" s="314"/>
      <c r="NI34" s="314"/>
      <c r="NJ34" s="313"/>
      <c r="NK34" s="292"/>
      <c r="NL34" s="292"/>
      <c r="NM34" s="292"/>
      <c r="NN34" s="292"/>
      <c r="NO34" s="292"/>
      <c r="NP34" s="292"/>
      <c r="NQ34" s="292"/>
    </row>
    <row r="35" spans="3:381" ht="20.100000000000001" customHeight="1" x14ac:dyDescent="0.25">
      <c r="C35" s="307"/>
      <c r="D35" s="308"/>
      <c r="E35" s="308"/>
      <c r="F35" s="309">
        <f t="shared" si="0"/>
        <v>1</v>
      </c>
      <c r="G35" s="310"/>
      <c r="H35" s="311" t="s">
        <v>564</v>
      </c>
      <c r="I35" s="312"/>
      <c r="J35" s="313"/>
      <c r="K35" s="314"/>
      <c r="L35" s="314"/>
      <c r="M35" s="314"/>
      <c r="N35" s="314"/>
      <c r="O35" s="314"/>
      <c r="P35" s="314"/>
      <c r="Q35" s="314"/>
      <c r="R35" s="314"/>
      <c r="S35" s="314"/>
      <c r="T35" s="314"/>
      <c r="U35" s="314"/>
      <c r="V35" s="314"/>
      <c r="W35" s="314"/>
      <c r="X35" s="314"/>
      <c r="Y35" s="314"/>
      <c r="Z35" s="314"/>
      <c r="AA35" s="314"/>
      <c r="AB35" s="314"/>
      <c r="AC35" s="314"/>
      <c r="AD35" s="314"/>
      <c r="AE35" s="314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  <c r="BJ35" s="314"/>
      <c r="BK35" s="314"/>
      <c r="BL35" s="314"/>
      <c r="BM35" s="314"/>
      <c r="BN35" s="314"/>
      <c r="BO35" s="314"/>
      <c r="BP35" s="314"/>
      <c r="BQ35" s="314"/>
      <c r="BR35" s="314"/>
      <c r="BS35" s="314"/>
      <c r="BT35" s="313"/>
      <c r="BU35" s="314"/>
      <c r="BV35" s="314"/>
      <c r="BW35" s="314"/>
      <c r="BX35" s="314"/>
      <c r="BY35" s="314"/>
      <c r="BZ35" s="314"/>
      <c r="CA35" s="314"/>
      <c r="CB35" s="314"/>
      <c r="CC35" s="314"/>
      <c r="CD35" s="314"/>
      <c r="CE35" s="314"/>
      <c r="CF35" s="315"/>
      <c r="CG35" s="314"/>
      <c r="CH35" s="314"/>
      <c r="CI35" s="314"/>
      <c r="CJ35" s="314"/>
      <c r="CK35" s="314"/>
      <c r="CL35" s="314"/>
      <c r="CM35" s="314"/>
      <c r="CN35" s="314"/>
      <c r="CO35" s="314"/>
      <c r="CP35" s="314"/>
      <c r="CQ35" s="314"/>
      <c r="CR35" s="314"/>
      <c r="CS35" s="313"/>
      <c r="CT35" s="314"/>
      <c r="CU35" s="314"/>
      <c r="CV35" s="314"/>
      <c r="CW35" s="314"/>
      <c r="CX35" s="314"/>
      <c r="CY35" s="314"/>
      <c r="CZ35" s="314"/>
      <c r="DA35" s="314"/>
      <c r="DB35" s="314"/>
      <c r="DC35" s="314"/>
      <c r="DD35" s="314"/>
      <c r="DE35" s="314"/>
      <c r="DF35" s="314"/>
      <c r="DG35" s="314"/>
      <c r="DH35" s="314"/>
      <c r="DI35" s="314"/>
      <c r="DJ35" s="314"/>
      <c r="DK35" s="314"/>
      <c r="DL35" s="314"/>
      <c r="DM35" s="313"/>
      <c r="DN35" s="314"/>
      <c r="DO35" s="314"/>
      <c r="DP35" s="313"/>
      <c r="DQ35" s="314"/>
      <c r="DR35" s="314"/>
      <c r="DS35" s="314"/>
      <c r="DT35" s="314"/>
      <c r="DU35" s="314"/>
      <c r="DV35" s="314"/>
      <c r="DW35" s="314"/>
      <c r="DX35" s="314"/>
      <c r="DY35" s="314"/>
      <c r="DZ35" s="313"/>
      <c r="EA35" s="314"/>
      <c r="EB35" s="314"/>
      <c r="EC35" s="314"/>
      <c r="ED35" s="314"/>
      <c r="EE35" s="314"/>
      <c r="EF35" s="314"/>
      <c r="EG35" s="314"/>
      <c r="EH35" s="314"/>
      <c r="EI35" s="314"/>
      <c r="EJ35" s="314"/>
      <c r="EK35" s="314"/>
      <c r="EL35" s="314"/>
      <c r="EM35" s="314"/>
      <c r="EN35" s="314"/>
      <c r="EO35" s="314"/>
      <c r="EP35" s="314"/>
      <c r="EQ35" s="314"/>
      <c r="ER35" s="314"/>
      <c r="ES35" s="314"/>
      <c r="ET35" s="314"/>
      <c r="EU35" s="314"/>
      <c r="EV35" s="314"/>
      <c r="EW35" s="314"/>
      <c r="EX35" s="314"/>
      <c r="EY35" s="314"/>
      <c r="EZ35" s="314"/>
      <c r="FA35" s="314"/>
      <c r="FB35" s="314"/>
      <c r="FC35" s="314"/>
      <c r="FD35" s="314"/>
      <c r="FE35" s="314"/>
      <c r="FF35" s="314"/>
      <c r="FG35" s="314"/>
      <c r="FH35" s="314"/>
      <c r="FI35" s="314"/>
      <c r="FJ35" s="314"/>
      <c r="FK35" s="314"/>
      <c r="FL35" s="314"/>
      <c r="FM35" s="314"/>
      <c r="FN35" s="314"/>
      <c r="FO35" s="314"/>
      <c r="FP35" s="314"/>
      <c r="FQ35" s="314"/>
      <c r="FR35" s="314"/>
      <c r="FS35" s="314"/>
      <c r="FT35" s="314"/>
      <c r="FU35" s="314"/>
      <c r="FV35" s="314"/>
      <c r="FW35" s="313"/>
      <c r="FX35" s="314"/>
      <c r="FY35" s="314"/>
      <c r="FZ35" s="314"/>
      <c r="GA35" s="314"/>
      <c r="GB35" s="314"/>
      <c r="GC35" s="314"/>
      <c r="GD35" s="314"/>
      <c r="GE35" s="314"/>
      <c r="GF35" s="314"/>
      <c r="GG35" s="314"/>
      <c r="GH35" s="314"/>
      <c r="GI35" s="314"/>
      <c r="GJ35" s="314"/>
      <c r="GK35" s="314"/>
      <c r="GL35" s="314"/>
      <c r="GM35" s="314"/>
      <c r="GN35" s="314"/>
      <c r="GO35" s="314"/>
      <c r="GP35" s="314"/>
      <c r="GQ35" s="313"/>
      <c r="GR35" s="314"/>
      <c r="GS35" s="314"/>
      <c r="GT35" s="314"/>
      <c r="GU35" s="314"/>
      <c r="GV35" s="314"/>
      <c r="GW35" s="314"/>
      <c r="GX35" s="314"/>
      <c r="GY35" s="314"/>
      <c r="GZ35" s="314"/>
      <c r="HA35" s="314"/>
      <c r="HB35" s="314"/>
      <c r="HC35" s="314"/>
      <c r="HD35" s="314"/>
      <c r="HE35" s="314"/>
      <c r="HF35" s="314"/>
      <c r="HG35" s="314"/>
      <c r="HH35" s="314"/>
      <c r="HI35" s="314"/>
      <c r="HJ35" s="314"/>
      <c r="HK35" s="314"/>
      <c r="HL35" s="314"/>
      <c r="HM35" s="314"/>
      <c r="HN35" s="314"/>
      <c r="HO35" s="314"/>
      <c r="HP35" s="314"/>
      <c r="HQ35" s="314"/>
      <c r="HR35" s="314"/>
      <c r="HS35" s="314"/>
      <c r="HT35" s="314"/>
      <c r="HU35" s="314"/>
      <c r="HV35" s="314"/>
      <c r="HW35" s="314"/>
      <c r="HX35" s="314"/>
      <c r="HY35" s="314"/>
      <c r="HZ35" s="314"/>
      <c r="IA35" s="314"/>
      <c r="IB35" s="314"/>
      <c r="IC35" s="314"/>
      <c r="ID35" s="314"/>
      <c r="IE35" s="314"/>
      <c r="IF35" s="314"/>
      <c r="IG35" s="314"/>
      <c r="IH35" s="314"/>
      <c r="II35" s="314"/>
      <c r="IJ35" s="314"/>
      <c r="IK35" s="314"/>
      <c r="IL35" s="314"/>
      <c r="IM35" s="314"/>
      <c r="IN35" s="314"/>
      <c r="IO35" s="314"/>
      <c r="IP35" s="314"/>
      <c r="IQ35" s="314"/>
      <c r="IR35" s="314"/>
      <c r="IS35" s="314"/>
      <c r="IT35" s="314"/>
      <c r="IU35" s="314"/>
      <c r="IV35" s="314"/>
      <c r="IW35" s="314"/>
      <c r="IX35" s="314"/>
      <c r="IY35" s="314"/>
      <c r="IZ35" s="314"/>
      <c r="JA35" s="314"/>
      <c r="JB35" s="314"/>
      <c r="JC35" s="314"/>
      <c r="JD35" s="314"/>
      <c r="JE35" s="314"/>
      <c r="JF35" s="314"/>
      <c r="JG35" s="314"/>
      <c r="JH35" s="314"/>
      <c r="JI35" s="314"/>
      <c r="JJ35" s="314"/>
      <c r="JK35" s="314"/>
      <c r="JL35" s="314"/>
      <c r="JM35" s="314"/>
      <c r="JN35" s="314"/>
      <c r="JO35" s="314"/>
      <c r="JP35" s="314"/>
      <c r="JQ35" s="314"/>
      <c r="JR35" s="314"/>
      <c r="JS35" s="314"/>
      <c r="JT35" s="314"/>
      <c r="JU35" s="314"/>
      <c r="JV35" s="314"/>
      <c r="JW35" s="314"/>
      <c r="JX35" s="314"/>
      <c r="JY35" s="314"/>
      <c r="JZ35" s="314"/>
      <c r="KA35" s="314"/>
      <c r="KB35" s="314"/>
      <c r="KC35" s="314"/>
      <c r="KD35" s="314"/>
      <c r="KE35" s="314"/>
      <c r="KF35" s="314"/>
      <c r="KG35" s="314"/>
      <c r="KH35" s="314"/>
      <c r="KI35" s="314"/>
      <c r="KJ35" s="314"/>
      <c r="KK35" s="314"/>
      <c r="KL35" s="314"/>
      <c r="KM35" s="314"/>
      <c r="KN35" s="314"/>
      <c r="KO35" s="314"/>
      <c r="KP35" s="314"/>
      <c r="KQ35" s="314"/>
      <c r="KR35" s="314"/>
      <c r="KS35" s="314"/>
      <c r="KT35" s="314"/>
      <c r="KU35" s="314"/>
      <c r="KV35" s="314"/>
      <c r="KW35" s="314"/>
      <c r="KX35" s="314"/>
      <c r="KY35" s="314"/>
      <c r="KZ35" s="314"/>
      <c r="LA35" s="314"/>
      <c r="LB35" s="314"/>
      <c r="LC35" s="314"/>
      <c r="LD35" s="314"/>
      <c r="LE35" s="314"/>
      <c r="LF35" s="314"/>
      <c r="LG35" s="314"/>
      <c r="LH35" s="314"/>
      <c r="LI35" s="314"/>
      <c r="LJ35" s="314"/>
      <c r="LK35" s="314"/>
      <c r="LL35" s="314"/>
      <c r="LM35" s="314"/>
      <c r="LN35" s="314"/>
      <c r="LO35" s="314"/>
      <c r="LP35" s="313"/>
      <c r="LQ35" s="314"/>
      <c r="LR35" s="314"/>
      <c r="LS35" s="314"/>
      <c r="LT35" s="314"/>
      <c r="LU35" s="313"/>
      <c r="LV35" s="314"/>
      <c r="LW35" s="314"/>
      <c r="LX35" s="314"/>
      <c r="LY35" s="314"/>
      <c r="LZ35" s="314"/>
      <c r="MA35" s="314"/>
      <c r="MB35" s="314"/>
      <c r="MC35" s="314"/>
      <c r="MD35" s="314"/>
      <c r="ME35" s="314"/>
      <c r="MF35" s="314"/>
      <c r="MG35" s="314"/>
      <c r="MH35" s="314"/>
      <c r="MI35" s="314"/>
      <c r="MJ35" s="314"/>
      <c r="MK35" s="314"/>
      <c r="ML35" s="314"/>
      <c r="MM35" s="314"/>
      <c r="MN35" s="314"/>
      <c r="MO35" s="314"/>
      <c r="MP35" s="314"/>
      <c r="MQ35" s="314"/>
      <c r="MR35" s="314"/>
      <c r="MS35" s="314"/>
      <c r="MT35" s="314"/>
      <c r="MU35" s="314"/>
      <c r="MV35" s="314"/>
      <c r="MW35" s="314"/>
      <c r="MX35" s="314"/>
      <c r="MY35" s="314"/>
      <c r="MZ35" s="314"/>
      <c r="NA35" s="314"/>
      <c r="NB35" s="314"/>
      <c r="NC35" s="313"/>
      <c r="ND35" s="313"/>
      <c r="NE35" s="314"/>
      <c r="NF35" s="314"/>
      <c r="NG35" s="314"/>
      <c r="NH35" s="314"/>
      <c r="NI35" s="314"/>
      <c r="NJ35" s="313"/>
    </row>
    <row r="36" spans="3:381" ht="20.100000000000001" customHeight="1" x14ac:dyDescent="0.25">
      <c r="C36" s="307"/>
      <c r="D36" s="308"/>
      <c r="E36" s="308"/>
      <c r="F36" s="309">
        <f t="shared" si="0"/>
        <v>1</v>
      </c>
      <c r="G36" s="310"/>
      <c r="H36" s="311" t="s">
        <v>564</v>
      </c>
      <c r="I36" s="312"/>
      <c r="J36" s="313"/>
      <c r="K36" s="314"/>
      <c r="L36" s="314"/>
      <c r="M36" s="314"/>
      <c r="N36" s="314"/>
      <c r="O36" s="314"/>
      <c r="P36" s="314"/>
      <c r="Q36" s="314"/>
      <c r="R36" s="314"/>
      <c r="S36" s="314"/>
      <c r="T36" s="314"/>
      <c r="U36" s="314"/>
      <c r="V36" s="314"/>
      <c r="W36" s="314"/>
      <c r="X36" s="314"/>
      <c r="Y36" s="314"/>
      <c r="Z36" s="314"/>
      <c r="AA36" s="314"/>
      <c r="AB36" s="314"/>
      <c r="AC36" s="314"/>
      <c r="AD36" s="314"/>
      <c r="AE36" s="314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4"/>
      <c r="BK36" s="314"/>
      <c r="BL36" s="314"/>
      <c r="BM36" s="314"/>
      <c r="BN36" s="314"/>
      <c r="BO36" s="314"/>
      <c r="BP36" s="314"/>
      <c r="BQ36" s="314"/>
      <c r="BR36" s="314"/>
      <c r="BS36" s="314"/>
      <c r="BT36" s="313"/>
      <c r="BU36" s="314"/>
      <c r="BV36" s="314"/>
      <c r="BW36" s="314"/>
      <c r="BX36" s="314"/>
      <c r="BY36" s="314"/>
      <c r="BZ36" s="314"/>
      <c r="CA36" s="314"/>
      <c r="CB36" s="314"/>
      <c r="CC36" s="314"/>
      <c r="CD36" s="314"/>
      <c r="CE36" s="314"/>
      <c r="CF36" s="315"/>
      <c r="CG36" s="314"/>
      <c r="CH36" s="314"/>
      <c r="CI36" s="314"/>
      <c r="CJ36" s="314"/>
      <c r="CK36" s="314"/>
      <c r="CL36" s="314"/>
      <c r="CM36" s="314"/>
      <c r="CN36" s="314"/>
      <c r="CO36" s="314"/>
      <c r="CP36" s="314"/>
      <c r="CQ36" s="314"/>
      <c r="CR36" s="314"/>
      <c r="CS36" s="313"/>
      <c r="CT36" s="314"/>
      <c r="CU36" s="314"/>
      <c r="CV36" s="314"/>
      <c r="CW36" s="314"/>
      <c r="CX36" s="314"/>
      <c r="CY36" s="314"/>
      <c r="CZ36" s="314"/>
      <c r="DA36" s="314"/>
      <c r="DB36" s="314"/>
      <c r="DC36" s="314"/>
      <c r="DD36" s="314"/>
      <c r="DE36" s="314"/>
      <c r="DF36" s="314"/>
      <c r="DG36" s="314"/>
      <c r="DH36" s="314"/>
      <c r="DI36" s="314"/>
      <c r="DJ36" s="314"/>
      <c r="DK36" s="314"/>
      <c r="DL36" s="314"/>
      <c r="DM36" s="313"/>
      <c r="DN36" s="314"/>
      <c r="DO36" s="314"/>
      <c r="DP36" s="313"/>
      <c r="DQ36" s="314"/>
      <c r="DR36" s="314"/>
      <c r="DS36" s="314"/>
      <c r="DT36" s="314"/>
      <c r="DU36" s="314"/>
      <c r="DV36" s="314"/>
      <c r="DW36" s="314"/>
      <c r="DX36" s="314"/>
      <c r="DY36" s="314"/>
      <c r="DZ36" s="313"/>
      <c r="EA36" s="314"/>
      <c r="EB36" s="314"/>
      <c r="EC36" s="314"/>
      <c r="ED36" s="314"/>
      <c r="EE36" s="314"/>
      <c r="EF36" s="314"/>
      <c r="EG36" s="314"/>
      <c r="EH36" s="314"/>
      <c r="EI36" s="314"/>
      <c r="EJ36" s="314"/>
      <c r="EK36" s="314"/>
      <c r="EL36" s="314"/>
      <c r="EM36" s="314"/>
      <c r="EN36" s="314"/>
      <c r="EO36" s="314"/>
      <c r="EP36" s="314"/>
      <c r="EQ36" s="314"/>
      <c r="ER36" s="314"/>
      <c r="ES36" s="314"/>
      <c r="ET36" s="314"/>
      <c r="EU36" s="314"/>
      <c r="EV36" s="314"/>
      <c r="EW36" s="314"/>
      <c r="EX36" s="314"/>
      <c r="EY36" s="314"/>
      <c r="EZ36" s="314"/>
      <c r="FA36" s="314"/>
      <c r="FB36" s="314"/>
      <c r="FC36" s="314"/>
      <c r="FD36" s="314"/>
      <c r="FE36" s="314"/>
      <c r="FF36" s="314"/>
      <c r="FG36" s="314"/>
      <c r="FH36" s="314"/>
      <c r="FI36" s="314"/>
      <c r="FJ36" s="314"/>
      <c r="FK36" s="314"/>
      <c r="FL36" s="314"/>
      <c r="FM36" s="314"/>
      <c r="FN36" s="314"/>
      <c r="FO36" s="314"/>
      <c r="FP36" s="314"/>
      <c r="FQ36" s="314"/>
      <c r="FR36" s="314"/>
      <c r="FS36" s="314"/>
      <c r="FT36" s="314"/>
      <c r="FU36" s="314"/>
      <c r="FV36" s="314"/>
      <c r="FW36" s="313"/>
      <c r="FX36" s="314"/>
      <c r="FY36" s="314"/>
      <c r="FZ36" s="314"/>
      <c r="GA36" s="314"/>
      <c r="GB36" s="314"/>
      <c r="GC36" s="314"/>
      <c r="GD36" s="314"/>
      <c r="GE36" s="314"/>
      <c r="GF36" s="314"/>
      <c r="GG36" s="314"/>
      <c r="GH36" s="314"/>
      <c r="GI36" s="314"/>
      <c r="GJ36" s="314"/>
      <c r="GK36" s="314"/>
      <c r="GL36" s="314"/>
      <c r="GM36" s="314"/>
      <c r="GN36" s="314"/>
      <c r="GO36" s="314"/>
      <c r="GP36" s="314"/>
      <c r="GQ36" s="313"/>
      <c r="GR36" s="314"/>
      <c r="GS36" s="314"/>
      <c r="GT36" s="314"/>
      <c r="GU36" s="314"/>
      <c r="GV36" s="314"/>
      <c r="GW36" s="314"/>
      <c r="GX36" s="314"/>
      <c r="GY36" s="314"/>
      <c r="GZ36" s="314"/>
      <c r="HA36" s="314"/>
      <c r="HB36" s="314"/>
      <c r="HC36" s="314"/>
      <c r="HD36" s="314"/>
      <c r="HE36" s="314"/>
      <c r="HF36" s="314"/>
      <c r="HG36" s="314"/>
      <c r="HH36" s="314"/>
      <c r="HI36" s="314"/>
      <c r="HJ36" s="314"/>
      <c r="HK36" s="314"/>
      <c r="HL36" s="314"/>
      <c r="HM36" s="314"/>
      <c r="HN36" s="314"/>
      <c r="HO36" s="314"/>
      <c r="HP36" s="314"/>
      <c r="HQ36" s="314"/>
      <c r="HR36" s="314"/>
      <c r="HS36" s="314"/>
      <c r="HT36" s="314"/>
      <c r="HU36" s="314"/>
      <c r="HV36" s="314"/>
      <c r="HW36" s="314"/>
      <c r="HX36" s="314"/>
      <c r="HY36" s="314"/>
      <c r="HZ36" s="314"/>
      <c r="IA36" s="314"/>
      <c r="IB36" s="314"/>
      <c r="IC36" s="314"/>
      <c r="ID36" s="314"/>
      <c r="IE36" s="314"/>
      <c r="IF36" s="314"/>
      <c r="IG36" s="314"/>
      <c r="IH36" s="314"/>
      <c r="II36" s="314"/>
      <c r="IJ36" s="314"/>
      <c r="IK36" s="314"/>
      <c r="IL36" s="314"/>
      <c r="IM36" s="314"/>
      <c r="IN36" s="314"/>
      <c r="IO36" s="314"/>
      <c r="IP36" s="314"/>
      <c r="IQ36" s="314"/>
      <c r="IR36" s="314"/>
      <c r="IS36" s="314"/>
      <c r="IT36" s="314"/>
      <c r="IU36" s="314"/>
      <c r="IV36" s="314"/>
      <c r="IW36" s="314"/>
      <c r="IX36" s="314"/>
      <c r="IY36" s="314"/>
      <c r="IZ36" s="314"/>
      <c r="JA36" s="314"/>
      <c r="JB36" s="314"/>
      <c r="JC36" s="314"/>
      <c r="JD36" s="314"/>
      <c r="JE36" s="314"/>
      <c r="JF36" s="314"/>
      <c r="JG36" s="314"/>
      <c r="JH36" s="314"/>
      <c r="JI36" s="314"/>
      <c r="JJ36" s="314"/>
      <c r="JK36" s="314"/>
      <c r="JL36" s="314"/>
      <c r="JM36" s="314"/>
      <c r="JN36" s="314"/>
      <c r="JO36" s="314"/>
      <c r="JP36" s="314"/>
      <c r="JQ36" s="314"/>
      <c r="JR36" s="314"/>
      <c r="JS36" s="314"/>
      <c r="JT36" s="314"/>
      <c r="JU36" s="314"/>
      <c r="JV36" s="314"/>
      <c r="JW36" s="314"/>
      <c r="JX36" s="314"/>
      <c r="JY36" s="314"/>
      <c r="JZ36" s="314"/>
      <c r="KA36" s="314"/>
      <c r="KB36" s="314"/>
      <c r="KC36" s="314"/>
      <c r="KD36" s="314"/>
      <c r="KE36" s="314"/>
      <c r="KF36" s="314"/>
      <c r="KG36" s="314"/>
      <c r="KH36" s="314"/>
      <c r="KI36" s="314"/>
      <c r="KJ36" s="314"/>
      <c r="KK36" s="314"/>
      <c r="KL36" s="314"/>
      <c r="KM36" s="314"/>
      <c r="KN36" s="314"/>
      <c r="KO36" s="314"/>
      <c r="KP36" s="314"/>
      <c r="KQ36" s="314"/>
      <c r="KR36" s="314"/>
      <c r="KS36" s="314"/>
      <c r="KT36" s="314"/>
      <c r="KU36" s="314"/>
      <c r="KV36" s="314"/>
      <c r="KW36" s="314"/>
      <c r="KX36" s="314"/>
      <c r="KY36" s="314"/>
      <c r="KZ36" s="314"/>
      <c r="LA36" s="314"/>
      <c r="LB36" s="314"/>
      <c r="LC36" s="314"/>
      <c r="LD36" s="314"/>
      <c r="LE36" s="314"/>
      <c r="LF36" s="314"/>
      <c r="LG36" s="314"/>
      <c r="LH36" s="314"/>
      <c r="LI36" s="314"/>
      <c r="LJ36" s="314"/>
      <c r="LK36" s="314"/>
      <c r="LL36" s="314"/>
      <c r="LM36" s="314"/>
      <c r="LN36" s="314"/>
      <c r="LO36" s="314"/>
      <c r="LP36" s="313"/>
      <c r="LQ36" s="314"/>
      <c r="LR36" s="314"/>
      <c r="LS36" s="314"/>
      <c r="LT36" s="314"/>
      <c r="LU36" s="313"/>
      <c r="LV36" s="314"/>
      <c r="LW36" s="314"/>
      <c r="LX36" s="314"/>
      <c r="LY36" s="314"/>
      <c r="LZ36" s="314"/>
      <c r="MA36" s="314"/>
      <c r="MB36" s="314"/>
      <c r="MC36" s="314"/>
      <c r="MD36" s="314"/>
      <c r="ME36" s="314"/>
      <c r="MF36" s="314"/>
      <c r="MG36" s="314"/>
      <c r="MH36" s="314"/>
      <c r="MI36" s="314"/>
      <c r="MJ36" s="314"/>
      <c r="MK36" s="314"/>
      <c r="ML36" s="314"/>
      <c r="MM36" s="314"/>
      <c r="MN36" s="314"/>
      <c r="MO36" s="314"/>
      <c r="MP36" s="314"/>
      <c r="MQ36" s="314"/>
      <c r="MR36" s="314"/>
      <c r="MS36" s="314"/>
      <c r="MT36" s="314"/>
      <c r="MU36" s="314"/>
      <c r="MV36" s="314"/>
      <c r="MW36" s="314"/>
      <c r="MX36" s="314"/>
      <c r="MY36" s="314"/>
      <c r="MZ36" s="314"/>
      <c r="NA36" s="314"/>
      <c r="NB36" s="314"/>
      <c r="NC36" s="313"/>
      <c r="ND36" s="313"/>
      <c r="NE36" s="314"/>
      <c r="NF36" s="314"/>
      <c r="NG36" s="314"/>
      <c r="NH36" s="314"/>
      <c r="NI36" s="314"/>
      <c r="NJ36" s="313"/>
      <c r="NK36" s="292"/>
      <c r="NL36" s="292"/>
      <c r="NM36" s="292"/>
      <c r="NN36" s="292"/>
      <c r="NO36" s="292"/>
      <c r="NP36" s="292"/>
      <c r="NQ36" s="292"/>
    </row>
    <row r="37" spans="3:381" ht="20.100000000000001" customHeight="1" x14ac:dyDescent="0.25">
      <c r="C37" s="307"/>
      <c r="D37" s="308"/>
      <c r="E37" s="308"/>
      <c r="F37" s="309">
        <f t="shared" si="0"/>
        <v>1</v>
      </c>
      <c r="G37" s="310"/>
      <c r="H37" s="311" t="s">
        <v>564</v>
      </c>
      <c r="I37" s="312"/>
      <c r="J37" s="313"/>
      <c r="K37" s="314"/>
      <c r="L37" s="314"/>
      <c r="M37" s="314"/>
      <c r="N37" s="314"/>
      <c r="O37" s="314"/>
      <c r="P37" s="314"/>
      <c r="Q37" s="314"/>
      <c r="R37" s="314"/>
      <c r="S37" s="314"/>
      <c r="T37" s="314"/>
      <c r="U37" s="314"/>
      <c r="V37" s="314"/>
      <c r="W37" s="314"/>
      <c r="X37" s="314"/>
      <c r="Y37" s="314"/>
      <c r="Z37" s="314"/>
      <c r="AA37" s="314"/>
      <c r="AB37" s="314"/>
      <c r="AC37" s="314"/>
      <c r="AD37" s="314"/>
      <c r="AE37" s="314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  <c r="BJ37" s="314"/>
      <c r="BK37" s="314"/>
      <c r="BL37" s="314"/>
      <c r="BM37" s="314"/>
      <c r="BN37" s="314"/>
      <c r="BO37" s="314"/>
      <c r="BP37" s="314"/>
      <c r="BQ37" s="314"/>
      <c r="BR37" s="314"/>
      <c r="BS37" s="314"/>
      <c r="BT37" s="313"/>
      <c r="BU37" s="314"/>
      <c r="BV37" s="314"/>
      <c r="BW37" s="314"/>
      <c r="BX37" s="314"/>
      <c r="BY37" s="314"/>
      <c r="BZ37" s="314"/>
      <c r="CA37" s="314"/>
      <c r="CB37" s="314"/>
      <c r="CC37" s="314"/>
      <c r="CD37" s="314"/>
      <c r="CE37" s="314"/>
      <c r="CF37" s="315"/>
      <c r="CG37" s="314"/>
      <c r="CH37" s="314"/>
      <c r="CI37" s="314"/>
      <c r="CJ37" s="314"/>
      <c r="CK37" s="314"/>
      <c r="CL37" s="314"/>
      <c r="CM37" s="314"/>
      <c r="CN37" s="314"/>
      <c r="CO37" s="314"/>
      <c r="CP37" s="314"/>
      <c r="CQ37" s="314"/>
      <c r="CR37" s="314"/>
      <c r="CS37" s="313"/>
      <c r="CT37" s="314"/>
      <c r="CU37" s="314"/>
      <c r="CV37" s="314"/>
      <c r="CW37" s="314"/>
      <c r="CX37" s="314"/>
      <c r="CY37" s="314"/>
      <c r="CZ37" s="314"/>
      <c r="DA37" s="314"/>
      <c r="DB37" s="314"/>
      <c r="DC37" s="314"/>
      <c r="DD37" s="314"/>
      <c r="DE37" s="314"/>
      <c r="DF37" s="314"/>
      <c r="DG37" s="314"/>
      <c r="DH37" s="314"/>
      <c r="DI37" s="314"/>
      <c r="DJ37" s="314"/>
      <c r="DK37" s="314"/>
      <c r="DL37" s="314"/>
      <c r="DM37" s="313"/>
      <c r="DN37" s="314"/>
      <c r="DO37" s="314"/>
      <c r="DP37" s="313"/>
      <c r="DQ37" s="314"/>
      <c r="DR37" s="314"/>
      <c r="DS37" s="314"/>
      <c r="DT37" s="314"/>
      <c r="DU37" s="314"/>
      <c r="DV37" s="314"/>
      <c r="DW37" s="314"/>
      <c r="DX37" s="314"/>
      <c r="DY37" s="314"/>
      <c r="DZ37" s="313"/>
      <c r="EA37" s="314"/>
      <c r="EB37" s="314"/>
      <c r="EC37" s="314"/>
      <c r="ED37" s="314"/>
      <c r="EE37" s="314"/>
      <c r="EF37" s="314"/>
      <c r="EG37" s="314"/>
      <c r="EH37" s="314"/>
      <c r="EI37" s="314"/>
      <c r="EJ37" s="314"/>
      <c r="EK37" s="314"/>
      <c r="EL37" s="314"/>
      <c r="EM37" s="314"/>
      <c r="EN37" s="314"/>
      <c r="EO37" s="314"/>
      <c r="EP37" s="314"/>
      <c r="EQ37" s="314"/>
      <c r="ER37" s="314"/>
      <c r="ES37" s="314"/>
      <c r="ET37" s="314"/>
      <c r="EU37" s="314"/>
      <c r="EV37" s="314"/>
      <c r="EW37" s="314"/>
      <c r="EX37" s="314"/>
      <c r="EY37" s="314"/>
      <c r="EZ37" s="314"/>
      <c r="FA37" s="314"/>
      <c r="FB37" s="314"/>
      <c r="FC37" s="314"/>
      <c r="FD37" s="314"/>
      <c r="FE37" s="314"/>
      <c r="FF37" s="314"/>
      <c r="FG37" s="314"/>
      <c r="FH37" s="314"/>
      <c r="FI37" s="314"/>
      <c r="FJ37" s="314"/>
      <c r="FK37" s="314"/>
      <c r="FL37" s="314"/>
      <c r="FM37" s="314"/>
      <c r="FN37" s="314"/>
      <c r="FO37" s="314"/>
      <c r="FP37" s="314"/>
      <c r="FQ37" s="314"/>
      <c r="FR37" s="314"/>
      <c r="FS37" s="314"/>
      <c r="FT37" s="314"/>
      <c r="FU37" s="314"/>
      <c r="FV37" s="314"/>
      <c r="FW37" s="313"/>
      <c r="FX37" s="314"/>
      <c r="FY37" s="314"/>
      <c r="FZ37" s="314"/>
      <c r="GA37" s="314"/>
      <c r="GB37" s="314"/>
      <c r="GC37" s="314"/>
      <c r="GD37" s="314"/>
      <c r="GE37" s="314"/>
      <c r="GF37" s="314"/>
      <c r="GG37" s="314"/>
      <c r="GH37" s="314"/>
      <c r="GI37" s="314"/>
      <c r="GJ37" s="314"/>
      <c r="GK37" s="314"/>
      <c r="GL37" s="314"/>
      <c r="GM37" s="314"/>
      <c r="GN37" s="314"/>
      <c r="GO37" s="314"/>
      <c r="GP37" s="314"/>
      <c r="GQ37" s="313"/>
      <c r="GR37" s="314"/>
      <c r="GS37" s="314"/>
      <c r="GT37" s="314"/>
      <c r="GU37" s="314"/>
      <c r="GV37" s="314"/>
      <c r="GW37" s="314"/>
      <c r="GX37" s="314"/>
      <c r="GY37" s="314"/>
      <c r="GZ37" s="314"/>
      <c r="HA37" s="314"/>
      <c r="HB37" s="314"/>
      <c r="HC37" s="314"/>
      <c r="HD37" s="314"/>
      <c r="HE37" s="314"/>
      <c r="HF37" s="314"/>
      <c r="HG37" s="314"/>
      <c r="HH37" s="314"/>
      <c r="HI37" s="314"/>
      <c r="HJ37" s="314"/>
      <c r="HK37" s="314"/>
      <c r="HL37" s="314"/>
      <c r="HM37" s="314"/>
      <c r="HN37" s="314"/>
      <c r="HO37" s="314"/>
      <c r="HP37" s="314"/>
      <c r="HQ37" s="314"/>
      <c r="HR37" s="314"/>
      <c r="HS37" s="314"/>
      <c r="HT37" s="314"/>
      <c r="HU37" s="314"/>
      <c r="HV37" s="314"/>
      <c r="HW37" s="314"/>
      <c r="HX37" s="314"/>
      <c r="HY37" s="314"/>
      <c r="HZ37" s="314"/>
      <c r="IA37" s="314"/>
      <c r="IB37" s="314"/>
      <c r="IC37" s="314"/>
      <c r="ID37" s="314"/>
      <c r="IE37" s="314"/>
      <c r="IF37" s="314"/>
      <c r="IG37" s="314"/>
      <c r="IH37" s="314"/>
      <c r="II37" s="314"/>
      <c r="IJ37" s="314"/>
      <c r="IK37" s="314"/>
      <c r="IL37" s="314"/>
      <c r="IM37" s="314"/>
      <c r="IN37" s="314"/>
      <c r="IO37" s="314"/>
      <c r="IP37" s="314"/>
      <c r="IQ37" s="314"/>
      <c r="IR37" s="314"/>
      <c r="IS37" s="314"/>
      <c r="IT37" s="314"/>
      <c r="IU37" s="314"/>
      <c r="IV37" s="314"/>
      <c r="IW37" s="314"/>
      <c r="IX37" s="314"/>
      <c r="IY37" s="314"/>
      <c r="IZ37" s="314"/>
      <c r="JA37" s="314"/>
      <c r="JB37" s="314"/>
      <c r="JC37" s="314"/>
      <c r="JD37" s="314"/>
      <c r="JE37" s="314"/>
      <c r="JF37" s="314"/>
      <c r="JG37" s="314"/>
      <c r="JH37" s="314"/>
      <c r="JI37" s="314"/>
      <c r="JJ37" s="314"/>
      <c r="JK37" s="314"/>
      <c r="JL37" s="314"/>
      <c r="JM37" s="314"/>
      <c r="JN37" s="314"/>
      <c r="JO37" s="314"/>
      <c r="JP37" s="314"/>
      <c r="JQ37" s="314"/>
      <c r="JR37" s="314"/>
      <c r="JS37" s="314"/>
      <c r="JT37" s="314"/>
      <c r="JU37" s="314"/>
      <c r="JV37" s="314"/>
      <c r="JW37" s="314"/>
      <c r="JX37" s="314"/>
      <c r="JY37" s="314"/>
      <c r="JZ37" s="314"/>
      <c r="KA37" s="314"/>
      <c r="KB37" s="314"/>
      <c r="KC37" s="314"/>
      <c r="KD37" s="314"/>
      <c r="KE37" s="314"/>
      <c r="KF37" s="314"/>
      <c r="KG37" s="314"/>
      <c r="KH37" s="314"/>
      <c r="KI37" s="314"/>
      <c r="KJ37" s="314"/>
      <c r="KK37" s="314"/>
      <c r="KL37" s="314"/>
      <c r="KM37" s="314"/>
      <c r="KN37" s="314"/>
      <c r="KO37" s="314"/>
      <c r="KP37" s="314"/>
      <c r="KQ37" s="314"/>
      <c r="KR37" s="314"/>
      <c r="KS37" s="314"/>
      <c r="KT37" s="314"/>
      <c r="KU37" s="314"/>
      <c r="KV37" s="314"/>
      <c r="KW37" s="314"/>
      <c r="KX37" s="314"/>
      <c r="KY37" s="314"/>
      <c r="KZ37" s="314"/>
      <c r="LA37" s="314"/>
      <c r="LB37" s="314"/>
      <c r="LC37" s="314"/>
      <c r="LD37" s="314"/>
      <c r="LE37" s="314"/>
      <c r="LF37" s="314"/>
      <c r="LG37" s="314"/>
      <c r="LH37" s="314"/>
      <c r="LI37" s="314"/>
      <c r="LJ37" s="314"/>
      <c r="LK37" s="314"/>
      <c r="LL37" s="314"/>
      <c r="LM37" s="314"/>
      <c r="LN37" s="314"/>
      <c r="LO37" s="314"/>
      <c r="LP37" s="313"/>
      <c r="LQ37" s="314"/>
      <c r="LR37" s="314"/>
      <c r="LS37" s="314"/>
      <c r="LT37" s="314"/>
      <c r="LU37" s="313"/>
      <c r="LV37" s="314"/>
      <c r="LW37" s="314"/>
      <c r="LX37" s="314"/>
      <c r="LY37" s="314"/>
      <c r="LZ37" s="314"/>
      <c r="MA37" s="314"/>
      <c r="MB37" s="314"/>
      <c r="MC37" s="314"/>
      <c r="MD37" s="314"/>
      <c r="ME37" s="314"/>
      <c r="MF37" s="314"/>
      <c r="MG37" s="314"/>
      <c r="MH37" s="314"/>
      <c r="MI37" s="314"/>
      <c r="MJ37" s="314"/>
      <c r="MK37" s="314"/>
      <c r="ML37" s="314"/>
      <c r="MM37" s="314"/>
      <c r="MN37" s="314"/>
      <c r="MO37" s="314"/>
      <c r="MP37" s="314"/>
      <c r="MQ37" s="314"/>
      <c r="MR37" s="314"/>
      <c r="MS37" s="314"/>
      <c r="MT37" s="314"/>
      <c r="MU37" s="314"/>
      <c r="MV37" s="314"/>
      <c r="MW37" s="314"/>
      <c r="MX37" s="314"/>
      <c r="MY37" s="314"/>
      <c r="MZ37" s="314"/>
      <c r="NA37" s="314"/>
      <c r="NB37" s="314"/>
      <c r="NC37" s="313"/>
      <c r="ND37" s="313"/>
      <c r="NE37" s="314"/>
      <c r="NF37" s="314"/>
      <c r="NG37" s="314"/>
      <c r="NH37" s="314"/>
      <c r="NI37" s="314"/>
      <c r="NJ37" s="313"/>
    </row>
    <row r="38" spans="3:381" ht="20.100000000000001" customHeight="1" x14ac:dyDescent="0.25">
      <c r="C38" s="307"/>
      <c r="D38" s="308"/>
      <c r="E38" s="308"/>
      <c r="F38" s="309">
        <f t="shared" si="0"/>
        <v>1</v>
      </c>
      <c r="G38" s="310"/>
      <c r="H38" s="311" t="s">
        <v>564</v>
      </c>
      <c r="I38" s="312"/>
      <c r="J38" s="313"/>
      <c r="K38" s="314"/>
      <c r="L38" s="314"/>
      <c r="M38" s="314"/>
      <c r="N38" s="314"/>
      <c r="O38" s="314"/>
      <c r="P38" s="314"/>
      <c r="Q38" s="314"/>
      <c r="R38" s="314"/>
      <c r="S38" s="314"/>
      <c r="T38" s="314"/>
      <c r="U38" s="314"/>
      <c r="V38" s="314"/>
      <c r="W38" s="314"/>
      <c r="X38" s="314"/>
      <c r="Y38" s="314"/>
      <c r="Z38" s="314"/>
      <c r="AA38" s="314"/>
      <c r="AB38" s="314"/>
      <c r="AC38" s="314"/>
      <c r="AD38" s="314"/>
      <c r="AE38" s="314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4"/>
      <c r="BK38" s="314"/>
      <c r="BL38" s="314"/>
      <c r="BM38" s="314"/>
      <c r="BN38" s="314"/>
      <c r="BO38" s="314"/>
      <c r="BP38" s="314"/>
      <c r="BQ38" s="314"/>
      <c r="BR38" s="314"/>
      <c r="BS38" s="314"/>
      <c r="BT38" s="313"/>
      <c r="BU38" s="314"/>
      <c r="BV38" s="314"/>
      <c r="BW38" s="314"/>
      <c r="BX38" s="314"/>
      <c r="BY38" s="314"/>
      <c r="BZ38" s="314"/>
      <c r="CA38" s="314"/>
      <c r="CB38" s="314"/>
      <c r="CC38" s="314"/>
      <c r="CD38" s="314"/>
      <c r="CE38" s="314"/>
      <c r="CF38" s="315"/>
      <c r="CG38" s="314"/>
      <c r="CH38" s="314"/>
      <c r="CI38" s="314"/>
      <c r="CJ38" s="314"/>
      <c r="CK38" s="314"/>
      <c r="CL38" s="314"/>
      <c r="CM38" s="314"/>
      <c r="CN38" s="314"/>
      <c r="CO38" s="314"/>
      <c r="CP38" s="314"/>
      <c r="CQ38" s="314"/>
      <c r="CR38" s="314"/>
      <c r="CS38" s="313"/>
      <c r="CT38" s="314"/>
      <c r="CU38" s="314"/>
      <c r="CV38" s="314"/>
      <c r="CW38" s="314"/>
      <c r="CX38" s="314"/>
      <c r="CY38" s="314"/>
      <c r="CZ38" s="314"/>
      <c r="DA38" s="314"/>
      <c r="DB38" s="314"/>
      <c r="DC38" s="314"/>
      <c r="DD38" s="314"/>
      <c r="DE38" s="314"/>
      <c r="DF38" s="314"/>
      <c r="DG38" s="314"/>
      <c r="DH38" s="314"/>
      <c r="DI38" s="314"/>
      <c r="DJ38" s="314"/>
      <c r="DK38" s="314"/>
      <c r="DL38" s="314"/>
      <c r="DM38" s="313"/>
      <c r="DN38" s="314"/>
      <c r="DO38" s="314"/>
      <c r="DP38" s="313"/>
      <c r="DQ38" s="314"/>
      <c r="DR38" s="314"/>
      <c r="DS38" s="314"/>
      <c r="DT38" s="314"/>
      <c r="DU38" s="314"/>
      <c r="DV38" s="314"/>
      <c r="DW38" s="314"/>
      <c r="DX38" s="314"/>
      <c r="DY38" s="314"/>
      <c r="DZ38" s="313"/>
      <c r="EA38" s="314"/>
      <c r="EB38" s="314"/>
      <c r="EC38" s="314"/>
      <c r="ED38" s="314"/>
      <c r="EE38" s="314"/>
      <c r="EF38" s="314"/>
      <c r="EG38" s="314"/>
      <c r="EH38" s="314"/>
      <c r="EI38" s="314"/>
      <c r="EJ38" s="314"/>
      <c r="EK38" s="314"/>
      <c r="EL38" s="314"/>
      <c r="EM38" s="314"/>
      <c r="EN38" s="314"/>
      <c r="EO38" s="314"/>
      <c r="EP38" s="314"/>
      <c r="EQ38" s="314"/>
      <c r="ER38" s="314"/>
      <c r="ES38" s="314"/>
      <c r="ET38" s="314"/>
      <c r="EU38" s="314"/>
      <c r="EV38" s="314"/>
      <c r="EW38" s="314"/>
      <c r="EX38" s="314"/>
      <c r="EY38" s="314"/>
      <c r="EZ38" s="314"/>
      <c r="FA38" s="314"/>
      <c r="FB38" s="314"/>
      <c r="FC38" s="314"/>
      <c r="FD38" s="314"/>
      <c r="FE38" s="314"/>
      <c r="FF38" s="314"/>
      <c r="FG38" s="314"/>
      <c r="FH38" s="314"/>
      <c r="FI38" s="314"/>
      <c r="FJ38" s="314"/>
      <c r="FK38" s="314"/>
      <c r="FL38" s="314"/>
      <c r="FM38" s="314"/>
      <c r="FN38" s="314"/>
      <c r="FO38" s="314"/>
      <c r="FP38" s="314"/>
      <c r="FQ38" s="314"/>
      <c r="FR38" s="314"/>
      <c r="FS38" s="314"/>
      <c r="FT38" s="314"/>
      <c r="FU38" s="314"/>
      <c r="FV38" s="314"/>
      <c r="FW38" s="313"/>
      <c r="FX38" s="314"/>
      <c r="FY38" s="314"/>
      <c r="FZ38" s="314"/>
      <c r="GA38" s="314"/>
      <c r="GB38" s="314"/>
      <c r="GC38" s="314"/>
      <c r="GD38" s="314"/>
      <c r="GE38" s="314"/>
      <c r="GF38" s="314"/>
      <c r="GG38" s="314"/>
      <c r="GH38" s="314"/>
      <c r="GI38" s="314"/>
      <c r="GJ38" s="314"/>
      <c r="GK38" s="314"/>
      <c r="GL38" s="314"/>
      <c r="GM38" s="314"/>
      <c r="GN38" s="314"/>
      <c r="GO38" s="314"/>
      <c r="GP38" s="314"/>
      <c r="GQ38" s="313"/>
      <c r="GR38" s="314"/>
      <c r="GS38" s="314"/>
      <c r="GT38" s="314"/>
      <c r="GU38" s="314"/>
      <c r="GV38" s="314"/>
      <c r="GW38" s="314"/>
      <c r="GX38" s="314"/>
      <c r="GY38" s="314"/>
      <c r="GZ38" s="314"/>
      <c r="HA38" s="314"/>
      <c r="HB38" s="314"/>
      <c r="HC38" s="314"/>
      <c r="HD38" s="314"/>
      <c r="HE38" s="314"/>
      <c r="HF38" s="314"/>
      <c r="HG38" s="314"/>
      <c r="HH38" s="314"/>
      <c r="HI38" s="314"/>
      <c r="HJ38" s="314"/>
      <c r="HK38" s="314"/>
      <c r="HL38" s="314"/>
      <c r="HM38" s="314"/>
      <c r="HN38" s="314"/>
      <c r="HO38" s="314"/>
      <c r="HP38" s="314"/>
      <c r="HQ38" s="314"/>
      <c r="HR38" s="314"/>
      <c r="HS38" s="314"/>
      <c r="HT38" s="314"/>
      <c r="HU38" s="314"/>
      <c r="HV38" s="314"/>
      <c r="HW38" s="314"/>
      <c r="HX38" s="314"/>
      <c r="HY38" s="314"/>
      <c r="HZ38" s="314"/>
      <c r="IA38" s="314"/>
      <c r="IB38" s="314"/>
      <c r="IC38" s="314"/>
      <c r="ID38" s="314"/>
      <c r="IE38" s="314"/>
      <c r="IF38" s="314"/>
      <c r="IG38" s="314"/>
      <c r="IH38" s="314"/>
      <c r="II38" s="314"/>
      <c r="IJ38" s="314"/>
      <c r="IK38" s="314"/>
      <c r="IL38" s="314"/>
      <c r="IM38" s="314"/>
      <c r="IN38" s="314"/>
      <c r="IO38" s="314"/>
      <c r="IP38" s="314"/>
      <c r="IQ38" s="314"/>
      <c r="IR38" s="314"/>
      <c r="IS38" s="314"/>
      <c r="IT38" s="314"/>
      <c r="IU38" s="314"/>
      <c r="IV38" s="314"/>
      <c r="IW38" s="314"/>
      <c r="IX38" s="314"/>
      <c r="IY38" s="314"/>
      <c r="IZ38" s="314"/>
      <c r="JA38" s="314"/>
      <c r="JB38" s="314"/>
      <c r="JC38" s="314"/>
      <c r="JD38" s="314"/>
      <c r="JE38" s="314"/>
      <c r="JF38" s="314"/>
      <c r="JG38" s="314"/>
      <c r="JH38" s="314"/>
      <c r="JI38" s="314"/>
      <c r="JJ38" s="314"/>
      <c r="JK38" s="314"/>
      <c r="JL38" s="314"/>
      <c r="JM38" s="314"/>
      <c r="JN38" s="314"/>
      <c r="JO38" s="314"/>
      <c r="JP38" s="314"/>
      <c r="JQ38" s="314"/>
      <c r="JR38" s="314"/>
      <c r="JS38" s="314"/>
      <c r="JT38" s="314"/>
      <c r="JU38" s="314"/>
      <c r="JV38" s="314"/>
      <c r="JW38" s="314"/>
      <c r="JX38" s="314"/>
      <c r="JY38" s="314"/>
      <c r="JZ38" s="314"/>
      <c r="KA38" s="314"/>
      <c r="KB38" s="314"/>
      <c r="KC38" s="314"/>
      <c r="KD38" s="314"/>
      <c r="KE38" s="314"/>
      <c r="KF38" s="314"/>
      <c r="KG38" s="314"/>
      <c r="KH38" s="314"/>
      <c r="KI38" s="314"/>
      <c r="KJ38" s="314"/>
      <c r="KK38" s="314"/>
      <c r="KL38" s="314"/>
      <c r="KM38" s="314"/>
      <c r="KN38" s="314"/>
      <c r="KO38" s="314"/>
      <c r="KP38" s="314"/>
      <c r="KQ38" s="314"/>
      <c r="KR38" s="314"/>
      <c r="KS38" s="314"/>
      <c r="KT38" s="314"/>
      <c r="KU38" s="314"/>
      <c r="KV38" s="314"/>
      <c r="KW38" s="314"/>
      <c r="KX38" s="314"/>
      <c r="KY38" s="314"/>
      <c r="KZ38" s="314"/>
      <c r="LA38" s="314"/>
      <c r="LB38" s="314"/>
      <c r="LC38" s="314"/>
      <c r="LD38" s="314"/>
      <c r="LE38" s="314"/>
      <c r="LF38" s="314"/>
      <c r="LG38" s="314"/>
      <c r="LH38" s="314"/>
      <c r="LI38" s="314"/>
      <c r="LJ38" s="314"/>
      <c r="LK38" s="314"/>
      <c r="LL38" s="314"/>
      <c r="LM38" s="314"/>
      <c r="LN38" s="314"/>
      <c r="LO38" s="314"/>
      <c r="LP38" s="313"/>
      <c r="LQ38" s="314"/>
      <c r="LR38" s="314"/>
      <c r="LS38" s="314"/>
      <c r="LT38" s="314"/>
      <c r="LU38" s="313"/>
      <c r="LV38" s="314"/>
      <c r="LW38" s="314"/>
      <c r="LX38" s="314"/>
      <c r="LY38" s="314"/>
      <c r="LZ38" s="314"/>
      <c r="MA38" s="314"/>
      <c r="MB38" s="314"/>
      <c r="MC38" s="314"/>
      <c r="MD38" s="314"/>
      <c r="ME38" s="314"/>
      <c r="MF38" s="314"/>
      <c r="MG38" s="314"/>
      <c r="MH38" s="314"/>
      <c r="MI38" s="314"/>
      <c r="MJ38" s="314"/>
      <c r="MK38" s="314"/>
      <c r="ML38" s="314"/>
      <c r="MM38" s="314"/>
      <c r="MN38" s="314"/>
      <c r="MO38" s="314"/>
      <c r="MP38" s="314"/>
      <c r="MQ38" s="314"/>
      <c r="MR38" s="314"/>
      <c r="MS38" s="314"/>
      <c r="MT38" s="314"/>
      <c r="MU38" s="314"/>
      <c r="MV38" s="314"/>
      <c r="MW38" s="314"/>
      <c r="MX38" s="314"/>
      <c r="MY38" s="314"/>
      <c r="MZ38" s="314"/>
      <c r="NA38" s="314"/>
      <c r="NB38" s="314"/>
      <c r="NC38" s="313"/>
      <c r="ND38" s="313"/>
      <c r="NE38" s="314"/>
      <c r="NF38" s="314"/>
      <c r="NG38" s="314"/>
      <c r="NH38" s="314"/>
      <c r="NI38" s="314"/>
      <c r="NJ38" s="313"/>
      <c r="NK38" s="292"/>
      <c r="NL38" s="292"/>
      <c r="NM38" s="292"/>
      <c r="NN38" s="292"/>
      <c r="NO38" s="292"/>
      <c r="NP38" s="292"/>
      <c r="NQ38" s="292"/>
    </row>
    <row r="39" spans="3:381" ht="20.100000000000001" customHeight="1" x14ac:dyDescent="0.25">
      <c r="C39" s="307"/>
      <c r="D39" s="308"/>
      <c r="E39" s="308"/>
      <c r="F39" s="309">
        <f t="shared" si="0"/>
        <v>1</v>
      </c>
      <c r="G39" s="310"/>
      <c r="H39" s="311" t="s">
        <v>564</v>
      </c>
      <c r="I39" s="312"/>
      <c r="J39" s="313"/>
      <c r="K39" s="314"/>
      <c r="L39" s="314"/>
      <c r="M39" s="314"/>
      <c r="N39" s="314"/>
      <c r="O39" s="314"/>
      <c r="P39" s="314"/>
      <c r="Q39" s="314"/>
      <c r="R39" s="314"/>
      <c r="S39" s="314"/>
      <c r="T39" s="314"/>
      <c r="U39" s="314"/>
      <c r="V39" s="314"/>
      <c r="W39" s="314"/>
      <c r="X39" s="314"/>
      <c r="Y39" s="314"/>
      <c r="Z39" s="314"/>
      <c r="AA39" s="314"/>
      <c r="AB39" s="314"/>
      <c r="AC39" s="314"/>
      <c r="AD39" s="314"/>
      <c r="AE39" s="314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3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  <c r="CF39" s="315"/>
      <c r="CG39" s="314"/>
      <c r="CH39" s="314"/>
      <c r="CI39" s="314"/>
      <c r="CJ39" s="314"/>
      <c r="CK39" s="314"/>
      <c r="CL39" s="314"/>
      <c r="CM39" s="314"/>
      <c r="CN39" s="314"/>
      <c r="CO39" s="314"/>
      <c r="CP39" s="314"/>
      <c r="CQ39" s="314"/>
      <c r="CR39" s="314"/>
      <c r="CS39" s="313"/>
      <c r="CT39" s="314"/>
      <c r="CU39" s="314"/>
      <c r="CV39" s="314"/>
      <c r="CW39" s="314"/>
      <c r="CX39" s="314"/>
      <c r="CY39" s="314"/>
      <c r="CZ39" s="314"/>
      <c r="DA39" s="314"/>
      <c r="DB39" s="314"/>
      <c r="DC39" s="314"/>
      <c r="DD39" s="314"/>
      <c r="DE39" s="314"/>
      <c r="DF39" s="314"/>
      <c r="DG39" s="314"/>
      <c r="DH39" s="314"/>
      <c r="DI39" s="314"/>
      <c r="DJ39" s="314"/>
      <c r="DK39" s="314"/>
      <c r="DL39" s="314"/>
      <c r="DM39" s="313"/>
      <c r="DN39" s="314"/>
      <c r="DO39" s="314"/>
      <c r="DP39" s="313"/>
      <c r="DQ39" s="314"/>
      <c r="DR39" s="314"/>
      <c r="DS39" s="314"/>
      <c r="DT39" s="314"/>
      <c r="DU39" s="314"/>
      <c r="DV39" s="314"/>
      <c r="DW39" s="314"/>
      <c r="DX39" s="314"/>
      <c r="DY39" s="314"/>
      <c r="DZ39" s="313"/>
      <c r="EA39" s="314"/>
      <c r="EB39" s="314"/>
      <c r="EC39" s="314"/>
      <c r="ED39" s="314"/>
      <c r="EE39" s="314"/>
      <c r="EF39" s="314"/>
      <c r="EG39" s="314"/>
      <c r="EH39" s="314"/>
      <c r="EI39" s="314"/>
      <c r="EJ39" s="314"/>
      <c r="EK39" s="314"/>
      <c r="EL39" s="314"/>
      <c r="EM39" s="314"/>
      <c r="EN39" s="314"/>
      <c r="EO39" s="314"/>
      <c r="EP39" s="314"/>
      <c r="EQ39" s="314"/>
      <c r="ER39" s="314"/>
      <c r="ES39" s="314"/>
      <c r="ET39" s="314"/>
      <c r="EU39" s="314"/>
      <c r="EV39" s="314"/>
      <c r="EW39" s="314"/>
      <c r="EX39" s="314"/>
      <c r="EY39" s="314"/>
      <c r="EZ39" s="314"/>
      <c r="FA39" s="314"/>
      <c r="FB39" s="314"/>
      <c r="FC39" s="314"/>
      <c r="FD39" s="314"/>
      <c r="FE39" s="314"/>
      <c r="FF39" s="314"/>
      <c r="FG39" s="314"/>
      <c r="FH39" s="314"/>
      <c r="FI39" s="314"/>
      <c r="FJ39" s="314"/>
      <c r="FK39" s="314"/>
      <c r="FL39" s="314"/>
      <c r="FM39" s="314"/>
      <c r="FN39" s="314"/>
      <c r="FO39" s="314"/>
      <c r="FP39" s="314"/>
      <c r="FQ39" s="314"/>
      <c r="FR39" s="314"/>
      <c r="FS39" s="314"/>
      <c r="FT39" s="314"/>
      <c r="FU39" s="314"/>
      <c r="FV39" s="314"/>
      <c r="FW39" s="313"/>
      <c r="FX39" s="314"/>
      <c r="FY39" s="314"/>
      <c r="FZ39" s="314"/>
      <c r="GA39" s="314"/>
      <c r="GB39" s="314"/>
      <c r="GC39" s="314"/>
      <c r="GD39" s="314"/>
      <c r="GE39" s="314"/>
      <c r="GF39" s="314"/>
      <c r="GG39" s="314"/>
      <c r="GH39" s="314"/>
      <c r="GI39" s="314"/>
      <c r="GJ39" s="314"/>
      <c r="GK39" s="314"/>
      <c r="GL39" s="314"/>
      <c r="GM39" s="314"/>
      <c r="GN39" s="314"/>
      <c r="GO39" s="314"/>
      <c r="GP39" s="314"/>
      <c r="GQ39" s="313"/>
      <c r="GR39" s="314"/>
      <c r="GS39" s="314"/>
      <c r="GT39" s="314"/>
      <c r="GU39" s="314"/>
      <c r="GV39" s="314"/>
      <c r="GW39" s="314"/>
      <c r="GX39" s="314"/>
      <c r="GY39" s="314"/>
      <c r="GZ39" s="314"/>
      <c r="HA39" s="314"/>
      <c r="HB39" s="314"/>
      <c r="HC39" s="314"/>
      <c r="HD39" s="314"/>
      <c r="HE39" s="314"/>
      <c r="HF39" s="314"/>
      <c r="HG39" s="314"/>
      <c r="HH39" s="314"/>
      <c r="HI39" s="314"/>
      <c r="HJ39" s="314"/>
      <c r="HK39" s="314"/>
      <c r="HL39" s="314"/>
      <c r="HM39" s="314"/>
      <c r="HN39" s="314"/>
      <c r="HO39" s="314"/>
      <c r="HP39" s="314"/>
      <c r="HQ39" s="314"/>
      <c r="HR39" s="314"/>
      <c r="HS39" s="314"/>
      <c r="HT39" s="314"/>
      <c r="HU39" s="314"/>
      <c r="HV39" s="314"/>
      <c r="HW39" s="314"/>
      <c r="HX39" s="314"/>
      <c r="HY39" s="314"/>
      <c r="HZ39" s="314"/>
      <c r="IA39" s="314"/>
      <c r="IB39" s="314"/>
      <c r="IC39" s="314"/>
      <c r="ID39" s="314"/>
      <c r="IE39" s="314"/>
      <c r="IF39" s="314"/>
      <c r="IG39" s="314"/>
      <c r="IH39" s="314"/>
      <c r="II39" s="314"/>
      <c r="IJ39" s="314"/>
      <c r="IK39" s="314"/>
      <c r="IL39" s="314"/>
      <c r="IM39" s="314"/>
      <c r="IN39" s="314"/>
      <c r="IO39" s="314"/>
      <c r="IP39" s="314"/>
      <c r="IQ39" s="314"/>
      <c r="IR39" s="314"/>
      <c r="IS39" s="314"/>
      <c r="IT39" s="314"/>
      <c r="IU39" s="314"/>
      <c r="IV39" s="314"/>
      <c r="IW39" s="314"/>
      <c r="IX39" s="314"/>
      <c r="IY39" s="314"/>
      <c r="IZ39" s="314"/>
      <c r="JA39" s="314"/>
      <c r="JB39" s="314"/>
      <c r="JC39" s="314"/>
      <c r="JD39" s="314"/>
      <c r="JE39" s="314"/>
      <c r="JF39" s="314"/>
      <c r="JG39" s="314"/>
      <c r="JH39" s="314"/>
      <c r="JI39" s="314"/>
      <c r="JJ39" s="314"/>
      <c r="JK39" s="314"/>
      <c r="JL39" s="314"/>
      <c r="JM39" s="314"/>
      <c r="JN39" s="314"/>
      <c r="JO39" s="314"/>
      <c r="JP39" s="314"/>
      <c r="JQ39" s="314"/>
      <c r="JR39" s="314"/>
      <c r="JS39" s="314"/>
      <c r="JT39" s="314"/>
      <c r="JU39" s="314"/>
      <c r="JV39" s="314"/>
      <c r="JW39" s="314"/>
      <c r="JX39" s="314"/>
      <c r="JY39" s="314"/>
      <c r="JZ39" s="314"/>
      <c r="KA39" s="314"/>
      <c r="KB39" s="314"/>
      <c r="KC39" s="314"/>
      <c r="KD39" s="314"/>
      <c r="KE39" s="314"/>
      <c r="KF39" s="314"/>
      <c r="KG39" s="314"/>
      <c r="KH39" s="314"/>
      <c r="KI39" s="314"/>
      <c r="KJ39" s="314"/>
      <c r="KK39" s="314"/>
      <c r="KL39" s="314"/>
      <c r="KM39" s="314"/>
      <c r="KN39" s="314"/>
      <c r="KO39" s="314"/>
      <c r="KP39" s="314"/>
      <c r="KQ39" s="314"/>
      <c r="KR39" s="314"/>
      <c r="KS39" s="314"/>
      <c r="KT39" s="314"/>
      <c r="KU39" s="314"/>
      <c r="KV39" s="314"/>
      <c r="KW39" s="314"/>
      <c r="KX39" s="314"/>
      <c r="KY39" s="314"/>
      <c r="KZ39" s="314"/>
      <c r="LA39" s="314"/>
      <c r="LB39" s="314"/>
      <c r="LC39" s="314"/>
      <c r="LD39" s="314"/>
      <c r="LE39" s="314"/>
      <c r="LF39" s="314"/>
      <c r="LG39" s="314"/>
      <c r="LH39" s="314"/>
      <c r="LI39" s="314"/>
      <c r="LJ39" s="314"/>
      <c r="LK39" s="314"/>
      <c r="LL39" s="314"/>
      <c r="LM39" s="314"/>
      <c r="LN39" s="314"/>
      <c r="LO39" s="314"/>
      <c r="LP39" s="313"/>
      <c r="LQ39" s="314"/>
      <c r="LR39" s="314"/>
      <c r="LS39" s="314"/>
      <c r="LT39" s="314"/>
      <c r="LU39" s="313"/>
      <c r="LV39" s="314"/>
      <c r="LW39" s="314"/>
      <c r="LX39" s="314"/>
      <c r="LY39" s="314"/>
      <c r="LZ39" s="314"/>
      <c r="MA39" s="314"/>
      <c r="MB39" s="314"/>
      <c r="MC39" s="314"/>
      <c r="MD39" s="314"/>
      <c r="ME39" s="314"/>
      <c r="MF39" s="314"/>
      <c r="MG39" s="314"/>
      <c r="MH39" s="314"/>
      <c r="MI39" s="314"/>
      <c r="MJ39" s="314"/>
      <c r="MK39" s="314"/>
      <c r="ML39" s="314"/>
      <c r="MM39" s="314"/>
      <c r="MN39" s="314"/>
      <c r="MO39" s="314"/>
      <c r="MP39" s="314"/>
      <c r="MQ39" s="314"/>
      <c r="MR39" s="314"/>
      <c r="MS39" s="314"/>
      <c r="MT39" s="314"/>
      <c r="MU39" s="314"/>
      <c r="MV39" s="314"/>
      <c r="MW39" s="314"/>
      <c r="MX39" s="314"/>
      <c r="MY39" s="314"/>
      <c r="MZ39" s="314"/>
      <c r="NA39" s="314"/>
      <c r="NB39" s="314"/>
      <c r="NC39" s="313"/>
      <c r="ND39" s="313"/>
      <c r="NE39" s="314"/>
      <c r="NF39" s="314"/>
      <c r="NG39" s="314"/>
      <c r="NH39" s="314"/>
      <c r="NI39" s="314"/>
      <c r="NJ39" s="313"/>
    </row>
    <row r="40" spans="3:381" ht="20.100000000000001" customHeight="1" x14ac:dyDescent="0.25">
      <c r="C40" s="307"/>
      <c r="D40" s="308"/>
      <c r="E40" s="308"/>
      <c r="F40" s="309">
        <f t="shared" si="0"/>
        <v>1</v>
      </c>
      <c r="G40" s="310"/>
      <c r="H40" s="311" t="s">
        <v>564</v>
      </c>
      <c r="I40" s="312"/>
      <c r="J40" s="313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314"/>
      <c r="AB40" s="314"/>
      <c r="AC40" s="314"/>
      <c r="AD40" s="314"/>
      <c r="AE40" s="314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4"/>
      <c r="BK40" s="314"/>
      <c r="BL40" s="314"/>
      <c r="BM40" s="314"/>
      <c r="BN40" s="314"/>
      <c r="BO40" s="314"/>
      <c r="BP40" s="314"/>
      <c r="BQ40" s="314"/>
      <c r="BR40" s="314"/>
      <c r="BS40" s="314"/>
      <c r="BT40" s="313"/>
      <c r="BU40" s="314"/>
      <c r="BV40" s="314"/>
      <c r="BW40" s="314"/>
      <c r="BX40" s="314"/>
      <c r="BY40" s="314"/>
      <c r="BZ40" s="314"/>
      <c r="CA40" s="314"/>
      <c r="CB40" s="314"/>
      <c r="CC40" s="314"/>
      <c r="CD40" s="314"/>
      <c r="CE40" s="314"/>
      <c r="CF40" s="315"/>
      <c r="CG40" s="314"/>
      <c r="CH40" s="314"/>
      <c r="CI40" s="314"/>
      <c r="CJ40" s="314"/>
      <c r="CK40" s="314"/>
      <c r="CL40" s="314"/>
      <c r="CM40" s="314"/>
      <c r="CN40" s="314"/>
      <c r="CO40" s="314"/>
      <c r="CP40" s="314"/>
      <c r="CQ40" s="314"/>
      <c r="CR40" s="314"/>
      <c r="CS40" s="313"/>
      <c r="CT40" s="314"/>
      <c r="CU40" s="314"/>
      <c r="CV40" s="314"/>
      <c r="CW40" s="314"/>
      <c r="CX40" s="314"/>
      <c r="CY40" s="314"/>
      <c r="CZ40" s="314"/>
      <c r="DA40" s="314"/>
      <c r="DB40" s="314"/>
      <c r="DC40" s="314"/>
      <c r="DD40" s="314"/>
      <c r="DE40" s="314"/>
      <c r="DF40" s="314"/>
      <c r="DG40" s="314"/>
      <c r="DH40" s="314"/>
      <c r="DI40" s="314"/>
      <c r="DJ40" s="314"/>
      <c r="DK40" s="314"/>
      <c r="DL40" s="314"/>
      <c r="DM40" s="313"/>
      <c r="DN40" s="314"/>
      <c r="DO40" s="314"/>
      <c r="DP40" s="313"/>
      <c r="DQ40" s="314"/>
      <c r="DR40" s="314"/>
      <c r="DS40" s="314"/>
      <c r="DT40" s="314"/>
      <c r="DU40" s="314"/>
      <c r="DV40" s="314"/>
      <c r="DW40" s="314"/>
      <c r="DX40" s="314"/>
      <c r="DY40" s="314"/>
      <c r="DZ40" s="313"/>
      <c r="EA40" s="314"/>
      <c r="EB40" s="314"/>
      <c r="EC40" s="314"/>
      <c r="ED40" s="314"/>
      <c r="EE40" s="314"/>
      <c r="EF40" s="314"/>
      <c r="EG40" s="314"/>
      <c r="EH40" s="314"/>
      <c r="EI40" s="314"/>
      <c r="EJ40" s="314"/>
      <c r="EK40" s="314"/>
      <c r="EL40" s="314"/>
      <c r="EM40" s="314"/>
      <c r="EN40" s="314"/>
      <c r="EO40" s="314"/>
      <c r="EP40" s="314"/>
      <c r="EQ40" s="314"/>
      <c r="ER40" s="314"/>
      <c r="ES40" s="314"/>
      <c r="ET40" s="314"/>
      <c r="EU40" s="314"/>
      <c r="EV40" s="314"/>
      <c r="EW40" s="314"/>
      <c r="EX40" s="314"/>
      <c r="EY40" s="314"/>
      <c r="EZ40" s="314"/>
      <c r="FA40" s="314"/>
      <c r="FB40" s="314"/>
      <c r="FC40" s="314"/>
      <c r="FD40" s="314"/>
      <c r="FE40" s="314"/>
      <c r="FF40" s="314"/>
      <c r="FG40" s="314"/>
      <c r="FH40" s="314"/>
      <c r="FI40" s="314"/>
      <c r="FJ40" s="314"/>
      <c r="FK40" s="314"/>
      <c r="FL40" s="314"/>
      <c r="FM40" s="314"/>
      <c r="FN40" s="314"/>
      <c r="FO40" s="314"/>
      <c r="FP40" s="314"/>
      <c r="FQ40" s="314"/>
      <c r="FR40" s="314"/>
      <c r="FS40" s="314"/>
      <c r="FT40" s="314"/>
      <c r="FU40" s="314"/>
      <c r="FV40" s="314"/>
      <c r="FW40" s="313"/>
      <c r="FX40" s="314"/>
      <c r="FY40" s="314"/>
      <c r="FZ40" s="314"/>
      <c r="GA40" s="314"/>
      <c r="GB40" s="314"/>
      <c r="GC40" s="314"/>
      <c r="GD40" s="314"/>
      <c r="GE40" s="314"/>
      <c r="GF40" s="314"/>
      <c r="GG40" s="314"/>
      <c r="GH40" s="314"/>
      <c r="GI40" s="314"/>
      <c r="GJ40" s="314"/>
      <c r="GK40" s="314"/>
      <c r="GL40" s="314"/>
      <c r="GM40" s="314"/>
      <c r="GN40" s="314"/>
      <c r="GO40" s="314"/>
      <c r="GP40" s="314"/>
      <c r="GQ40" s="313"/>
      <c r="GR40" s="314"/>
      <c r="GS40" s="314"/>
      <c r="GT40" s="314"/>
      <c r="GU40" s="314"/>
      <c r="GV40" s="314"/>
      <c r="GW40" s="314"/>
      <c r="GX40" s="314"/>
      <c r="GY40" s="314"/>
      <c r="GZ40" s="314"/>
      <c r="HA40" s="314"/>
      <c r="HB40" s="314"/>
      <c r="HC40" s="314"/>
      <c r="HD40" s="314"/>
      <c r="HE40" s="314"/>
      <c r="HF40" s="314"/>
      <c r="HG40" s="314"/>
      <c r="HH40" s="314"/>
      <c r="HI40" s="314"/>
      <c r="HJ40" s="314"/>
      <c r="HK40" s="314"/>
      <c r="HL40" s="314"/>
      <c r="HM40" s="314"/>
      <c r="HN40" s="314"/>
      <c r="HO40" s="314"/>
      <c r="HP40" s="314"/>
      <c r="HQ40" s="314"/>
      <c r="HR40" s="314"/>
      <c r="HS40" s="314"/>
      <c r="HT40" s="314"/>
      <c r="HU40" s="314"/>
      <c r="HV40" s="314"/>
      <c r="HW40" s="314"/>
      <c r="HX40" s="314"/>
      <c r="HY40" s="314"/>
      <c r="HZ40" s="314"/>
      <c r="IA40" s="314"/>
      <c r="IB40" s="314"/>
      <c r="IC40" s="314"/>
      <c r="ID40" s="314"/>
      <c r="IE40" s="314"/>
      <c r="IF40" s="314"/>
      <c r="IG40" s="314"/>
      <c r="IH40" s="314"/>
      <c r="II40" s="314"/>
      <c r="IJ40" s="314"/>
      <c r="IK40" s="314"/>
      <c r="IL40" s="314"/>
      <c r="IM40" s="314"/>
      <c r="IN40" s="314"/>
      <c r="IO40" s="314"/>
      <c r="IP40" s="314"/>
      <c r="IQ40" s="314"/>
      <c r="IR40" s="314"/>
      <c r="IS40" s="314"/>
      <c r="IT40" s="314"/>
      <c r="IU40" s="314"/>
      <c r="IV40" s="314"/>
      <c r="IW40" s="314"/>
      <c r="IX40" s="314"/>
      <c r="IY40" s="314"/>
      <c r="IZ40" s="314"/>
      <c r="JA40" s="314"/>
      <c r="JB40" s="314"/>
      <c r="JC40" s="314"/>
      <c r="JD40" s="314"/>
      <c r="JE40" s="314"/>
      <c r="JF40" s="314"/>
      <c r="JG40" s="314"/>
      <c r="JH40" s="314"/>
      <c r="JI40" s="314"/>
      <c r="JJ40" s="314"/>
      <c r="JK40" s="314"/>
      <c r="JL40" s="314"/>
      <c r="JM40" s="314"/>
      <c r="JN40" s="314"/>
      <c r="JO40" s="314"/>
      <c r="JP40" s="314"/>
      <c r="JQ40" s="314"/>
      <c r="JR40" s="314"/>
      <c r="JS40" s="314"/>
      <c r="JT40" s="314"/>
      <c r="JU40" s="314"/>
      <c r="JV40" s="314"/>
      <c r="JW40" s="314"/>
      <c r="JX40" s="314"/>
      <c r="JY40" s="314"/>
      <c r="JZ40" s="314"/>
      <c r="KA40" s="314"/>
      <c r="KB40" s="314"/>
      <c r="KC40" s="314"/>
      <c r="KD40" s="314"/>
      <c r="KE40" s="314"/>
      <c r="KF40" s="314"/>
      <c r="KG40" s="314"/>
      <c r="KH40" s="314"/>
      <c r="KI40" s="314"/>
      <c r="KJ40" s="314"/>
      <c r="KK40" s="314"/>
      <c r="KL40" s="314"/>
      <c r="KM40" s="314"/>
      <c r="KN40" s="314"/>
      <c r="KO40" s="314"/>
      <c r="KP40" s="314"/>
      <c r="KQ40" s="314"/>
      <c r="KR40" s="314"/>
      <c r="KS40" s="314"/>
      <c r="KT40" s="314"/>
      <c r="KU40" s="314"/>
      <c r="KV40" s="314"/>
      <c r="KW40" s="314"/>
      <c r="KX40" s="314"/>
      <c r="KY40" s="314"/>
      <c r="KZ40" s="314"/>
      <c r="LA40" s="314"/>
      <c r="LB40" s="314"/>
      <c r="LC40" s="314"/>
      <c r="LD40" s="314"/>
      <c r="LE40" s="314"/>
      <c r="LF40" s="314"/>
      <c r="LG40" s="314"/>
      <c r="LH40" s="314"/>
      <c r="LI40" s="314"/>
      <c r="LJ40" s="314"/>
      <c r="LK40" s="314"/>
      <c r="LL40" s="314"/>
      <c r="LM40" s="314"/>
      <c r="LN40" s="314"/>
      <c r="LO40" s="314"/>
      <c r="LP40" s="313"/>
      <c r="LQ40" s="314"/>
      <c r="LR40" s="314"/>
      <c r="LS40" s="314"/>
      <c r="LT40" s="314"/>
      <c r="LU40" s="313"/>
      <c r="LV40" s="314"/>
      <c r="LW40" s="314"/>
      <c r="LX40" s="314"/>
      <c r="LY40" s="314"/>
      <c r="LZ40" s="314"/>
      <c r="MA40" s="314"/>
      <c r="MB40" s="314"/>
      <c r="MC40" s="314"/>
      <c r="MD40" s="314"/>
      <c r="ME40" s="314"/>
      <c r="MF40" s="314"/>
      <c r="MG40" s="314"/>
      <c r="MH40" s="314"/>
      <c r="MI40" s="314"/>
      <c r="MJ40" s="314"/>
      <c r="MK40" s="314"/>
      <c r="ML40" s="314"/>
      <c r="MM40" s="314"/>
      <c r="MN40" s="314"/>
      <c r="MO40" s="314"/>
      <c r="MP40" s="314"/>
      <c r="MQ40" s="314"/>
      <c r="MR40" s="314"/>
      <c r="MS40" s="314"/>
      <c r="MT40" s="314"/>
      <c r="MU40" s="314"/>
      <c r="MV40" s="314"/>
      <c r="MW40" s="314"/>
      <c r="MX40" s="314"/>
      <c r="MY40" s="314"/>
      <c r="MZ40" s="314"/>
      <c r="NA40" s="314"/>
      <c r="NB40" s="314"/>
      <c r="NC40" s="313"/>
      <c r="ND40" s="313"/>
      <c r="NE40" s="314"/>
      <c r="NF40" s="314"/>
      <c r="NG40" s="314"/>
      <c r="NH40" s="314"/>
      <c r="NI40" s="314"/>
      <c r="NJ40" s="313"/>
      <c r="NK40" s="292"/>
      <c r="NL40" s="292"/>
      <c r="NM40" s="292"/>
      <c r="NN40" s="292"/>
      <c r="NO40" s="292"/>
      <c r="NP40" s="292"/>
      <c r="NQ40" s="292"/>
    </row>
    <row r="41" spans="3:381" ht="20.100000000000001" customHeight="1" x14ac:dyDescent="0.25">
      <c r="C41" s="300"/>
      <c r="D41" s="301"/>
      <c r="E41" s="301"/>
      <c r="F41" s="302"/>
      <c r="G41" s="303"/>
      <c r="H41" s="304"/>
      <c r="I41" s="305"/>
      <c r="J41" s="306"/>
      <c r="K41" s="306"/>
      <c r="L41" s="306"/>
      <c r="M41" s="306"/>
      <c r="N41" s="306"/>
      <c r="O41" s="306"/>
      <c r="P41" s="306"/>
      <c r="Q41" s="306"/>
      <c r="R41" s="306"/>
      <c r="S41" s="306"/>
      <c r="T41" s="306"/>
      <c r="U41" s="306"/>
      <c r="V41" s="306"/>
      <c r="W41" s="306"/>
      <c r="X41" s="306"/>
      <c r="Y41" s="306"/>
      <c r="Z41" s="306"/>
      <c r="AA41" s="306"/>
      <c r="AB41" s="306"/>
      <c r="AC41" s="306"/>
      <c r="AD41" s="306"/>
      <c r="AE41" s="306"/>
      <c r="AF41" s="306"/>
      <c r="AG41" s="306"/>
      <c r="AH41" s="306"/>
      <c r="AI41" s="306"/>
      <c r="AJ41" s="306"/>
      <c r="AK41" s="306"/>
      <c r="AL41" s="306"/>
      <c r="AM41" s="306"/>
      <c r="AN41" s="306"/>
      <c r="AO41" s="306"/>
      <c r="AP41" s="306"/>
      <c r="AQ41" s="306"/>
      <c r="AR41" s="306"/>
      <c r="AS41" s="306"/>
      <c r="AT41" s="306"/>
      <c r="AU41" s="306"/>
      <c r="AV41" s="306"/>
      <c r="AW41" s="306"/>
      <c r="AX41" s="306"/>
      <c r="AY41" s="306"/>
      <c r="AZ41" s="306"/>
      <c r="BA41" s="306"/>
      <c r="BB41" s="306"/>
      <c r="BC41" s="306"/>
      <c r="BD41" s="306"/>
      <c r="BE41" s="306"/>
      <c r="BF41" s="306"/>
      <c r="BG41" s="306"/>
      <c r="BH41" s="306"/>
      <c r="BI41" s="306"/>
      <c r="BJ41" s="306"/>
      <c r="BK41" s="306"/>
      <c r="BL41" s="306"/>
      <c r="BM41" s="306"/>
      <c r="BN41" s="306"/>
      <c r="BO41" s="306"/>
      <c r="BP41" s="306"/>
      <c r="BQ41" s="306"/>
      <c r="BR41" s="306"/>
      <c r="BS41" s="306"/>
      <c r="BT41" s="306"/>
      <c r="BU41" s="306"/>
      <c r="BV41" s="306"/>
      <c r="BW41" s="306"/>
      <c r="BX41" s="306"/>
      <c r="BY41" s="306"/>
      <c r="BZ41" s="306"/>
      <c r="CA41" s="306"/>
      <c r="CB41" s="306"/>
      <c r="CC41" s="306"/>
      <c r="CD41" s="306"/>
      <c r="CE41" s="306"/>
      <c r="CF41" s="306"/>
      <c r="CG41" s="306"/>
      <c r="CH41" s="306"/>
      <c r="CI41" s="306"/>
      <c r="CJ41" s="306"/>
      <c r="CK41" s="306"/>
      <c r="CL41" s="306"/>
      <c r="CM41" s="306"/>
      <c r="CN41" s="306"/>
      <c r="CO41" s="306"/>
      <c r="CP41" s="306"/>
      <c r="CQ41" s="306"/>
      <c r="CR41" s="306"/>
      <c r="CS41" s="306"/>
      <c r="CT41" s="306"/>
      <c r="CU41" s="306"/>
      <c r="CV41" s="306"/>
      <c r="CW41" s="306"/>
      <c r="CX41" s="306"/>
      <c r="CY41" s="306"/>
      <c r="CZ41" s="306"/>
      <c r="DA41" s="306"/>
      <c r="DB41" s="306"/>
      <c r="DC41" s="306"/>
      <c r="DD41" s="306"/>
      <c r="DE41" s="306"/>
      <c r="DF41" s="306"/>
      <c r="DG41" s="306"/>
      <c r="DH41" s="306"/>
      <c r="DI41" s="306"/>
      <c r="DJ41" s="306"/>
      <c r="DK41" s="306"/>
      <c r="DL41" s="306"/>
      <c r="DM41" s="306"/>
      <c r="DN41" s="306"/>
      <c r="DO41" s="306"/>
      <c r="DP41" s="306"/>
      <c r="DQ41" s="306"/>
      <c r="DR41" s="306"/>
      <c r="DS41" s="306"/>
      <c r="DT41" s="306"/>
      <c r="DU41" s="306"/>
      <c r="DV41" s="306"/>
      <c r="DW41" s="306"/>
      <c r="DX41" s="306"/>
      <c r="DY41" s="306"/>
      <c r="DZ41" s="306"/>
      <c r="EA41" s="306"/>
      <c r="EB41" s="306"/>
      <c r="EC41" s="306"/>
      <c r="ED41" s="306"/>
      <c r="EE41" s="306"/>
      <c r="EF41" s="306"/>
      <c r="EG41" s="306"/>
      <c r="EH41" s="306"/>
      <c r="EI41" s="306"/>
      <c r="EJ41" s="306"/>
      <c r="EK41" s="306"/>
      <c r="EL41" s="306"/>
      <c r="EM41" s="306"/>
      <c r="EN41" s="306"/>
      <c r="EO41" s="306"/>
      <c r="EP41" s="306"/>
      <c r="EQ41" s="306"/>
      <c r="ER41" s="306"/>
      <c r="ES41" s="306"/>
      <c r="ET41" s="306"/>
      <c r="EU41" s="306"/>
      <c r="EV41" s="306"/>
      <c r="EW41" s="306"/>
      <c r="EX41" s="306"/>
      <c r="EY41" s="306"/>
      <c r="EZ41" s="306"/>
      <c r="FA41" s="306"/>
      <c r="FB41" s="306"/>
      <c r="FC41" s="306"/>
      <c r="FD41" s="306"/>
      <c r="FE41" s="306"/>
      <c r="FF41" s="306"/>
      <c r="FG41" s="306"/>
      <c r="FH41" s="306"/>
      <c r="FI41" s="306"/>
      <c r="FJ41" s="306"/>
      <c r="FK41" s="306"/>
      <c r="FL41" s="306"/>
      <c r="FM41" s="306"/>
      <c r="FN41" s="306"/>
      <c r="FO41" s="306"/>
      <c r="FP41" s="306"/>
      <c r="FQ41" s="306"/>
      <c r="FR41" s="306"/>
      <c r="FS41" s="306"/>
      <c r="FT41" s="306"/>
      <c r="FU41" s="306"/>
      <c r="FV41" s="306"/>
      <c r="FW41" s="306"/>
      <c r="FX41" s="306"/>
      <c r="FY41" s="306"/>
      <c r="FZ41" s="306"/>
      <c r="GA41" s="306"/>
      <c r="GB41" s="306"/>
      <c r="GC41" s="306"/>
      <c r="GD41" s="306"/>
      <c r="GE41" s="306"/>
      <c r="GF41" s="306"/>
      <c r="GG41" s="306"/>
      <c r="GH41" s="306"/>
      <c r="GI41" s="306"/>
      <c r="GJ41" s="306"/>
      <c r="GK41" s="306"/>
      <c r="GL41" s="306"/>
      <c r="GM41" s="306"/>
      <c r="GN41" s="306"/>
      <c r="GO41" s="306"/>
      <c r="GP41" s="306"/>
      <c r="GQ41" s="306"/>
      <c r="GR41" s="306"/>
      <c r="GS41" s="306"/>
      <c r="GT41" s="306"/>
      <c r="GU41" s="306"/>
      <c r="GV41" s="306"/>
      <c r="GW41" s="306"/>
      <c r="GX41" s="306"/>
      <c r="GY41" s="306"/>
      <c r="GZ41" s="306"/>
      <c r="HA41" s="306"/>
      <c r="HB41" s="306"/>
      <c r="HC41" s="306"/>
      <c r="HD41" s="306"/>
      <c r="HE41" s="306"/>
      <c r="HF41" s="306"/>
      <c r="HG41" s="306"/>
      <c r="HH41" s="306"/>
      <c r="HI41" s="306"/>
      <c r="HJ41" s="306"/>
      <c r="HK41" s="306"/>
      <c r="HL41" s="306"/>
      <c r="HM41" s="306"/>
      <c r="HN41" s="306"/>
      <c r="HO41" s="306"/>
      <c r="HP41" s="306"/>
      <c r="HQ41" s="306"/>
      <c r="HR41" s="306"/>
      <c r="HS41" s="306"/>
      <c r="HT41" s="306"/>
      <c r="HU41" s="306"/>
      <c r="HV41" s="306"/>
      <c r="HW41" s="306"/>
      <c r="HX41" s="306"/>
      <c r="HY41" s="306"/>
      <c r="HZ41" s="306"/>
      <c r="IA41" s="306"/>
      <c r="IB41" s="306"/>
      <c r="IC41" s="306"/>
      <c r="ID41" s="306"/>
      <c r="IE41" s="306"/>
      <c r="IF41" s="306"/>
      <c r="IG41" s="306"/>
      <c r="IH41" s="306"/>
      <c r="II41" s="306"/>
      <c r="IJ41" s="306"/>
      <c r="IK41" s="306"/>
      <c r="IL41" s="306"/>
      <c r="IM41" s="306"/>
      <c r="IN41" s="306"/>
      <c r="IO41" s="306"/>
      <c r="IP41" s="306"/>
      <c r="IQ41" s="306"/>
      <c r="IR41" s="306"/>
      <c r="IS41" s="306"/>
      <c r="IT41" s="306"/>
      <c r="IU41" s="306"/>
      <c r="IV41" s="306"/>
      <c r="IW41" s="306"/>
      <c r="IX41" s="306"/>
      <c r="IY41" s="306"/>
      <c r="IZ41" s="306"/>
      <c r="JA41" s="306"/>
      <c r="JB41" s="306"/>
      <c r="JC41" s="306"/>
      <c r="JD41" s="306"/>
      <c r="JE41" s="306"/>
      <c r="JF41" s="306"/>
      <c r="JG41" s="306"/>
      <c r="JH41" s="306"/>
      <c r="JI41" s="306"/>
      <c r="JJ41" s="306"/>
      <c r="JK41" s="306"/>
      <c r="JL41" s="306"/>
      <c r="JM41" s="306"/>
      <c r="JN41" s="306"/>
      <c r="JO41" s="306"/>
      <c r="JP41" s="306"/>
      <c r="JQ41" s="306"/>
      <c r="JR41" s="306"/>
      <c r="JS41" s="306"/>
      <c r="JT41" s="306"/>
      <c r="JU41" s="306"/>
      <c r="JV41" s="306"/>
      <c r="JW41" s="306"/>
      <c r="JX41" s="306"/>
      <c r="JY41" s="306"/>
      <c r="JZ41" s="306"/>
      <c r="KA41" s="306"/>
      <c r="KB41" s="306"/>
      <c r="KC41" s="306"/>
      <c r="KD41" s="306"/>
      <c r="KE41" s="306"/>
      <c r="KF41" s="306"/>
      <c r="KG41" s="306"/>
      <c r="KH41" s="306"/>
      <c r="KI41" s="306"/>
      <c r="KJ41" s="306"/>
      <c r="KK41" s="306"/>
      <c r="KL41" s="306"/>
      <c r="KM41" s="306"/>
      <c r="KN41" s="306"/>
      <c r="KO41" s="306"/>
      <c r="KP41" s="306"/>
      <c r="KQ41" s="306"/>
      <c r="KR41" s="306"/>
      <c r="KS41" s="306"/>
      <c r="KT41" s="306"/>
      <c r="KU41" s="306"/>
      <c r="KV41" s="306"/>
      <c r="KW41" s="306"/>
      <c r="KX41" s="306"/>
      <c r="KY41" s="306"/>
      <c r="KZ41" s="306"/>
      <c r="LA41" s="306"/>
      <c r="LB41" s="306"/>
      <c r="LC41" s="306"/>
      <c r="LD41" s="306"/>
      <c r="LE41" s="306"/>
      <c r="LF41" s="306"/>
      <c r="LG41" s="306"/>
      <c r="LH41" s="306"/>
      <c r="LI41" s="306"/>
      <c r="LJ41" s="306"/>
      <c r="LK41" s="306"/>
      <c r="LL41" s="306"/>
      <c r="LM41" s="306"/>
      <c r="LN41" s="306"/>
      <c r="LO41" s="306"/>
      <c r="LP41" s="306"/>
      <c r="LQ41" s="306"/>
      <c r="LR41" s="306"/>
      <c r="LS41" s="306"/>
      <c r="LT41" s="306"/>
      <c r="LU41" s="306"/>
      <c r="LV41" s="306"/>
      <c r="LW41" s="306"/>
      <c r="LX41" s="306"/>
      <c r="LY41" s="306"/>
      <c r="LZ41" s="306"/>
      <c r="MA41" s="306"/>
      <c r="MB41" s="306"/>
      <c r="MC41" s="306"/>
      <c r="MD41" s="306"/>
      <c r="ME41" s="306"/>
      <c r="MF41" s="306"/>
      <c r="MG41" s="306"/>
      <c r="MH41" s="306"/>
      <c r="MI41" s="306"/>
      <c r="MJ41" s="306"/>
      <c r="MK41" s="306"/>
      <c r="ML41" s="306"/>
      <c r="MM41" s="306"/>
      <c r="MN41" s="306"/>
      <c r="MO41" s="306"/>
      <c r="MP41" s="306"/>
      <c r="MQ41" s="306"/>
      <c r="MR41" s="306"/>
      <c r="MS41" s="306"/>
      <c r="MT41" s="306"/>
      <c r="MU41" s="306"/>
      <c r="MV41" s="306"/>
      <c r="MW41" s="306"/>
      <c r="MX41" s="306"/>
      <c r="MY41" s="306"/>
      <c r="MZ41" s="306"/>
      <c r="NA41" s="306"/>
      <c r="NB41" s="306"/>
      <c r="NC41" s="306"/>
      <c r="ND41" s="306"/>
      <c r="NE41" s="306"/>
      <c r="NF41" s="306"/>
      <c r="NG41" s="306"/>
      <c r="NH41" s="306"/>
      <c r="NI41" s="306"/>
      <c r="NJ41" s="306"/>
    </row>
  </sheetData>
  <conditionalFormatting sqref="G10:G41">
    <cfRule type="containsText" dxfId="5" priority="3" operator="containsText" text="TODOS">
      <formula>NOT(ISERROR(SEARCH("TODOS",G10)))</formula>
    </cfRule>
  </conditionalFormatting>
  <conditionalFormatting sqref="H11:H40">
    <cfRule type="containsText" dxfId="4" priority="4" operator="containsText" text="PENDENTE">
      <formula>NOT(ISERROR(SEARCH("PENDENTE",H11)))</formula>
    </cfRule>
    <cfRule type="containsText" dxfId="3" priority="5" operator="containsText" text="OK">
      <formula>NOT(ISERROR(SEARCH("OK",H11)))</formula>
    </cfRule>
    <cfRule type="containsText" dxfId="2" priority="6" operator="containsText" text="AGUARDANDO PRAZO">
      <formula>NOT(ISERROR(SEARCH("AGUARDANDO PRAZO",H11)))</formula>
    </cfRule>
  </conditionalFormatting>
  <conditionalFormatting sqref="J10:NJ41">
    <cfRule type="expression" dxfId="1" priority="2">
      <formula>OR(J$8="sáb",J$8="dom")</formula>
    </cfRule>
  </conditionalFormatting>
  <conditionalFormatting sqref="J11:NJ40">
    <cfRule type="expression" dxfId="0" priority="1">
      <formula>AND(J$9&gt;=$D11,J$9&lt;=$E11)</formula>
    </cfRule>
  </conditionalFormatting>
  <dataValidations count="1">
    <dataValidation type="list" allowBlank="1" showInputMessage="1" showErrorMessage="1" sqref="H11:H40" xr:uid="{C059AA07-8E85-4807-A7FF-3BB9BA22BAB2}">
      <formula1>"AGUARDANDO PRAZO, OK, PENDENTE"</formula1>
    </dataValidation>
  </dataValidations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GERAL</vt:lpstr>
      <vt:lpstr>GRADE</vt:lpstr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Annunciato</dc:creator>
  <cp:lastModifiedBy>Renata Rivellino</cp:lastModifiedBy>
  <dcterms:created xsi:type="dcterms:W3CDTF">2023-06-29T15:11:37Z</dcterms:created>
  <dcterms:modified xsi:type="dcterms:W3CDTF">2026-06-23T17:14:07Z</dcterms:modified>
</cp:coreProperties>
</file>