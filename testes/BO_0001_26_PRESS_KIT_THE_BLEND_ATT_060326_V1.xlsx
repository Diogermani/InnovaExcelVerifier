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BOTICARIO\BO_0001_26_PRESS_KIT_THE_BLEND\Pre_Producao\Planilhas\Planilha_Cliente\"/>
    </mc:Choice>
  </mc:AlternateContent>
  <xr:revisionPtr revIDLastSave="0" documentId="13_ncr:1_{96776363-D206-46DA-A69A-5EE450D2A823}" xr6:coauthVersionLast="47" xr6:coauthVersionMax="47" xr10:uidLastSave="{00000000-0000-0000-0000-000000000000}"/>
  <bookViews>
    <workbookView xWindow="28680" yWindow="-120" windowWidth="29040" windowHeight="15720" tabRatio="833" xr2:uid="{00000000-000D-0000-FFFF-FFFF00000000}"/>
  </bookViews>
  <sheets>
    <sheet name="RESUMO" sheetId="3" r:id="rId1"/>
    <sheet name="GERAL" sheetId="4" r:id="rId2"/>
    <sheet name="REF." sheetId="7" r:id="rId3"/>
  </sheets>
  <definedNames>
    <definedName name="__123Graph_A" hidden="1">#REF!</definedName>
    <definedName name="__123Graph_D" hidden="1">#REF!</definedName>
    <definedName name="_xlnm._FilterDatabase" localSheetId="1" hidden="1">GERAL!$B$15:$I$43</definedName>
    <definedName name="_Order1" hidden="1">255</definedName>
    <definedName name="a" hidden="1">InstHook</definedName>
    <definedName name="asdfasdfasdf" hidden="1">Data #REF!</definedName>
    <definedName name="b" hidden="1">InstHook</definedName>
    <definedName name="BEx00DN1RNNMH74W9MQDEC2D4MLG" hidden="1">#REF!</definedName>
    <definedName name="BEx0122C198WJOVA5URIMEQGURX0" hidden="1">#REF!</definedName>
    <definedName name="BEx013V289ZRWMP9EHI8NHFMKPJ1" hidden="1">#REF!</definedName>
    <definedName name="BEx02NWP6363RB7IP5OGQBA3HL8M" hidden="1">#REF!</definedName>
    <definedName name="BEx03PZ01Y89BRBF5EBGZA0KE45D" hidden="1">Data #REF!</definedName>
    <definedName name="BEx03PZ0RJZTFGSE9JL33E24X4BQ" hidden="1">#REF!</definedName>
    <definedName name="BEx1FC6P208GAVHAN0DH1K9VR0UU" hidden="1">#REF!</definedName>
    <definedName name="BEx1G1NSIS6RA09FARPILP5FN948" hidden="1">#REF!</definedName>
    <definedName name="BEx1GHJN2NVVVIABID3JP4IL83JW" hidden="1">#REF!</definedName>
    <definedName name="BEx1GLQPEHZDWC3XARIN7F34UQ8S" hidden="1">#REF!</definedName>
    <definedName name="BEx1GXFITFHV7SD03R5TSRKDY647" hidden="1">#REF!</definedName>
    <definedName name="BEx1H763RKV4OJ5VVERGN06UG7L5" hidden="1">#REF!</definedName>
    <definedName name="BEx1HNNIIIXDQM27I5CAIMTRYIFG" hidden="1">#REF!</definedName>
    <definedName name="BEx1HT1R7JM8QHMAM6L6MOSBV3UZ" hidden="1">Data #REF!</definedName>
    <definedName name="BEx1HWHR2RO8KB3D1NKVRS21YJLO" hidden="1">#REF!</definedName>
    <definedName name="BEx1JAEB8WPA6FE1N1PDTIZVF1JY" hidden="1">#REF!</definedName>
    <definedName name="BEx1JLMTG518G4II3AWX0L4M7FMZ" hidden="1">#REF!</definedName>
    <definedName name="BEx1K3M7NR53362IZF5ZWWFUBZ3G" hidden="1">#REF!</definedName>
    <definedName name="BEx1KGY8Y8JQVGB39CUXFE36VUZH" hidden="1">#REF!</definedName>
    <definedName name="BEx1KJNC8ZBMX9X8YRULXDFI5MT1" hidden="1">Data #REF!</definedName>
    <definedName name="BEx1KRLD1SH2GPWBGOLXZWL6GW5F" hidden="1">Data #REF!</definedName>
    <definedName name="BEx1KV1CKN02AFUYNXR8EURBWVV5" hidden="1">#REF!</definedName>
    <definedName name="BEx1KXQHQLDDHVKZS9GREB11ALI8" hidden="1">#REF!</definedName>
    <definedName name="BEx1L0KXA23P32TQ4OE2LQWC4BS2" hidden="1">Data #REF!</definedName>
    <definedName name="BEx1L5TTUU7UQAA28PJEGB2LUNOR" hidden="1">#REF!</definedName>
    <definedName name="BEx1L884P52YSGFLECRMN4WA33VP" hidden="1">#REF!</definedName>
    <definedName name="BEx1L8Z0S4I4V3YWLV7BVOMWESMD" hidden="1">#REF!</definedName>
    <definedName name="BEx1LKIHUHRDSPM688S2DYU7L2W9" hidden="1">#REF!</definedName>
    <definedName name="BEx1LTCP6S7VXM351HQGXTXDYL3S" hidden="1">#REF!</definedName>
    <definedName name="BEx1MHMO9FGUCCYHIRNSGREJOFOY" hidden="1">#REF!</definedName>
    <definedName name="BEx1MMVFYKANS6FM5UHHD7HSQFD5" hidden="1">#REF!</definedName>
    <definedName name="BEx1MQGWDVTBGH5U7WM8TY3103V2" hidden="1">#REF!</definedName>
    <definedName name="BEx1N321L64BF95Z1X7Z603O4WCT" hidden="1">#REF!</definedName>
    <definedName name="BEx1N321SMYRZ67224L8OYC8316B" hidden="1">#REF!</definedName>
    <definedName name="BEx1NTVNHG64WSKNI9ONTGGDD3LS" hidden="1">#REF!</definedName>
    <definedName name="BEx1O4IRRM7G5A0E3P9TJ4CB8ZIL" hidden="1">#REF!</definedName>
    <definedName name="BEx1OK93QURMCCTN5NVZUAXK1MIA" hidden="1">#REF!</definedName>
    <definedName name="BEx1ONJTW1F9Y8W0Z99PD6WSO938" hidden="1">Data #REF!</definedName>
    <definedName name="BEx1OTJLXEEW0CMNCU5JJJOM9MIS" hidden="1">Data #REF!</definedName>
    <definedName name="BEx1OTP3M90FGXFEK1H30UZI7K9Q" hidden="1">#REF!</definedName>
    <definedName name="BEx1P4S5E2VISALRF1JLBYR9H3BV" hidden="1">#REF!</definedName>
    <definedName name="BEx1PNYNVK3MKECCPBD7QYMOBI6Y" hidden="1">#REF!</definedName>
    <definedName name="BEx1PREV19PBT0ORTWPCUIXRO8LD" hidden="1">Data #REF!</definedName>
    <definedName name="BEx1PZCOKG1K23PIHXM83FEBRACO" hidden="1">#REF!</definedName>
    <definedName name="BEx1Q81LUJ90VRA72IDWJJGGYRM9" hidden="1">#REF!</definedName>
    <definedName name="BEx1QLTWN1VQNWXBOIJZGY8YSLZQ" hidden="1">#REF!</definedName>
    <definedName name="BEx1QTBNIOFTGFTTZ4TIOGK6WW2X" hidden="1">#REF!</definedName>
    <definedName name="BEx1RNQQITE75NEE49Z8VB59J8XN" hidden="1">Data #REF!</definedName>
    <definedName name="BEx1S2FEUF45MD8FRLEUUA7BYDL9" hidden="1">#REF!</definedName>
    <definedName name="BEx1S485N7BCW8JNUZ8ZG718W5NS" hidden="1">#REF!</definedName>
    <definedName name="BEx1S7OB6NYKYWO1ARHIKX90JWTN" hidden="1">#REF!</definedName>
    <definedName name="BEx1SP7EB28BI83AXFU4ZYOVBLKN" hidden="1">#REF!</definedName>
    <definedName name="BEx1STJTB70ER4SV99ZNAHGC7XER" hidden="1">#REF!</definedName>
    <definedName name="BEx1TA6J2OYTF3Y1O3VIPHRENAUB" hidden="1">#REF!</definedName>
    <definedName name="BEx1THTQZWUQF5SJ1UHYQLRG15XT" hidden="1">#REF!</definedName>
    <definedName name="BEx1TOKGURV22XY5T3F8IK3V8718" hidden="1">#REF!</definedName>
    <definedName name="BEx1U7G8FPP4FTSAHM59E9XYOGNC" hidden="1">#REF!</definedName>
    <definedName name="BEx1UJQKR70LA99P9MNTGUORHXRL" hidden="1">#REF!</definedName>
    <definedName name="BEx1UN1A22ZDZ22SLO1DQFDFHZEX" hidden="1">#REF!</definedName>
    <definedName name="BEx1USKSLU1XIYHGLH1GT7GJ05QK" hidden="1">#REF!</definedName>
    <definedName name="BEx1VYDVVPKJOSRKZFSXY01HIHXV" hidden="1">#REF!</definedName>
    <definedName name="BEx1W5KZ8VYHY9WWAERMZMTJD4SY" hidden="1">#REF!</definedName>
    <definedName name="BEx1WHF37IKBCL3QJJX90Y0M0266" hidden="1">#REF!</definedName>
    <definedName name="BEx1WR5O9I6UTP3LCMKZY2U04FLS" hidden="1">#REF!</definedName>
    <definedName name="BEx1WWEL7Q7N4J7T3ESO05QFC2RP" hidden="1">#REF!</definedName>
    <definedName name="BEx1XAN084HF9GLINIE2O322PO3Q" hidden="1">#REF!</definedName>
    <definedName name="BEx1XJBXJA4VSYQ9OWSOA6P9WXSV" hidden="1">#REF!</definedName>
    <definedName name="BEx1XJHE35XAV86Z6LMQW0B9BNGG" hidden="1">#REF!</definedName>
    <definedName name="BEx1XYWXBPVEBUACRZ1XXCIFZ60L" hidden="1">#REF!</definedName>
    <definedName name="BEx1YOZMZOGU1HZGF7RKJ5XHV1XS" hidden="1">Data #REF!</definedName>
    <definedName name="BEx3AYA5DQFYHEWD4B44GGU1BGBY" hidden="1">#REF!</definedName>
    <definedName name="BEx3B1VMBTYBYJRIDSYF72844W86" hidden="1">#REF!</definedName>
    <definedName name="BEx3B5H4DTUC1F99UD51XBA1COM1" hidden="1">#REF!</definedName>
    <definedName name="BEx3BFYQ1NAR7KWYB7KF4S7BUOXF" hidden="1">#REF!</definedName>
    <definedName name="BEx3BNLT8JYMWBR8VCNL6Q2H2O9G" hidden="1">#REF!</definedName>
    <definedName name="BEx3BSJXBEDSJ68PIPK0VS4FPZS5" hidden="1">Data #REF!</definedName>
    <definedName name="BEx3BYUIDGZI81P748AQZBBCFERM" hidden="1">#REF!</definedName>
    <definedName name="BEx3C3N3S9DKEOIK96CE1BZKGY2B" hidden="1">#REF!</definedName>
    <definedName name="BEx3C7OOL7YBJYYVPVBGFRKQZODJ" hidden="1">#REF!</definedName>
    <definedName name="BEx3CBVQJEGXDLZWRYY48NYM5JKE" hidden="1">#REF!</definedName>
    <definedName name="BEx3COM8CFA3ZV1G2I8YYWGXSSH3" hidden="1">#REF!</definedName>
    <definedName name="BEx3CTV4J4DW6BW01RGAZ2V38YKX" hidden="1">#REF!</definedName>
    <definedName name="BEx3CZ9CTMRS6VY469NOTXQXEFRK" hidden="1">#REF!</definedName>
    <definedName name="BEx3CZK4GUC5JADZ1FLZNLJUB3JK" hidden="1">#REF!</definedName>
    <definedName name="BEx3D41ZIQ0NHIPUZ7JG0FA87WN3" hidden="1">#REF!</definedName>
    <definedName name="BEx3D9G6WSV417UPF2116P4CAZV4" hidden="1">#REF!</definedName>
    <definedName name="BEx3E3PXZIZQMSD5QPG9NFD7UBGH" hidden="1">#REF!</definedName>
    <definedName name="BEx3EGB38IQEE0YKUWQ725OMZ30V" hidden="1">#REF!</definedName>
    <definedName name="BEx3F68B0SXTEI1Q2G6DDCVTYZEV" hidden="1">#REF!</definedName>
    <definedName name="BEx3F6Z7JD2R1A98PMKHS2GFIJ2M" hidden="1">#REF!</definedName>
    <definedName name="BEx3FQB3MUNK41WT4FSHMBCNHSC5" hidden="1">Data #REF!</definedName>
    <definedName name="BEx3G8QQ14QY90A8FIWKMTR0ELJE" hidden="1">#REF!</definedName>
    <definedName name="BEx3GEA8WMC85VS04KUR6DWF59WH" hidden="1">#REF!</definedName>
    <definedName name="BEx3GF1BP6ILUT1FLKM31G5FH0K0" hidden="1">#REF!</definedName>
    <definedName name="BEx3GR0X1ZO25BN3WHJPSURYKAKB" hidden="1">#REF!</definedName>
    <definedName name="BEx3HG1S1FK60SDUQG43BVO98TIZ" hidden="1">#REF!</definedName>
    <definedName name="BEx3HNZL21KWCG34BJF3ZWCI5YLS" hidden="1">#REF!</definedName>
    <definedName name="BEx3I2TRRGNTQS0W6RO8IGG37J84" hidden="1">#REF!</definedName>
    <definedName name="BEx3ICKDGA81GKAZHZFP2O9W8L2W" hidden="1">#REF!</definedName>
    <definedName name="BEx3J3JER1WZFQZRI9KZI8FYS3UC" hidden="1">#REF!</definedName>
    <definedName name="BEx3J5HLUJMKRTDS0TMFDV5S8FLM" hidden="1">#REF!</definedName>
    <definedName name="BEx3JPKDO7OMEH9VRZEGRB26HKJG" hidden="1">#REF!</definedName>
    <definedName name="BEx3JSKAH5YHYTFJ7AIZTIVQ4SO7" hidden="1">#REF!</definedName>
    <definedName name="BEx3K78Z1QBF12WULUVZW3R06CDL" hidden="1">#REF!</definedName>
    <definedName name="BEx3K7EFVFGLWIDGPDF5MR9KZS0U" hidden="1">#REF!</definedName>
    <definedName name="BEx3KDOTZLPJVPHQ5P3IVA92LX21" hidden="1">#REF!</definedName>
    <definedName name="BEx3KIXQ2O9LMAR9NDI56XVODBQX" hidden="1">#REF!</definedName>
    <definedName name="BEx3KZV9X2RGEGXAIFH1EQHGCJ83" hidden="1">#REF!</definedName>
    <definedName name="BEx3L2PW0S8TQCTMZOHOZQ6FBQAU" hidden="1">Data #REF!</definedName>
    <definedName name="BEx3L3RKSQTLFM04XVKYXDX296SO" hidden="1">#REF!</definedName>
    <definedName name="BEx3L4TE1MMUSF43VFM14CTU6R0H" hidden="1">#REF!</definedName>
    <definedName name="BEx3L4YPKJ61N63RY8E3V99MWFG3" hidden="1">#REF!</definedName>
    <definedName name="BEx3MABOSI3BLRGJWHKJF3X5VZWM" hidden="1">#REF!</definedName>
    <definedName name="BEx3MCF7PKDSB4J12Y2XTDN7W168" hidden="1">#REF!</definedName>
    <definedName name="BEx3MJBDDFCJQTILV3R5X4AMK14H" hidden="1">#REF!</definedName>
    <definedName name="BEx3MK7PIDC9T8KEOO6A7OKJS2XX" hidden="1">#REF!</definedName>
    <definedName name="BEx3MKNVDCQ844JO28RD2JM8CWN0" hidden="1">#REF!</definedName>
    <definedName name="BEx3MMGLSWOWT2CIHALL8I46N8H9" hidden="1">#REF!</definedName>
    <definedName name="BEx3MUP7UVESCUMON2SELYESPCMS" hidden="1">#REF!</definedName>
    <definedName name="BEx3MYWANZP89FXU93YGWYDQLCIJ" hidden="1">Data #REF!</definedName>
    <definedName name="BEx3NFOHGFYG5I1CK6V2HWBSPEZJ" hidden="1">Data #REF!</definedName>
    <definedName name="BEx3NI8AKI6L0CSL06ED6OC8R363" hidden="1">#REF!</definedName>
    <definedName name="BEx3O1PFVGUKDML4STP1RAXJX24X" hidden="1">#REF!</definedName>
    <definedName name="BEx3O9NFKDKUH8COBRM65UIUOJX2" hidden="1">Data #REF!</definedName>
    <definedName name="BEx3OL1GK59AZOM3H2FGW3JUHY4F" hidden="1">#REF!</definedName>
    <definedName name="BEx3ONQK2ZX6NLZK8YN2SYBNR7AS" hidden="1">#REF!</definedName>
    <definedName name="BEx3PDNSKGJ1VHYPB2WWMJA0W6EY" hidden="1">Data #REF!</definedName>
    <definedName name="BEx3PPSOZQOGJVXQ1DHT6KMBO7S0" hidden="1">#REF!</definedName>
    <definedName name="BEx3Q1XQLRJBUI3HVP0496572HL9" hidden="1">Data #REF!</definedName>
    <definedName name="BEx3QMBFT0KBPTQEARMU78JYBIFP" hidden="1">#REF!</definedName>
    <definedName name="BEx3R98S7CCJG5CZXRP5T5LV4WKX" hidden="1">Data #REF!</definedName>
    <definedName name="BEx3RBCAF0KH35B4XA7E89B1RRF2" hidden="1">#REF!</definedName>
    <definedName name="BEx3RGQJLQTXLZ3H2YZXI4UFSXLD" hidden="1">#REF!</definedName>
    <definedName name="BEx3RU827F80R9UW8NJUJMOY8LCB" hidden="1">#REF!</definedName>
    <definedName name="BEx3RWBKQM72AT470K7R9R29TO5B" hidden="1">#REF!</definedName>
    <definedName name="BEx3S50HFKYSJQBVEIQP2GO4NBXN" hidden="1">#REF!</definedName>
    <definedName name="BEx3S8LY558FQ7YUNGHIJ2R673QJ" hidden="1">#REF!</definedName>
    <definedName name="BEx3T1Z68NL4GFWG05YKHYY6V01V" hidden="1">#REF!</definedName>
    <definedName name="BEx3T24NJULGS3UJTWH07T3MNFJU" hidden="1">#REF!</definedName>
    <definedName name="BEx3TJIGTIHAPKOLHQFNBSCQIWR1" hidden="1">#REF!</definedName>
    <definedName name="BEx3TJYJRAZTNECEQUO1ODIF1PVP" hidden="1">#REF!</definedName>
    <definedName name="BEx3TZ8T1XBP77LMFD89QTWBVA8Y" hidden="1">#REF!</definedName>
    <definedName name="BEx3U353EE2WFLPHOQT4IRLFUSXE" hidden="1">Data #REF!</definedName>
    <definedName name="BEx3U7XPN1UUCL1QPJQ82YQYOCTD" hidden="1">#REF!</definedName>
    <definedName name="BEx3UAMTKU7EM461LVVQP4ERALVO" hidden="1">#REF!</definedName>
    <definedName name="BEx56XPMUED6NEFAUFRHHF32C4L8" hidden="1">#REF!</definedName>
    <definedName name="BEx572T1G34MSP4IX06G9TJ89GMW" hidden="1">#REF!</definedName>
    <definedName name="BEx57DWASUXVV33KCZ080EATEQ65" hidden="1">#REF!</definedName>
    <definedName name="BEx57IE3SWW65HDJMM8I1WWX0P98" hidden="1">#REF!</definedName>
    <definedName name="BEx57ROKN8JN8VHOB50OQUUHM2PS" hidden="1">Data #REF!</definedName>
    <definedName name="BEx58DV1VFTX127CAKNDGDGF4X72" hidden="1">Data #REF!</definedName>
    <definedName name="BEx58E0C6LOM5KQOHWK5P6TTDFFK" hidden="1">#REF!</definedName>
    <definedName name="BEx58R1RF4J83D558WB5F77OWN2Y" hidden="1">#REF!</definedName>
    <definedName name="BEx58R1T1SV6TRIBYKK2BJBPR3O4" hidden="1">#REF!</definedName>
    <definedName name="BEx58VE5FMJGX7VMIA693KRT3GNS" hidden="1">#REF!</definedName>
    <definedName name="BEx59HQ3012HCBUD0LSA96J1EURG" hidden="1">#REF!</definedName>
    <definedName name="BEx59MD8MGKDE7IKA5HGGLY9V8Y4" hidden="1">#REF!</definedName>
    <definedName name="BEx59MYSRTHR0YN28C28I9J6E1G5" hidden="1">#REF!</definedName>
    <definedName name="BEx5ALKY4092TPRG0MYA6NEIM5T5" hidden="1">#REF!</definedName>
    <definedName name="BEx5BCUSCPPC7V0Y7YIF91Z60P1W" hidden="1">#REF!</definedName>
    <definedName name="BEx5BECPCU1BJDOSCSB2VWVEJ34T" hidden="1">#REF!</definedName>
    <definedName name="BEx5BVQIBM7799NCEV950YKLM9TW" hidden="1">#REF!</definedName>
    <definedName name="BEx5CDV7N75H43JBEJKVWSRCOG74" hidden="1">#REF!</definedName>
    <definedName name="BEx5CN5PTQT0CLMPD6LSVK0HR4EE" hidden="1">#REF!</definedName>
    <definedName name="BEx5DGTVMKJU8FQZ0MS7YHNLPZE6" hidden="1">#REF!</definedName>
    <definedName name="BEx5DGTVZ5RP1ODM18DRQ0D337MD" hidden="1">Data #REF!</definedName>
    <definedName name="BEx5DMO6S3L4ILLIGYB42LY5SGMV" hidden="1">Data #REF!</definedName>
    <definedName name="BEx5DXM2J2QB73UHY89K1JBZPZT0" hidden="1">Data #REF!</definedName>
    <definedName name="BEx5DZPLSXWZG3MZ8QDVVR6S4DAF" hidden="1">#REF!</definedName>
    <definedName name="BEx5E30686KVQ7P1NVBGZ4B3BBWS" hidden="1">#REF!</definedName>
    <definedName name="BEx5EDNA8QZ9YOS1IJMV3K99SWIO" hidden="1">#REF!</definedName>
    <definedName name="BEx5EI5458GCS7Y96VS6IW52QQWH" hidden="1">#REF!</definedName>
    <definedName name="BEx5EMC6QVXV9XJHZT0RTDOMM3BK" hidden="1">#REF!</definedName>
    <definedName name="BEx5EN8JDJGG4UG7NYZ23B9SMQQG" hidden="1">#REF!</definedName>
    <definedName name="BEx5F2YX1L7DTE1V26WRT864I41A" hidden="1">#REF!</definedName>
    <definedName name="BEx5F39PWR40CUK9ZVE3AKHQB922" hidden="1">#REF!</definedName>
    <definedName name="BEx5F9K9HWQQAYB3F2NNXO4PQN4R" hidden="1">#REF!</definedName>
    <definedName name="BEx5FC3XPOOCYJBP7XJ420K2ENLF" hidden="1">#REF!</definedName>
    <definedName name="BEx5FQSL822M586LGWGTU8L80Q54" hidden="1">#REF!</definedName>
    <definedName name="BEx5FWXV53H1WZD0NR8R6PSEA3ZR" hidden="1">#REF!</definedName>
    <definedName name="BEx5FYAIHB95M634JUIM13TJE3JD" hidden="1">#REF!</definedName>
    <definedName name="BEx5G92S6548GHXOIDTDMD7YNMP0" hidden="1">#REF!</definedName>
    <definedName name="BEx5GBRVWVZ2E8XA99S6T36YEIOB" hidden="1">#REF!</definedName>
    <definedName name="BEx5GCZ0XUM7WTSFXZA26PV1N3W6" hidden="1">#REF!</definedName>
    <definedName name="BEx5GERSJFST4HM0MYJ0GWW7XUNT" hidden="1">#REF!</definedName>
    <definedName name="BEx5GM9JVA4D7Y3WPAVAOCYEUFJS" hidden="1">#REF!</definedName>
    <definedName name="BEx5GMV2OUFGWU0P4FWT9JOLWA7Y" hidden="1">#REF!</definedName>
    <definedName name="BEx5GSEMV26SJHPH7VJMQB49RIOP" hidden="1">Data #REF!</definedName>
    <definedName name="BEx5GWWNEKA7E9DEJ3LA1IG9T3N1" hidden="1">Data #REF!</definedName>
    <definedName name="BEx5GXI774CALHQNJ4Q4LPHWBH9Y" hidden="1">#REF!</definedName>
    <definedName name="BEx5HCHP5MKMKZK0J77JQXZN7SUF" hidden="1">#REF!</definedName>
    <definedName name="BEx5HP86Q42IP9C7LUGEMB5QMU9B" hidden="1">#REF!</definedName>
    <definedName name="BEx5I05WGOUJUCDGS5VJ0H7BJ0LN" hidden="1">Data #REF!</definedName>
    <definedName name="BEx5IGSSZ9C5176M748WY77N4DM8" hidden="1">#REF!</definedName>
    <definedName name="BEx5IWZB5USOF5E6V54RYE75FG5F" hidden="1">#REF!</definedName>
    <definedName name="BEx5IZ8BYT6P8Q34R7NOOFNX3MA0" hidden="1">#REF!</definedName>
    <definedName name="BEx5J34KUCXE1PRLQJEN6MMXFUG2" hidden="1">Data #REF!</definedName>
    <definedName name="BEx5JIUYZ9GT3TWWGRH4EIRL9NJR" hidden="1">#REF!</definedName>
    <definedName name="BEx5K039BP1X0IF6BF4B4CYX3TFJ" hidden="1">#REF!</definedName>
    <definedName name="BEx5K08QB5M5GKDI6DRRKXUFMVJP" hidden="1">#REF!</definedName>
    <definedName name="BEx5K0E88BSTIRRLXY0342BFITEI" hidden="1">#REF!</definedName>
    <definedName name="BEx5KBMQY4DTROCUGAC59GMAR7GV" hidden="1">#REF!</definedName>
    <definedName name="BEx5KK0VPUKFCE3CRHBGFMW8FXT5" hidden="1">Data #REF!</definedName>
    <definedName name="BEx5KKX7LM9IJAF6XZAK4I0Y94AX" hidden="1">#REF!</definedName>
    <definedName name="BEx5KLIT7OHMD8X3HGDHH8WS30E1" hidden="1">#REF!</definedName>
    <definedName name="BEx5KUT55I5T6NPJQ09F7DPUN9AP" hidden="1">#REF!</definedName>
    <definedName name="BEx5L0CSOJ4QXGK67O6M0NQI288O" hidden="1">#REF!</definedName>
    <definedName name="BEx5LL1BKTEQ30I0722WZNSPMOTV" hidden="1">#REF!</definedName>
    <definedName name="BEx5LL6LB2HN35Z4NGCUUFVBDQV1" hidden="1">#REF!</definedName>
    <definedName name="BEx5LQKU280WK2VD3HP3HL9RVVJJ" hidden="1">#REF!</definedName>
    <definedName name="BEx5LSTTE1QZ6HT3ZXSEAP42MN31" hidden="1">#REF!</definedName>
    <definedName name="BEx5M12GWADUJV9UGJWP5ZUIQQ21" hidden="1">#REF!</definedName>
    <definedName name="BEx5M3X2A6EWX34OCKT4VEI17BUK" hidden="1">#REF!</definedName>
    <definedName name="BEx5MANQKX9FGFNZAWID7L2SZ6L3" hidden="1">#REF!</definedName>
    <definedName name="BEx5MH93NV0RLPUZ73BRUNCF9R2Z" hidden="1">Data #REF!</definedName>
    <definedName name="BEx5NCKJN117HBYQ9I01ZV3OR3YS" hidden="1">Data #REF!</definedName>
    <definedName name="BEx5NNNS0DR8FKMPCXNT5RK4RQ1Z" hidden="1">Data #REF!</definedName>
    <definedName name="BEx5NY5DXL6JVCKVY21TOH0CBSHC" hidden="1">#REF!</definedName>
    <definedName name="BEx5O4LBZWM5XGMDWQY1PIQCVHZ5" hidden="1">Data #REF!</definedName>
    <definedName name="BEx5O86SYUTAC6FVNC4BP811B7PQ" hidden="1">#REF!</definedName>
    <definedName name="BEx5OT0RD1OY81XEZTK44DODAQ6K" hidden="1">#REF!</definedName>
    <definedName name="BEx5OUIPJMKI0DU0UPZHAFPNZ8IR" hidden="1">#REF!</definedName>
    <definedName name="BEx5PAJVGV2PA40MXVVSJ84XENMS" hidden="1">#REF!</definedName>
    <definedName name="BEx5PICDV7URORBDIZH65M68RE55" hidden="1">#REF!</definedName>
    <definedName name="BEx5PTQDVS3R8XZQYPDXWWUIU5CI" hidden="1">#REF!</definedName>
    <definedName name="BEx5PUXK7OMCA02B5HWZ3CHWBX4S" hidden="1">Data #REF!</definedName>
    <definedName name="BEx5PYTSP5E7Z1DZ52W6B67BVKII" hidden="1">#REF!</definedName>
    <definedName name="BEx5Q5Q0CPAUKNK4JM3HI8KQQGLG" hidden="1">Data #REF!</definedName>
    <definedName name="BEx74F399QHAIJL974P6QYXXU6E8" hidden="1">Data #REF!</definedName>
    <definedName name="BEx74FOU66WPDSHUWXXNAIJR4J4A" hidden="1">#REF!</definedName>
    <definedName name="BEx74FZMRJIEN8ZDX2HVREJC54X5" hidden="1">#REF!</definedName>
    <definedName name="BEx74M4RE7MZCVU9U46NUZHO39SL" hidden="1">#REF!</definedName>
    <definedName name="BEx74RDNQGFTFTVQCDXLELRMWDY9" hidden="1">Data #REF!</definedName>
    <definedName name="BEx74RDNZ7ETQH72NW7XS5WAXKKF" hidden="1">#REF!</definedName>
    <definedName name="BEx75BGJMJGAPDFZLQRIGTEXIWZO" hidden="1">#REF!</definedName>
    <definedName name="BEx75OSNX7A6NGWRF62340JC7F5B" hidden="1">Data #REF!</definedName>
    <definedName name="BEx75S8SOHYHKHPN0B8ZVCXR8YKY" hidden="1">#REF!</definedName>
    <definedName name="BEx76KV3YS3JZWEMLP0YUMIAZJSN" hidden="1">#REF!</definedName>
    <definedName name="BEx76N9GAN08U4UKIX2BOKO863UA" hidden="1">Data #REF!</definedName>
    <definedName name="BEx770G5Z8BQQPIPKOEVWXBVSND9" hidden="1">#REF!</definedName>
    <definedName name="BEx77U9P4GRSPWD0JG1QH63JU7GS" hidden="1">Data #REF!</definedName>
    <definedName name="BEx78697S6VMFCNXH3UEHZS74IZ5" hidden="1">#REF!</definedName>
    <definedName name="BEx78YKTKPRSWKIZIN18O6WTW5DR" hidden="1">Data #REF!</definedName>
    <definedName name="BEx799YS1SWHHPAF1GRK5F53GGZA" hidden="1">#REF!</definedName>
    <definedName name="BEx79SUK8I7PJBW7NAM1APF60S62" hidden="1">#REF!</definedName>
    <definedName name="BEx7AC6EZ4QWHZHGETG2NWV0BSFH" hidden="1">#REF!</definedName>
    <definedName name="BEx7AEQ60XVRMBY2S4Y3PPD3JMOR" hidden="1">#REF!</definedName>
    <definedName name="BEx7B3R140DY36HG31JT2HZZXPYG" hidden="1">#REF!</definedName>
    <definedName name="BEx7BDXWPDII0UHIVWP213N9LB59" hidden="1">#REF!</definedName>
    <definedName name="BEx7BG1G5N42AR0V9P9TG6YV63XM" hidden="1">#REF!</definedName>
    <definedName name="BEx7BHOOXMKHPBGT1TV0T1O837GI" hidden="1">#REF!</definedName>
    <definedName name="BEx7BRFGN9VLN33UCCKX8F6LWBR1" hidden="1">#REF!</definedName>
    <definedName name="BEx7BSH4EQYNL3O31LGKT63LFSUU" hidden="1">#REF!</definedName>
    <definedName name="BEx7C1RLKDQT9PG324XS6QI7GRVR" hidden="1">#REF!</definedName>
    <definedName name="BEx7CLUJ7MFK9HWUPXQA4DP783RN" hidden="1">#REF!</definedName>
    <definedName name="BEx7CWHFHP5W0E3NUAY77CBCTDAC" hidden="1">Data #REF!</definedName>
    <definedName name="BEx7D2MPS6FS22ZY5X7H20U3R8UE" hidden="1">#REF!</definedName>
    <definedName name="BEx7DF2G29AQ9YK9G122I67RHSA6" hidden="1">#REF!</definedName>
    <definedName name="BEx7DH5XLLUHMOTXC3G8GRL3MFQ0" hidden="1">Data #REF!</definedName>
    <definedName name="BEx7DTR2XDG3DJFKI0O72VQ8KWDT" hidden="1">#REF!</definedName>
    <definedName name="BEx7E7OPODBXY9EAJMSNBC9K4FN4" hidden="1">Data #REF!</definedName>
    <definedName name="BEx7EURIFYR11S49NQX0BSQ7BV10" hidden="1">#REF!</definedName>
    <definedName name="BEx7EURJPU8TAUU4ITW0WBTIK91X" hidden="1">Data #REF!</definedName>
    <definedName name="BEx7F5PFXO8LGM2R82YC5UJ50SCH" hidden="1">#REF!</definedName>
    <definedName name="BEx7FDN9VKK2OZI7HPTDJ6CNVX7C" hidden="1">#REF!</definedName>
    <definedName name="BEx7FEJMDQSJJMRKFDJQAHCDOOOX" hidden="1">#REF!</definedName>
    <definedName name="BEx7FL517MJHWI6RJEG8NXL4WM4Y" hidden="1">#REF!</definedName>
    <definedName name="BEx7FPMWBUPOXLJA263ZRW0GXZAU" hidden="1">#REF!</definedName>
    <definedName name="BEx7FW2ROVHD1I1JBDLUQGGKHSSJ" hidden="1">#REF!</definedName>
    <definedName name="BEx7HC2PPTDSMGLRYDJ89JS50ODH" hidden="1">#REF!</definedName>
    <definedName name="BEx7HVUTP36YBUIBZZJMG2VYUE1Q" hidden="1">#REF!</definedName>
    <definedName name="BEx7HXCPZTGP7SGZVGD95HHKA55J" hidden="1">#REF!</definedName>
    <definedName name="BEx7ICN28WRZ27O7UOTDDULBYF5D" hidden="1">#REF!</definedName>
    <definedName name="BEx7IH4VG06VF99ORJIYGBYBVRKW" hidden="1">#REF!</definedName>
    <definedName name="BEx7IQ9UFXJDMWL2OGD6OWXJ1A4C" hidden="1">#REF!</definedName>
    <definedName name="BEx7IR0XF3W8QVUGX4JUXZROH3MH" hidden="1">#REF!</definedName>
    <definedName name="BEx7IW471B53L94RBL5I91HLHORD" hidden="1">Data #REF!</definedName>
    <definedName name="BEx7JDY8ZRYV78AJ6J3PMSO534YA" hidden="1">#REF!</definedName>
    <definedName name="BEx7JE91UQ73SJJCG8S9BNUV5REH" hidden="1">#REF!</definedName>
    <definedName name="BEx7JLW4S15RUGC9OV1O5E9O71OB" hidden="1">#REF!</definedName>
    <definedName name="BEx7JTJBOZ7UYO826GJYCX18R2BQ" hidden="1">#REF!</definedName>
    <definedName name="BEx7JTOMK745H8NKL53UWZCT18U9" hidden="1">#REF!</definedName>
    <definedName name="BEx7KAMBLRP1BZYRHP24O4H3L17R" hidden="1">#REF!</definedName>
    <definedName name="BEx7L98FYYPCK4LH0QXIN5NIJI25" hidden="1">#REF!</definedName>
    <definedName name="BEx7LCDOFXTCTWRZLB8808KK8L2V" hidden="1">#REF!</definedName>
    <definedName name="BEx7M3I78XZJZNYFWBESQ8P56SUR" hidden="1">#REF!</definedName>
    <definedName name="BEx7MC1MYNX1GOG07LQ15LBWR2CM" hidden="1">Data #REF!</definedName>
    <definedName name="BEx7MFCBLV7VZNM9BAL24BST77SZ" hidden="1">#REF!</definedName>
    <definedName name="BEx7MM8HJJJBFSWPL35QMT2POU8C" hidden="1">Data #REF!</definedName>
    <definedName name="BEx7O0VYVXBNFGVK93BQVZH8FNGG" hidden="1">#REF!</definedName>
    <definedName name="BEx8ZHPDWVFNL517HOP1SEMO2Q1O" hidden="1">#REF!</definedName>
    <definedName name="BEx901XN30L63C9BAQ9ZHZI8B8MN" hidden="1">#REF!</definedName>
    <definedName name="BEx902DWR8LH7DNK06I12OUWRM37" hidden="1">#REF!</definedName>
    <definedName name="BEx90S5TXOXFOWO0YNG87OH7G3CX" hidden="1">#REF!</definedName>
    <definedName name="BEx914G79NQRWWOCKIHCF0F6YXIL" hidden="1">#REF!</definedName>
    <definedName name="BEx929CX1AX5WB71IEYWM3R1U1OC" hidden="1">Data #REF!</definedName>
    <definedName name="BEx92DENOH4SPJVRHRGANSXN6VO9" hidden="1">#REF!</definedName>
    <definedName name="BEx92ER3E1HVKR37LQDRCR6CQKXW" hidden="1">#REF!</definedName>
    <definedName name="BEx931OFYCCTB5C7S3FA3JTYBDQU" hidden="1">Data #REF!</definedName>
    <definedName name="BEx937DGFWOPR9H0Z5PLQWMNW87V" hidden="1">#REF!</definedName>
    <definedName name="BEx93CMBYHSSC1I1FZLTNI2JFB3Y" hidden="1">Data #REF!</definedName>
    <definedName name="BEx93SNGOUCR6T77PF5MW7OPWYM9" hidden="1">Data #REF!</definedName>
    <definedName name="BEx93Y70FP1KSVJT07SZAFL1BWZ4" hidden="1">#REF!</definedName>
    <definedName name="BEx93YCI5M2CMZJZEPR0N7XY6127" hidden="1">Data #REF!</definedName>
    <definedName name="BEx94BZCP4NMS7ZAG5K6L1GXRNEA" hidden="1">#REF!</definedName>
    <definedName name="BEx94EJ52Y2VGQ30SOT44M6JM8LW" hidden="1">#REF!</definedName>
    <definedName name="BEx94GRYKCHVWZZWQRWV8MKT27QE" hidden="1">Data #REF!</definedName>
    <definedName name="BEx94L9SY471BTR2YC4XJ0RGTCKJ" hidden="1">#REF!</definedName>
    <definedName name="BEx95HXVT2IVVQL9PZ4I8VWYMQ9F" hidden="1">#REF!</definedName>
    <definedName name="BEx95SVMJPF4LQ9LMW5M63S4KVEV" hidden="1">#REF!</definedName>
    <definedName name="BEx95XOAF1LHNQH8GFR7R59BO8I4" hidden="1">#REF!</definedName>
    <definedName name="BEx95YVEUGDZ2X8VH8SYB01J3QJJ" hidden="1">#REF!</definedName>
    <definedName name="BEx96KWEL272C4GTDBH8TU7CM9AI" hidden="1">#REF!</definedName>
    <definedName name="BEx96OCJ5QSNMV3WNGVZ5QD20REN" hidden="1">#REF!</definedName>
    <definedName name="BEx96OY5G4NFTSS1UIOR5PPF9GTH" hidden="1">#REF!</definedName>
    <definedName name="BEx97CMCOF2NGAX3L67PXBBFLVY8" hidden="1">#REF!</definedName>
    <definedName name="BEx97GISOWP1QQ4J9F8ODFTOV3SU" hidden="1">#REF!</definedName>
    <definedName name="BEx97GYVR6I08F2ILTWYEZ5FQ8KU" hidden="1">#REF!</definedName>
    <definedName name="BEx981HWIM4DSDGKDDOJZOUNE51P" hidden="1">#REF!</definedName>
    <definedName name="BEx984SPU7HFMWOFYLYS84FF80LT" hidden="1">#REF!</definedName>
    <definedName name="BEx98H2Y6WH0WPEBPZYODOC6RSPL" hidden="1">#REF!</definedName>
    <definedName name="BEx98WO0VOE8RVCW2TZ7UT61BJLJ" hidden="1">Data #REF!</definedName>
    <definedName name="BEx99227KKTT0HZHEX7PVJG7PV1Q" hidden="1">#REF!</definedName>
    <definedName name="BEx9963TL2EKLKMEMB84RSJ7KYWC" hidden="1">Data #REF!</definedName>
    <definedName name="BEx9975NLOT54ZN6DL4R8GW3C3P6" hidden="1">#REF!</definedName>
    <definedName name="BEx99IZR09D3VO9IA19OGF44P9GV" hidden="1">#REF!</definedName>
    <definedName name="BEx99R33KPXITKOUQGOBKRGHBRHH" hidden="1">#REF!</definedName>
    <definedName name="BEx99X87O6QA5171PRJOYITAKDMZ" hidden="1">#REF!</definedName>
    <definedName name="BEx9AV8W0KKXL6YMF2CLIVTTNITS" hidden="1">#REF!</definedName>
    <definedName name="BEx9AVZS51SHLTNUTC6TXW9HA8VR" hidden="1">#REF!</definedName>
    <definedName name="BEx9B6HGNAA886CMJ9UZ3QDKDNH0" hidden="1">Data #REF!</definedName>
    <definedName name="BEx9BJDCR3YYOFYLQKPSVLD0ZZ30" hidden="1">#REF!</definedName>
    <definedName name="BEx9BP7VRE9AXCDTN4VUZAXI08HJ" hidden="1">#REF!</definedName>
    <definedName name="BEx9BURDYZJ274BIQAY1YNH5XR56" hidden="1">#REF!</definedName>
    <definedName name="BEx9C11YFIB43KJV8XLJS9VYMR3F" hidden="1">#REF!</definedName>
    <definedName name="BEx9CB3BNHH6IM8CZ2DLRSBVS1A5" hidden="1">#REF!</definedName>
    <definedName name="BEx9DBNNP30LS5VTXGCVHES2YO1K" hidden="1">#REF!</definedName>
    <definedName name="BEx9DUJFOQTBJTOY5XJIMSONJJH2" hidden="1">#REF!</definedName>
    <definedName name="BEx9DXJCZTZOHK7YY5WNTIXAO5MA" hidden="1">#REF!</definedName>
    <definedName name="BEx9ECYWNJAXZOWPQ2O1EIMLJRW6" hidden="1">Data #REF!</definedName>
    <definedName name="BEx9EQWPC5Q2UO6GS16U5YRCJCZK" hidden="1">#REF!</definedName>
    <definedName name="BEx9ESJZK7EYNTFQEN36WICBH8MA" hidden="1">#REF!</definedName>
    <definedName name="BEx9EZG4Q56HYQSQ2ZPVYMU0TDDP" hidden="1">#REF!</definedName>
    <definedName name="BEx9F0N9NWKM1SX6EYW8G6NBL19A" hidden="1">#REF!</definedName>
    <definedName name="BEx9FHQAUCUC6WOA4F9AB7M3GMEC" hidden="1">#REF!</definedName>
    <definedName name="BEx9FMZ19EIC1DRX97MECWY8PJS8" hidden="1">#REF!</definedName>
    <definedName name="BEx9FWV3X1J7GUOFPXE15K89816B" hidden="1">#REF!</definedName>
    <definedName name="BEx9FYYMBR94E9K5OZ64D78Q5E0I" hidden="1">#REF!</definedName>
    <definedName name="BEx9FYYMG0V6LUW5YKQFS6ACQ8AF" hidden="1">#REF!</definedName>
    <definedName name="BEx9G7NIOK6F9UITVO02463CMP2X" hidden="1">Data #REF!</definedName>
    <definedName name="BEx9GFQUWUWUN4BV5VJ59D3DKUIQ" hidden="1">#REF!</definedName>
    <definedName name="BEx9GUQBLPCF3Y7ST06E0RHTLBY6" hidden="1">#REF!</definedName>
    <definedName name="BEx9HZHK2KTHML6DAUH8ES3814FY" hidden="1">#REF!</definedName>
    <definedName name="BEx9J0NHIK0BOV9A98ABT4T3E3ML" hidden="1">Data #REF!</definedName>
    <definedName name="BEx9JGU3EJUEW2CTSN42QG9MQJUM" hidden="1">Data #REF!</definedName>
    <definedName name="BEx9KQOWOK00PPRXFZ2ZFWOXXVTK" hidden="1">Data #REF!</definedName>
    <definedName name="BExAWEPC0402CI9W14UV7VXFNIKD" hidden="1">#REF!</definedName>
    <definedName name="BExAWW36OK2JZ8E7B6TC0NVVFQTK" hidden="1">#REF!</definedName>
    <definedName name="BExAXCPW3W59PCIK7HZ5YENNYBBJ" hidden="1">Data #REF!</definedName>
    <definedName name="BExAXETEDP76BLNFTFGECENTWIUV" hidden="1">#REF!</definedName>
    <definedName name="BExAXPGIYYO97LHX147LFXC5HCY4" hidden="1">#REF!</definedName>
    <definedName name="BExAXT7AO0ENP6V776HG324MJAAB" hidden="1">Data #REF!</definedName>
    <definedName name="BExAXWY9PW7WS3WH0EZPX799JIBE" hidden="1">#REF!</definedName>
    <definedName name="BExAY1G3P5KWOGGL12WJRYOS30EY" hidden="1">#REF!</definedName>
    <definedName name="BExAY4AJV0TWPNFYVT3O4RVHAWO8" hidden="1">#REF!</definedName>
    <definedName name="BExAYJKSNAKSJBQ21S6X2401Q5SQ" hidden="1">#REF!</definedName>
    <definedName name="BExAYS4EDEVT7X51039NGU2ML2XS" hidden="1">#REF!</definedName>
    <definedName name="BExAYV9MJXMTPK7S7WXK8YCRQZBY" hidden="1">#REF!</definedName>
    <definedName name="BExAZ0NSJ8AA3L3W75KL2GVZGC55" hidden="1">#REF!</definedName>
    <definedName name="BExAZGJNJR3S5F73FK65AGY8X9U8" hidden="1">#REF!</definedName>
    <definedName name="BExAZMU2LFAYXN7NP3IXLRREUUJG" hidden="1">#REF!</definedName>
    <definedName name="BExAZRMVVTPYKOYLK29XR4Z8YHDE" hidden="1">#REF!</definedName>
    <definedName name="BExAZWKUDUHL2BKSDYCSQCHQBY8B" hidden="1">#REF!</definedName>
    <definedName name="BExB006AYI15YJ07W5IDD9FQ1Q67" hidden="1">Data #REF!</definedName>
    <definedName name="BExB059QN8IF71F22Q5OFV3S9J0C" hidden="1">#REF!</definedName>
    <definedName name="BExB0B42UYHWY6G5AUEGCUBRPF72" hidden="1">#REF!</definedName>
    <definedName name="BExB0PHZYI1HQD0K4902R0E0Y3WU" hidden="1">#REF!</definedName>
    <definedName name="BExB11XSNGQGPBZEMAZ5HF9X7FPL" hidden="1">#REF!</definedName>
    <definedName name="BExB1QYPCZX5OFCZPO1BIYYD0L5I" hidden="1">#REF!</definedName>
    <definedName name="BExB1UK4SOOKCPPYUP9TK00U2ZX0" hidden="1">#REF!</definedName>
    <definedName name="BExB23JUWNOR2AQ60KSS1C47MIVD" hidden="1">Data #REF!</definedName>
    <definedName name="BExB2JA72AOL30AV2X9F90VKHAPV" hidden="1">#REF!</definedName>
    <definedName name="BExB2M4SEH9YLHF31QHVV0P833EU" hidden="1">#REF!</definedName>
    <definedName name="BExB2M4SPKP5QRHSTZOCAIB2BCAK" hidden="1">#REF!</definedName>
    <definedName name="BExB2ODLVVOG27C86XQU93Q08AQF" hidden="1">#REF!</definedName>
    <definedName name="BExB2U2LSJ8LWMYZVZ8F7CWGNSJK" hidden="1">#REF!</definedName>
    <definedName name="BExB2UDEQGZLH29CN0DWBOXD688E" hidden="1">#REF!</definedName>
    <definedName name="BExB36YKC9N2NDXGQSWK2MINTOHJ" hidden="1">Data #REF!</definedName>
    <definedName name="BExB3APIU3DJCOTJIS51RYYXZY2G" hidden="1">#REF!</definedName>
    <definedName name="BExB4I5WAQIGTMV0QCXHDX5TMTLD" hidden="1">Data #REF!</definedName>
    <definedName name="BExB4QJYJZTB7F3I8LZ5HMF8YQXQ" hidden="1">#REF!</definedName>
    <definedName name="BExB4SYBUMQKE2W0L1CN70OJW7HC" hidden="1">#REF!</definedName>
    <definedName name="BExB5G6FGLCS6OJW733JB5OH2MR3" hidden="1">#REF!</definedName>
    <definedName name="BExB5GH83FOZC9JXN7HN4V19GIW2" hidden="1">#REF!</definedName>
    <definedName name="BExB5IFFUM13NAIL3FRWXMJ6IV52" hidden="1">#REF!</definedName>
    <definedName name="BExB69PANL72YLHHA8D719971FNV" hidden="1">#REF!</definedName>
    <definedName name="BExB6C3FU2WQTPUPW9AAYK88MLXM" hidden="1">Data #REF!</definedName>
    <definedName name="BExB6C3FY4TSRB95FRDWPXGYBBF9" hidden="1">#REF!</definedName>
    <definedName name="BExB6SVOGVZNP3QU70NUDJ7SU5QR" hidden="1">Data #REF!</definedName>
    <definedName name="BExB89H68OI50OM4K68QGA3LY253" hidden="1">#REF!</definedName>
    <definedName name="BExB8GO2RL32X5WUKLKFTBDTPZET" hidden="1">#REF!</definedName>
    <definedName name="BExB8GYW9D8YJEDRN5J1YT8QO6DV" hidden="1">#REF!</definedName>
    <definedName name="BExB8QEOC51AUUG1WV8OL3KPBA24" hidden="1">#REF!</definedName>
    <definedName name="BExB90G92AA77OA39J1VV7IGIKH9" hidden="1">#REF!</definedName>
    <definedName name="BExB9OVHXYFK7KSTZLAJMUII6PEF" hidden="1">#REF!</definedName>
    <definedName name="BExB9PBR5BMS2LKGUAQ4I705Z061" hidden="1">#REF!</definedName>
    <definedName name="BExB9RKMMUBZHFDITEV2HKXJHFN8" hidden="1">#REF!</definedName>
    <definedName name="BExB9ZNWCGJ2KMUW6FOBYE8KFCH0" hidden="1">#REF!</definedName>
    <definedName name="BExBA8NM0FGO5MUDDSV2NER2M873" hidden="1">#REF!</definedName>
    <definedName name="BExBANSF4E9CFV00F04XJSISAC7A" hidden="1">Data #REF!</definedName>
    <definedName name="BExBAO3776JV60X5K0OJA909SHGU" hidden="1">#REF!</definedName>
    <definedName name="BExBB8GWOGM2RQZ6L5F7XZ1STXVV" hidden="1">Data #REF!</definedName>
    <definedName name="BExBBN043DO8JUFSIKY99W5XCCND" hidden="1">#REF!</definedName>
    <definedName name="BExBC1U9Q6DY2N6OZWRRY7HPZQYU" hidden="1">#REF!</definedName>
    <definedName name="BExBC54Z3768FAXXE405T3SH5J3L" hidden="1">#REF!</definedName>
    <definedName name="BExBCIH2IA4FU3B3E5NLQ2SSQG6X" hidden="1">#REF!</definedName>
    <definedName name="BExBCORLP54IRXPRFCSBR9SEW8CM" hidden="1">#REF!</definedName>
    <definedName name="BExBCQ9K19RDFEXZYN4C3LXBDVNN" hidden="1">#REF!</definedName>
    <definedName name="BExBCX5P77HMJXV2Z00UQ45YARM5" hidden="1">#REF!</definedName>
    <definedName name="BExBCYNNUFL01S91CK6WJKJY923W" hidden="1">#REF!</definedName>
    <definedName name="BExBCYNP8CZAN0YW9ZZCENDDC0WZ" hidden="1">#REF!</definedName>
    <definedName name="BExBDLFOY6F6QQHA96NONKXBTF4J" hidden="1">Data #REF!</definedName>
    <definedName name="BExBDMC1E069R6KU95H3L92JS18B" hidden="1">#REF!</definedName>
    <definedName name="BExBDUVG0OE9OL45AR1J7LPTHTEJ" hidden="1">#REF!</definedName>
    <definedName name="BExBDUVGYLPVNH5FSQC0EJ1BGIH7" hidden="1">#REF!</definedName>
    <definedName name="BExBDX9SQ6VHI99ERAS97XT1UVJU" hidden="1">#REF!</definedName>
    <definedName name="BExBF2XL2PQ4I5MS28H1YNFBJ0HE" hidden="1">#REF!</definedName>
    <definedName name="BExBF4FHMEKIQXY9HMA24RQYWP1A" hidden="1">#REF!</definedName>
    <definedName name="BExCR0U0G0ZT0RK64WN9O8JFQJIH" hidden="1">#REF!</definedName>
    <definedName name="BExCS2WBYPYFDWT8OAWB14BM6HLK" hidden="1">#REF!</definedName>
    <definedName name="BExCSDZIEIK094IF7RA8CV10ZPMI" hidden="1">#REF!</definedName>
    <definedName name="BExCSGOMHMY2E9FW9QW8A0Q1QZQC" hidden="1">#REF!</definedName>
    <definedName name="BExCSJZBENLYLUQDHIIK58T9S425" hidden="1">#REF!</definedName>
    <definedName name="BExCSRBLX0F6HISINR6KIHMPVRYY" hidden="1">#REF!</definedName>
    <definedName name="BExCSTKMV35OLRJ0BP2BXWVDUI4P" hidden="1">#REF!</definedName>
    <definedName name="BExCTC02LHXFF4U0STR1FAI3H5DR" hidden="1">#REF!</definedName>
    <definedName name="BExCTC03HI46HHK9J3D77I6YTCXJ" hidden="1">#REF!</definedName>
    <definedName name="BExCTEP6WIIX016Y0H5TDFS3THF2" hidden="1">Data #REF!</definedName>
    <definedName name="BExCU87VBDGCMG5HCVQ9WE81VF9H" hidden="1">Data #REF!</definedName>
    <definedName name="BExCU8TGZZTAIRCX045U6XWFHKFE" hidden="1">#REF!</definedName>
    <definedName name="BExCUDWW7G3BP4J6VKI30GOSJOWN" hidden="1">#REF!</definedName>
    <definedName name="BExCUUZWIQVQGTCOO9TI5RVEG0EM" hidden="1">#REF!</definedName>
    <definedName name="BExCUYLDH21WRZGZRJBR1N5YM3ED" hidden="1">#REF!</definedName>
    <definedName name="BExCUZY0RS0YDPM0DEBZOY9FJ7OK" hidden="1">#REF!</definedName>
    <definedName name="BExCV08MTIWQDPE4CGZMQGSI1QZ8" hidden="1">#REF!</definedName>
    <definedName name="BExCV0ZQBH6HO5C6DFG4BQ0FXZF0" hidden="1">#REF!</definedName>
    <definedName name="BExCV3ZMAK1XGAS57RHWG5S7ZLV5" hidden="1">#REF!</definedName>
    <definedName name="BExCVBS3F1CMSPQ0DH4K7AZ9G7VV" hidden="1">#REF!</definedName>
    <definedName name="BExCVT5X8BYXGMG4UONXZG8DGSAW" hidden="1">#REF!</definedName>
    <definedName name="BExCWDJN14SH66HF6EFVIS41YI2N" hidden="1">#REF!</definedName>
    <definedName name="BExCWYO7000EHMUOEPT8HRGOGGMW" hidden="1">#REF!</definedName>
    <definedName name="BExCX12KBHNOXQVBUR0XEA6WDX3L" hidden="1">#REF!</definedName>
    <definedName name="BExCX9M3DT2UODKEZUF2CJFX92B9" hidden="1">#REF!</definedName>
    <definedName name="BExCXJY9BTRV76D0W9AO5NZKLIDE" hidden="1">#REF!</definedName>
    <definedName name="BExCXQOYUBAOS5ECWLPEJZK6YDQC" hidden="1">#REF!</definedName>
    <definedName name="BExCYEO4MFK15Z91OEKWN4GGGF0X" hidden="1">#REF!</definedName>
    <definedName name="BExCYFKJD9C5EEIK5CXQ2GOV53P4" hidden="1">#REF!</definedName>
    <definedName name="BExCYG0LLVFPWLLST79W202EOGLD" hidden="1">#REF!</definedName>
    <definedName name="BExCYK2CJPPU3DY2Z3377UIEMJ53" hidden="1">#REF!</definedName>
    <definedName name="BExCYYLJKC4SIG6GEEI3OTB8XVCI" hidden="1">#REF!</definedName>
    <definedName name="BExD05WKWYBBE02QK5URGMR90XVJ" hidden="1">#REF!</definedName>
    <definedName name="BExD0LHMLVRIMU61Q8OU0P7WM8L0" hidden="1">#REF!</definedName>
    <definedName name="BExD0NQHCQANUGQ13ZHWCXU3CERK" hidden="1">#REF!</definedName>
    <definedName name="BExD0PU19FCANXIJAQ6RIVX6C5EM" hidden="1">#REF!</definedName>
    <definedName name="BExD16BFPWZJHFF00KURQKU3PHQ7" hidden="1">#REF!</definedName>
    <definedName name="BExD172HCNOQ5ETSQ44SDW91R6RN" hidden="1">Data #REF!</definedName>
    <definedName name="BExD282XMK7PHMTC5V68FJ4HRTUT" hidden="1">Data #REF!</definedName>
    <definedName name="BExD28OINHYE4YMZZW2B1VKLT7NI" hidden="1">#REF!</definedName>
    <definedName name="BExD2B8ATF7DGGWG098W5KZL2MQM" hidden="1">#REF!</definedName>
    <definedName name="BExD2BJ4GJCQNCEX5OL9NC6LZR2K" hidden="1">#REF!</definedName>
    <definedName name="BExD2IF9Q3P72S26BXKEHN4QU29L" hidden="1">#REF!</definedName>
    <definedName name="BExD2IKL0OLZLWM556P96PO4Z6LU" hidden="1">#REF!</definedName>
    <definedName name="BExD31R4ZPTK2E2PPCBF4OPOBSH6" hidden="1">Data #REF!</definedName>
    <definedName name="BExD33UNHMQTTF9KTD2HA24JRWJG" hidden="1">Data #REF!</definedName>
    <definedName name="BExD3DFYDKXR18SEH3UDMHQOM1B1" hidden="1">#REF!</definedName>
    <definedName name="BExD4J3IRAJXOD630L7HJH4KWDGO" hidden="1">#REF!</definedName>
    <definedName name="BExD542SGX1A6VH91ANFOJBOKM24" hidden="1">#REF!</definedName>
    <definedName name="BExD5ADDIZN3827X4XVNFFV4P761" hidden="1">#REF!</definedName>
    <definedName name="BExD5JNTH3G5VXO68JY8R623ROK1" hidden="1">#REF!</definedName>
    <definedName name="BExD5LRE7NVZIY1SP421RB2TPCFC" hidden="1">#REF!</definedName>
    <definedName name="BExD6RKHITHQZZXUGW1SGKATH05I" hidden="1">#REF!</definedName>
    <definedName name="BExD6WYOOSFEB8SD6C8V0OCQHIA8" hidden="1">Data #REF!</definedName>
    <definedName name="BExD6XPQD0WEKFU30G0MFKN952HF" hidden="1">#REF!</definedName>
    <definedName name="BExD7DQW3N7QG0H0CKELVIDCA6PA" hidden="1">#REF!</definedName>
    <definedName name="BExD7GQS5XAQ1BYAYMR7CH1MYCZH" hidden="1">Data #REF!</definedName>
    <definedName name="BExD7KSCJIV7TRIUG2463UIUP92K" hidden="1">#REF!</definedName>
    <definedName name="BExD7MQJHOJY2H9FIYZ2HK1ZGN83" hidden="1">#REF!</definedName>
    <definedName name="BExD7S4SINFT4CRQTHL20HA1QJX2" hidden="1">Data #REF!</definedName>
    <definedName name="BExD7Y9X5QW9TWSO15TFZ22603K2" hidden="1">#REF!</definedName>
    <definedName name="BExD8AV1U97MFCF1YGRPJSVZNCWC" hidden="1">#REF!</definedName>
    <definedName name="BExD8B5VAJLGEJLBXY2BRMH73MQB" hidden="1">#REF!</definedName>
    <definedName name="BExD8PZVWSDV8FL6R8Q77ECH2SZG" hidden="1">#REF!</definedName>
    <definedName name="BExD8TLATHI5PCVAXPY8014EAMU2" hidden="1">#REF!</definedName>
    <definedName name="BExD9IWYZ6R2CRH2JMGBJZMU4CZ7" hidden="1">#REF!</definedName>
    <definedName name="BExD9JO14A172PZMP3SUSR420OZU" hidden="1">#REF!</definedName>
    <definedName name="BExD9NEU4P0RAY02W8E5XFPY1ZP2" hidden="1">#REF!</definedName>
    <definedName name="BExD9QUYQG0QQZZP9LLRED8MOWK7" hidden="1">#REF!</definedName>
    <definedName name="BExD9R0AWTGK8VD3QVGXQOV9U69B" hidden="1">#REF!</definedName>
    <definedName name="BExDA41QFDB7OUAOJAW72VEEOZLQ" hidden="1">#REF!</definedName>
    <definedName name="BExDAASF4MH9V7OWA4B7JH358LJT" hidden="1">Data #REF!</definedName>
    <definedName name="BExDAB8P2G5770SL4V6PV63ZB5NY" hidden="1">#REF!</definedName>
    <definedName name="BExDALA1NT3ODUP4RUYF2P356UF3" hidden="1">Data #REF!</definedName>
    <definedName name="BExDB7GIPE8SR03NVAHPLOE6N6V8" hidden="1">#REF!</definedName>
    <definedName name="BExDC6TNLN8K7PIV0RZ1T3WN99RD" hidden="1">#REF!</definedName>
    <definedName name="BExDCIIHFIFPOD4KOX9Y4IYFX8G1" hidden="1">#REF!</definedName>
    <definedName name="BExENSFSZR9ZXQRYCSCC827HYP1N" hidden="1">#REF!</definedName>
    <definedName name="BExEP84WV8GE5AMLK8P7RXM8GY4C" hidden="1">Data #REF!</definedName>
    <definedName name="BExEQ0WPHCNMLC9GI8KMMH2J8Q1F" hidden="1">Data #REF!</definedName>
    <definedName name="BExEQ65N3ONIRVNFTEFOAREAC0QS" hidden="1">Data #REF!</definedName>
    <definedName name="BExEQWZ709SJTY0KV9LAQMC93WK4" hidden="1">#REF!</definedName>
    <definedName name="BExERCK88ZGOI9NB9Y6W7CT6WIR6" hidden="1">#REF!</definedName>
    <definedName name="BExERKI4K8AHB160XT3SRGYDPP4P" hidden="1">#REF!</definedName>
    <definedName name="BExESSK72QBYL282A79G0SQ27HY5" hidden="1">#REF!</definedName>
    <definedName name="BExESWAZ03O6QKGV1J7GH4W2RQE8" hidden="1">#REF!</definedName>
    <definedName name="BExETFC69CFDAKX4L3BVWFTO4RN6" hidden="1">#REF!</definedName>
    <definedName name="BExEU3GPLC7OCKR263OE3MH5B0H9" hidden="1">#REF!</definedName>
    <definedName name="BExEV9KIQEX9DD57R97RLN0VQFL2" hidden="1">#REF!</definedName>
    <definedName name="BExEVB2IDHFWWJP4UTIG8KCDB2VJ" hidden="1">Data #REF!</definedName>
    <definedName name="BExEVCEZ0C4FQR5H87BF5744FS4X" hidden="1">#REF!</definedName>
    <definedName name="BExEVUUH60IEJQAQI9R0V4YYM8T7" hidden="1">#REF!</definedName>
    <definedName name="BExEWIDIDNZ8SYN16XJFU48SG6CY" hidden="1">Data #REF!</definedName>
    <definedName name="BExEWNBH9K0UYMCN0MA8U11E47DN" hidden="1">Data #REF!</definedName>
    <definedName name="BExEXBW8QQ1696B5BDOI4WW9M960" hidden="1">Data #REF!</definedName>
    <definedName name="BExEXMJ5MK7EKOILL0CTCENXVSRD" hidden="1">#REF!</definedName>
    <definedName name="BExEXVJ13GPN0NXTCB0JKR8NQAVG" hidden="1">#REF!</definedName>
    <definedName name="BExEYBUYXQ3UVVY4II2M8MTKAHRO" hidden="1">#REF!</definedName>
    <definedName name="BExEYQJO54BAPWTYM6MWIXU4DMQ8" hidden="1">#REF!</definedName>
    <definedName name="BExEYZDV9377JO6XNBOZ7DC975JU" hidden="1">#REF!</definedName>
    <definedName name="BExEYZTZCHIWML0PRHI9DYTHODRF" hidden="1">#REF!</definedName>
    <definedName name="BExEZ0FP58B7Z60OUCLULOBAMCWJ" hidden="1">#REF!</definedName>
    <definedName name="BExEZ2DRXRUD7C1G5IRI7SNE9S1A" hidden="1">Data #REF!</definedName>
    <definedName name="BExEZC4CZRHCBP49ZDHDQ9Z8PYPU" hidden="1">#REF!</definedName>
    <definedName name="BExEZKT9B2O43EPC2O2MHG6IC2AO" hidden="1">Data #REF!</definedName>
    <definedName name="BExEZKTELVA49JYFQMF3C6ZJ0CXW" hidden="1">#REF!</definedName>
    <definedName name="BExEZOER0WPRUB2JPN5LHEMS08PR" hidden="1">#REF!</definedName>
    <definedName name="BExEZQ7GXOQFHS3LGCI0W9JQGQNN" hidden="1">#REF!</definedName>
    <definedName name="BExF02CIZPPNV6UUWLNLDGBAR9VF" hidden="1">#REF!</definedName>
    <definedName name="BExF02SMGA4JUGBBLM3LIUJVS1BV" hidden="1">#REF!</definedName>
    <definedName name="BExF08SFRILLJRB8FJE6M688W9J8" hidden="1">#REF!</definedName>
    <definedName name="BExF0BN14C7LRN9JSLZMXKL1WWBW" hidden="1">#REF!</definedName>
    <definedName name="BExF0PVGIE3UB2TQGSL36ELMEIOC" hidden="1">#REF!</definedName>
    <definedName name="BExF1798K3OCM0D3OOQVUE3O0UUV" hidden="1">#REF!</definedName>
    <definedName name="BExF19I2PM3KQPRY4F5GOA3WEIGA" hidden="1">Data #REF!</definedName>
    <definedName name="BExF1A95F6QS47OQVRIWP495NAXH" hidden="1">Data #REF!</definedName>
    <definedName name="BExF1NVZALCZG0PRRJ3P7AHBRU7Y" hidden="1">#REF!</definedName>
    <definedName name="BExF1WKX0GZAU8X8VCOOY8NWFNFV" hidden="1">Data #REF!</definedName>
    <definedName name="BExF272J8RU5KS0XZXA4W74WTBP7" hidden="1">#REF!</definedName>
    <definedName name="BExF2EPK5YJLGEBHLX3JYD3EGSXC" hidden="1">#REF!</definedName>
    <definedName name="BExF2K9AWMR75KI9J7QBKW9NJCEJ" hidden="1">#REF!</definedName>
    <definedName name="BExF2SSO68AGAB2C42OWMWUW4FP2" hidden="1">#REF!</definedName>
    <definedName name="BExF2Y6W20OPSVZCY7ELLQUQKG2M" hidden="1">Data #REF!</definedName>
    <definedName name="BExF30AGFZX3O1GGXPEVW9YBGHRN" hidden="1">#REF!</definedName>
    <definedName name="BExF3PM2NACS33BQ71BY2I7D2ES8" hidden="1">Data #REF!</definedName>
    <definedName name="BExF3Q2BVPXFX11RB89XC674LY4K" hidden="1">#REF!</definedName>
    <definedName name="BExF3WNOVVUG939R6714V94452K9" hidden="1">#REF!</definedName>
    <definedName name="BExF4FDZOMAG3ZVFH9O0C1BV8ZHK" hidden="1">#REF!</definedName>
    <definedName name="BExF4HXR0O5DBH9EPJEENOT4NEC1" hidden="1">#REF!</definedName>
    <definedName name="BExF4KC45Z1PA87UFF85R7SEV02N" hidden="1">#REF!</definedName>
    <definedName name="BExF50D9J5GH8M0C064YXZGOH5WO" hidden="1">Data #REF!</definedName>
    <definedName name="BExF58LXHLVL98IK36D447NLVRY8" hidden="1">#REF!</definedName>
    <definedName name="BExF5AK49SGY3QJ2ANNX7XU7YIC7" hidden="1">#REF!</definedName>
    <definedName name="BExF5DPBHYIULMR0S4TH8KJXGLXU" hidden="1">#REF!</definedName>
    <definedName name="BExF6018XO217RYTYNJUANQGABGA" hidden="1">Data #REF!</definedName>
    <definedName name="BExF69BJIMR45BIGGP09UA0DHUA5" hidden="1">#REF!</definedName>
    <definedName name="BExF7059ZW1F8YRI5HBX16OHHAFK" hidden="1">#REF!</definedName>
    <definedName name="BExF7IA0NWLTSVROBFQ6ALS3U0G0" hidden="1">#REF!</definedName>
    <definedName name="BExF8DG4NYBEU7CQ38KYTAYV2LMA" hidden="1">#REF!</definedName>
    <definedName name="BExF8G56WAHMVYCEA5RZUVY3I47S" hidden="1">#REF!</definedName>
    <definedName name="BExF8V4P7DVSGWT4RZEYRXG5KS29" hidden="1">#REF!</definedName>
    <definedName name="BExF91Q3S3CHRVVJTVJZWE94P2EW" hidden="1">#REF!</definedName>
    <definedName name="BExGLEWUB8MFXOQMJOERXX9QQ32F" hidden="1">Data #REF!</definedName>
    <definedName name="BExGLPEH6L28RDBDR7EBZWSXDFIV" hidden="1">#REF!</definedName>
    <definedName name="BExGLX70FVM781TR8O1XHVD3RJ6J" hidden="1">#REF!</definedName>
    <definedName name="BExGLZLCBB1KELLMKLM3WAOB8JLZ" hidden="1">#REF!</definedName>
    <definedName name="BExGM7TXYC2AY75B6SB0W5VL2A1V" hidden="1">#REF!</definedName>
    <definedName name="BExGMM2IXUNKMR5GC8IPPARCTW8P" hidden="1">#REF!</definedName>
    <definedName name="BExGMPO0M6YIW3X4DMU5ETZ5WH8S" hidden="1">#REF!</definedName>
    <definedName name="BExGMVICW1RBH0VEKUJH3Q58HEPV" hidden="1">Data #REF!</definedName>
    <definedName name="BExGN0AZA99GLW7OKPUY4FOC8MLX" hidden="1">#REF!</definedName>
    <definedName name="BExGNU4H02GNIORKNZYXOQIOQC63" hidden="1">#REF!</definedName>
    <definedName name="BExGNYRRFL2QME3QDB8ZGJV65VIW" hidden="1">#REF!</definedName>
    <definedName name="BExGNZYY2SP6BDZ5OO77YGW73NJO" hidden="1">Data #REF!</definedName>
    <definedName name="BExGO1BF1DSNKBLGE26HX5WT2DY0" hidden="1">#REF!</definedName>
    <definedName name="BExGO828U6GW49VDHD5I346S4ZI3" hidden="1">#REF!</definedName>
    <definedName name="BExGOA5SLYVQIYJRK568HNDLKRA5" hidden="1">#REF!</definedName>
    <definedName name="BExGOCUPHDJQRKT0WQDJ7SVZNCWL" hidden="1">#REF!</definedName>
    <definedName name="BExGPJEV40UD7P3QLBGWTJXJ0O20" hidden="1">#REF!</definedName>
    <definedName name="BExGPMV07P26TFVNQ5AEAKUANIS7" hidden="1">#REF!</definedName>
    <definedName name="BExGPO27NPOLKC2ISX3XI577IONY" hidden="1">#REF!</definedName>
    <definedName name="BExGPXCNV7FH5I14HNVYV3O1ICD5" hidden="1">#REF!</definedName>
    <definedName name="BExGPY3JX4GVK5Y78DZWFXRZGOVT" hidden="1">#REF!</definedName>
    <definedName name="BExGPZLJIWW92M49Q33EG0OFLC9T" hidden="1">Data #REF!</definedName>
    <definedName name="BExGQ66VBZ6MW3HA37M8354G0FXE" hidden="1">#REF!</definedName>
    <definedName name="BExGQCBZYNB5BPGI18RGZKO053C4" hidden="1">#REF!</definedName>
    <definedName name="BExGQRGYAUKCMJAWAHRVUEUF46FD" hidden="1">Data #REF!</definedName>
    <definedName name="BExGQWPP3JTLQHE7MWA5S9LXR0HM" hidden="1">#REF!</definedName>
    <definedName name="BExGQWV6UBKD5VVTGAHBJGGKBTY0" hidden="1">#REF!</definedName>
    <definedName name="BExGROVXG95JMMHLH2ZNEH52I8CQ" hidden="1">#REF!</definedName>
    <definedName name="BExGS34CKX3IU6FKB2IB93RDWFNV" hidden="1">#REF!</definedName>
    <definedName name="BExGSFK67T448FZQS6UZI3L6JSFE" hidden="1">#REF!</definedName>
    <definedName name="BExGSS5CIS3473CAHTU7G2K14TQL" hidden="1">#REF!</definedName>
    <definedName name="BExGSVW5S5Q41BSY3YKGA0JZMX7R" hidden="1">#REF!</definedName>
    <definedName name="BExGT9OFW4ZK2DNKMCG6KZAN1BMX" hidden="1">#REF!</definedName>
    <definedName name="BExGTITN9T9DX0GJDJQALA70LZ02" hidden="1">#REF!</definedName>
    <definedName name="BExGTIYXG2FN8L6RDJKG0XYLMEK3" hidden="1">#REF!</definedName>
    <definedName name="BExGTQGP4AA2XK973X1GIETKLQEA" hidden="1">#REF!</definedName>
    <definedName name="BExGU6723KYJ51Q01LF5WF87J0IO" hidden="1">#REF!</definedName>
    <definedName name="BExGUJOKI06V86A1VOERF04VPK3H" hidden="1">#REF!</definedName>
    <definedName name="BExGUMZ9HSOSX4TJPQR0M470AWPE" hidden="1">#REF!</definedName>
    <definedName name="BExGUMZA6JQ89MFI9SKRFR114MJL" hidden="1">#REF!</definedName>
    <definedName name="BExGUOBQX8NUFL4YFLAN01SMXY0S" hidden="1">#REF!</definedName>
    <definedName name="BExGUTPYNOZNQP2ATFUHKXKAYW2W" hidden="1">#REF!</definedName>
    <definedName name="BExGV8UXTC9PB2I3N8CH024QMF9Z" hidden="1">#REF!</definedName>
    <definedName name="BExGVDI2I9T6H6XYGK211BLTEKMK" hidden="1">#REF!</definedName>
    <definedName name="BExGVI58FDC7G703AP8T3AISG4WJ" hidden="1">#REF!</definedName>
    <definedName name="BExGVVHGXCRT7R9NYKZLOKB2RBFG" hidden="1">#REF!</definedName>
    <definedName name="BExGVY1303R2TTGA4QVL8XKK7SOL" hidden="1">#REF!</definedName>
    <definedName name="BExGW7MDGOVJ8SOI7SZGKX7LH7BH" hidden="1">#REF!</definedName>
    <definedName name="BExGWMGHRP0C6YV8Y2RS796SPM4F" hidden="1">Data #REF!</definedName>
    <definedName name="BExGWN24P4G5IF7PTQ5FN3XMV0VE" hidden="1">#REF!</definedName>
    <definedName name="BExGWNNO0EAWEE472C4OKVLMXECJ" hidden="1">Data #REF!</definedName>
    <definedName name="BExGWYG3C6MXX8NGRZFQ1OCCFH2Q" hidden="1">#REF!</definedName>
    <definedName name="BExGX1G0NHI5INERGQVOA0C7YAIM" hidden="1">#REF!</definedName>
    <definedName name="BExGX339DC55ZSGT4CQNVXKXC41G" hidden="1">#REF!</definedName>
    <definedName name="BExGXN66QJSZVZ0J6LPKYLXUV5R6" hidden="1">#REF!</definedName>
    <definedName name="BExGXQRN2VSYES0ARIGQY1I8P3YM" hidden="1">#REF!</definedName>
    <definedName name="BExGXVKBS3BSRM3GKXDK7SM1CBZ8" hidden="1">#REF!</definedName>
    <definedName name="BExGY5WHIN7FBH68LKAWC3J2FZNO" hidden="1">Data #REF!</definedName>
    <definedName name="BExGYCY2O7121J4AH73UZJY789BQ" hidden="1">#REF!</definedName>
    <definedName name="BExGYEAL6H03T4N0J1VMWTB4HQI6" hidden="1">#REF!</definedName>
    <definedName name="BExGYFSHWZOP9MXZANP6F65TG2BS" hidden="1">#REF!</definedName>
    <definedName name="BExGZQUHL16AQU6UB0UAXCW78KCN" hidden="1">#REF!</definedName>
    <definedName name="BExGZRAK6G56LDBCZQ5RLON21RP6" hidden="1">#REF!</definedName>
    <definedName name="BExGZU56NT7ZVC7AVTJLO3LQZ4RL" hidden="1">Data #REF!</definedName>
    <definedName name="BExGZU56NT7ZVCAVTJLO3LQZ4Ri" hidden="1">Data #REF!</definedName>
    <definedName name="BExGZVCCDIUZM9YV8HB4Q5CKDXU4" hidden="1">#REF!</definedName>
    <definedName name="BExGZZDXZXGMEBTORY9LPUXPJOQ6" hidden="1">#REF!</definedName>
    <definedName name="BExH01XK75RCBMAN68JWMLHEG5BT" hidden="1">#REF!</definedName>
    <definedName name="BExH0DBQ4HV0JVJHVO87ORXI9MHE" hidden="1">#REF!</definedName>
    <definedName name="BExH0LEV4V84XHELSK7H53DL8GXG" hidden="1">#REF!</definedName>
    <definedName name="BExH1GL0CV9TE27K7P7WHPUTUIVL" hidden="1">#REF!</definedName>
    <definedName name="BExH1LOFSN4V2EO3WWO0H609QAFG" hidden="1">#REF!</definedName>
    <definedName name="BExH1NH597DKEHGW9511Q1G5IBMI" hidden="1">#REF!</definedName>
    <definedName name="BExH1UYWFHYYCC1PBIR93R5JR9P0" hidden="1">#REF!</definedName>
    <definedName name="BExH1YKE66RUSNKNVM5HNMUVJW82" hidden="1">Data #REF!</definedName>
    <definedName name="BExH2EAQXSWLIILOYLALUC0XCN1E" hidden="1">#REF!</definedName>
    <definedName name="BExH2LCCK7L281Z5L2UIUGW1PT6H" hidden="1">#REF!</definedName>
    <definedName name="BExH2NFWHC0NRWTGN6EFXE8SO2SC" hidden="1">#REF!</definedName>
    <definedName name="BExH2TA92PKC7JJIDQ74HKRX9278" hidden="1">#REF!</definedName>
    <definedName name="BExH2WFLFP788R9JOCUHQP9PPX2I" hidden="1">Data #REF!</definedName>
    <definedName name="BExH2WVPKSZH5YR8J21AZPVOT4O9" hidden="1">#REF!</definedName>
    <definedName name="BExH41XWMKQQQQK9270TMADM9FH0" hidden="1">#REF!</definedName>
    <definedName name="BExH4E89E9UG2Y3QZGMZL96PQ5O5" hidden="1">#REF!</definedName>
    <definedName name="BExIFMYDYXKY1E88AKEW5FZNDXXV" hidden="1">#REF!</definedName>
    <definedName name="BExIHQ6MC9M8Q78K9SW0RF1RVVIG" hidden="1">#REF!</definedName>
    <definedName name="BExIHWMHS9W7PK8LBUW0TO2N3IQR" hidden="1">Data #REF!</definedName>
    <definedName name="BExIIDPIDTDLJ01NTAJUPPKS83QY" hidden="1">#REF!</definedName>
    <definedName name="BExIIV3C9GGXF8F6M9PY3X1U6KSD" hidden="1">#REF!</definedName>
    <definedName name="BExIIYU412DTISMXQCEG8PXNYVVI" hidden="1">Data #REF!</definedName>
    <definedName name="BExIJ2QET3V0Z0X3L301ZEIUW9W8" hidden="1">#REF!</definedName>
    <definedName name="BExIJCRWLUK52XL53ZTQME1PO8XK" hidden="1">Data #REF!</definedName>
    <definedName name="BExIJDO9IJ2GYP53BAOPZ4Y1C2EF" hidden="1">#REF!</definedName>
    <definedName name="BExIJTPGSEWJC3D6Z7TZP7ORL0HN" hidden="1">#REF!</definedName>
    <definedName name="BExIK1Y2NRHEHAP813AI4NTDRTQU" hidden="1">#REF!</definedName>
    <definedName name="BExIKEOQ8814Y8O3QM6AA3VNL1YM" hidden="1">#REF!</definedName>
    <definedName name="BExIKKOI3LY6S2M7RLQTB5AO3FBE" hidden="1">#REF!</definedName>
    <definedName name="BExIKM101EIG2HHRNTZT3YYQUW6V" hidden="1">#REF!</definedName>
    <definedName name="BExIKOFA29D0CFJLQP4885U7TLHB" hidden="1">#REF!</definedName>
    <definedName name="BExIKYGU2L6OBKGS6BSIOGOKL515" hidden="1">#REF!</definedName>
    <definedName name="BExIL9K2HFMYYMX85S6QOI6TJDO7" hidden="1">#REF!</definedName>
    <definedName name="BExILBSWGYYCDQ65AOBB845ZEST1" hidden="1">#REF!</definedName>
    <definedName name="BExILENCOZ1001Q5O6S4YR0O584F" hidden="1">#REF!</definedName>
    <definedName name="BExILNSIEH5WZ019YEJ79YKWXA07" hidden="1">#REF!</definedName>
    <definedName name="BExILPAFK57HC0IEIQR9EMYEX2GU" hidden="1">#REF!</definedName>
    <definedName name="BExIM0IYCPOJTO3O0WBKSSHQUWWT" hidden="1">#REF!</definedName>
    <definedName name="BExIMV8U5VRD1A2TRXGHA3HW7G00" hidden="1">Data #REF!</definedName>
    <definedName name="BExIMYOY168NMDQN301CCEO9XU9U" hidden="1">#REF!</definedName>
    <definedName name="BExIMYU9RYXSQXTE6SM36I7S0EAG" hidden="1">#REF!</definedName>
    <definedName name="BExIN01H3I9GED79V39Q024NP2LZ" hidden="1">#REF!</definedName>
    <definedName name="BExINJISCQGOGCY1VNKA7WWX47MX" hidden="1">#REF!</definedName>
    <definedName name="BExINZUWUV7MJ32TXUSGT3AHEPCO" hidden="1">#REF!</definedName>
    <definedName name="BExIO3AVHHUBVFMY340YYOJIU7OD" hidden="1">#REF!</definedName>
    <definedName name="BExIO3G6QSOMSF69VKPTXZ8CJIKQ" hidden="1">Data #REF!</definedName>
    <definedName name="BExIOACCZZSHZNTN4P0V7ZNGFTUI" hidden="1">Data #REF!</definedName>
    <definedName name="BExIOBZS0HJBNVJMY5I27VRNETJB" hidden="1">#REF!</definedName>
    <definedName name="BExIOCQU6FIZF2RLOA6QY5DRRXDM" hidden="1">#REF!</definedName>
    <definedName name="BExIOQJ4UOJSB1AAZONQHITVX30F" hidden="1">#REF!</definedName>
    <definedName name="BExIP4GRUFCTPICQ5BW7RLF6N99V" hidden="1">#REF!</definedName>
    <definedName name="BExIP4GTQA0VF3TAO5CGQKK4I5L3" hidden="1">#REF!</definedName>
    <definedName name="BExIP4WXHAUKHXO8YZUBSXE4KAZN" hidden="1">#REF!</definedName>
    <definedName name="BExIP6PNANYLBT5A4DMB0L8KJN5Y" hidden="1">#REF!</definedName>
    <definedName name="BExIP7RI8KNN1YIK5YL5JW40T26A" hidden="1">#REF!</definedName>
    <definedName name="BExIPAGM35SAWFY9I0JNSYPAKGUJ" hidden="1">Data #REF!</definedName>
    <definedName name="BExIPU8JZ1N4QY7DJ9R345C40OOT" hidden="1">#REF!</definedName>
    <definedName name="BExIQQRBEXQX543TSL4U4ZE4Y68A" hidden="1">#REF!</definedName>
    <definedName name="BExIQS99N83IZYCX50BQ1Q4C8GA8" hidden="1">#REF!</definedName>
    <definedName name="BExIR9N2XBD2E8BS2AI5GXORC25J" hidden="1">#REF!</definedName>
    <definedName name="BExIRTVACIJR8WJNCP4HX3HXTDX7" hidden="1">#REF!</definedName>
    <definedName name="BExIS902P65PPPCQP1TZWQ1FOB1T" hidden="1">#REF!</definedName>
    <definedName name="BExISD743Q009SJZ2PNOD2P5G3UI" hidden="1">#REF!</definedName>
    <definedName name="BExISD74YG436V4IIXZMCHQPN9HJ" hidden="1">#REF!</definedName>
    <definedName name="BExISEZUTIO3YO791VQ1IJIQWWUA" hidden="1">#REF!</definedName>
    <definedName name="BExISVHBNZWGOC54SUIKFJC9810B" hidden="1">#REF!</definedName>
    <definedName name="BExISXFDKJ8TGY19BYMZF2T6RS1H" hidden="1">#REF!</definedName>
    <definedName name="BExIT16B3D9207QXDOGMMXKUKQBS" hidden="1">#REF!</definedName>
    <definedName name="BExIT5YY9BBQDI5JCUDBIUPMCBP7" hidden="1">Data #REF!</definedName>
    <definedName name="BExIT6VAE1N7I8NLJ800RFNK47U5" hidden="1">#REF!</definedName>
    <definedName name="BExITBNYJ73J7FRKB6BI2W1G14BU" hidden="1">#REF!</definedName>
    <definedName name="BExITFK81D3MK2G83ERMUY15X52W" hidden="1">#REF!</definedName>
    <definedName name="BExITHI970M26VRKZ2TOTI9EJQQA" hidden="1">#REF!</definedName>
    <definedName name="BExITOEERGP3GOMPZTYYFVW8W04E" hidden="1">#REF!</definedName>
    <definedName name="BExITPR1HWYCV81PKTNAQL2VLNAR" hidden="1">#REF!</definedName>
    <definedName name="BExIUB6FNBBIVCANUR3UDIK0AZ2C" hidden="1">Data #REF!</definedName>
    <definedName name="BExIUZGEHFB6BQIEY11DBQBECBOS" hidden="1">#REF!</definedName>
    <definedName name="BExIV6HUBBR54UKGTSYHPUYHD7J7" hidden="1">#REF!</definedName>
    <definedName name="BExIVDOSPVCY8QWQFPSXFSSU0Z6T" hidden="1">#REF!</definedName>
    <definedName name="BExIVF1ARAGVJJOE9W4NA878SRWM" hidden="1">#REF!</definedName>
    <definedName name="BExIVL6K8BRNWOFLCZIP93GC5AJX" hidden="1">#REF!</definedName>
    <definedName name="BExIVSZ3B7VNGJ5H9Y2WHGA1XBAR" hidden="1">#REF!</definedName>
    <definedName name="BExIVVIW0CFXHLPDOD7593DL1G37" hidden="1">#REF!</definedName>
    <definedName name="BExIW9RAUCAD712AVKG3A36703GW" hidden="1">#REF!</definedName>
    <definedName name="BExIWB99LEMHV5NBKQYNQW9DSVOF" hidden="1">#REF!</definedName>
    <definedName name="BExIWJY5ZPCJR05PR6A25EQRCZC7" hidden="1">Data #REF!</definedName>
    <definedName name="BExIXRJZSC0U26I53A2BKO2JZHYA" hidden="1">#REF!</definedName>
    <definedName name="BExIY21LZZVK0KIX6ZMIYCIFW07P" hidden="1">#REF!</definedName>
    <definedName name="BExIY7ACS23QXBPVAVUGQG70IAC7" hidden="1">#REF!</definedName>
    <definedName name="BExIYV9JB282AL8JPKWF6MTUJ7SA" hidden="1">#REF!</definedName>
    <definedName name="BExIZ13UVBA0LFLCUDJ02FWTGM4D" hidden="1">#REF!</definedName>
    <definedName name="BExIZ1EN0VFAMLID7JVJWJYZL3MP" hidden="1">#REF!</definedName>
    <definedName name="BExIZR17QPKL4IQZ26DBTG5YSBU8" hidden="1">#REF!</definedName>
    <definedName name="BExJ08V3XB94S71LSGWPNDMEQ1K0" hidden="1">#REF!</definedName>
    <definedName name="BExJ0DIF8MCH1WN0TZ8K5HDJD7WO" hidden="1">#REF!</definedName>
    <definedName name="BExJ0XFW8ZOQM61K21IRI0AXWSCR" hidden="1">#REF!</definedName>
    <definedName name="BExKCGNO7K5Y258HACT8R016XHIV" hidden="1">#REF!</definedName>
    <definedName name="BExKD04Z7M35KH4AQG8DCY8DJ2I0" hidden="1">#REF!</definedName>
    <definedName name="BExKD0QL6OU9H5F6OOZYSUZMXJ12" hidden="1">#REF!</definedName>
    <definedName name="BExKDIPYQMBWZRSY4HU04S5VQ27H" hidden="1">Data #REF!</definedName>
    <definedName name="BExKDYB1D9EWM3ORAMO2HN4V7DPQ" hidden="1">Data #REF!</definedName>
    <definedName name="BExKE4LKYF2RQ5J12DJV6RO28OLJ" hidden="1">#REF!</definedName>
    <definedName name="BExKE63IOS75WMF69TUBHROXDYHB" hidden="1">#REF!</definedName>
    <definedName name="BExKEE6VH4ZYX2QQEKZQWG2RQBLW" hidden="1">#REF!</definedName>
    <definedName name="BExKEEHOHF8SKTE26HAZC3UNL95D" hidden="1">#REF!</definedName>
    <definedName name="BExKF3D7B4RFMXXU02G4PN0JD5IX" hidden="1">#REF!</definedName>
    <definedName name="BExKFCI7KPXDTO9HE6B2B10N2F65" hidden="1">Data #REF!</definedName>
    <definedName name="BExKFOXWI5FAV4WRXMDMSA7QN8DS" hidden="1">#REF!</definedName>
    <definedName name="BExKFPUA7FANSV8D7O3DJB11WQ13" hidden="1">#REF!</definedName>
    <definedName name="BExKG7IU5B1X33LHVCMTY71748Q0" hidden="1">#REF!</definedName>
    <definedName name="BExKGMYF0BNE6Y827NI51IITRW5H" hidden="1">#REF!</definedName>
    <definedName name="BExKGZEAVFTU5VHAMDIH0PQP2W3W" hidden="1">#REF!</definedName>
    <definedName name="BExKGZUJVJVHY9N3G2HEHE7277MH" hidden="1">#REF!</definedName>
    <definedName name="BExKH3W4UP7R6C5S8H2UJFU2P207" hidden="1">#REF!</definedName>
    <definedName name="BExKH5JDPVW2UHDEMS1BL0PBT8S6" hidden="1">#REF!</definedName>
    <definedName name="BExKH8JAHZF3J0XYBHJUJB55SECP" hidden="1">#REF!</definedName>
    <definedName name="BExKHKOCZDFARZIZIKW56KTVBHGC" hidden="1">#REF!</definedName>
    <definedName name="BExKHWCZCZMX5JYY79M89KET7FQT" hidden="1">#REF!</definedName>
    <definedName name="BExKHZ28X3FZ5Z9XBGFBCN49PRFS" hidden="1">#REF!</definedName>
    <definedName name="BExKI691E8525XRIERG2NTPZSO88" hidden="1">Data #REF!</definedName>
    <definedName name="BExKI93LM2YMFXJN69K3AV485KTH" hidden="1">#REF!</definedName>
    <definedName name="BExKII3AM5LXW39JQ09TI0YBYU8G" hidden="1">Data #REF!</definedName>
    <definedName name="BExKIMVXEVFQGP275MXPOE41FCXU" hidden="1">#REF!</definedName>
    <definedName name="BExKIROL82RY5RLN8HKGBY8U4EJJ" hidden="1">#REF!</definedName>
    <definedName name="BExKITMNEN3UDT7XAC1QDM44TX0W" hidden="1">#REF!</definedName>
    <definedName name="BExKJ0TL2IK2LWP4KH7W9AQ8LOSX" hidden="1">#REF!</definedName>
    <definedName name="BExKJ4KJSVJF2PZ5ZIZIQM9MKEH5" hidden="1">#REF!</definedName>
    <definedName name="BExKJHWMBYCJQ4O5GN25XH05G7RX" hidden="1">#REF!</definedName>
    <definedName name="BExKJMZZKCQ3MU2Z7HGG3B2XHLNH" hidden="1">#REF!</definedName>
    <definedName name="BExKKCBO0AP4CGNM2AD4AIE8FZ9X" hidden="1">#REF!</definedName>
    <definedName name="BExKKWEKWV7937UKGYH3LJAP4TO7" hidden="1">#REF!</definedName>
    <definedName name="BExKKYCSWKSQMMFM70GH2PGP5KJN" hidden="1">#REF!</definedName>
    <definedName name="BExKLL4NXKQM57SUU3FHOFJ1K17G" hidden="1">#REF!</definedName>
    <definedName name="BExKLLKW70LR6CHG6MNILM6TZJ49" hidden="1">#REF!</definedName>
    <definedName name="BExKM4RESRFXRX7258ADX4K1L5J7" hidden="1">#REF!</definedName>
    <definedName name="BExKMH758E0J0DZ1JJG1EXQ6FGO1" hidden="1">#REF!</definedName>
    <definedName name="BExKMMG0ZQ3VR9JPWF4P87M04VEO" hidden="1">#REF!</definedName>
    <definedName name="BExKMN6X7EHMIR8ZNB6Z5VUCGXD1" hidden="1">#REF!</definedName>
    <definedName name="BExKMOZOBPIBDCXNF33JPK3O940K" hidden="1">Data #REF!</definedName>
    <definedName name="BExKNF2CZEBED4RRU9NPPHHTQ2IW" hidden="1">#REF!</definedName>
    <definedName name="BExKNJUTW71CJL3C34XJ2TULY2W5" hidden="1">Data #REF!</definedName>
    <definedName name="BExKO5QGPYXSFJBTWD2QPHDVP3H6" hidden="1">#REF!</definedName>
    <definedName name="BExKOA30RAQ6LHR117QDY0992WZF" hidden="1">#REF!</definedName>
    <definedName name="BExKOF156IN4HIXF8WYWZ6HQC4L1" hidden="1">#REF!</definedName>
    <definedName name="BExKOWPJ4UOXN7WFCQ0WBYEL456M" hidden="1">#REF!</definedName>
    <definedName name="BExKOXLW01IRSD5V2RGGNFANSPTV" hidden="1">#REF!</definedName>
    <definedName name="BExKP1I6VA6ZGC47YVUW3ORUVQ94" hidden="1">#REF!</definedName>
    <definedName name="BExKP3G92PA1CFBGQKPI7CCD2AT3" hidden="1">#REF!</definedName>
    <definedName name="BExKP9G617BOSJHKSVVWR6LH6NDD" hidden="1">#REF!</definedName>
    <definedName name="BExKPOQF6HMJ69MVSOFXKVAGLWLD" hidden="1">#REF!</definedName>
    <definedName name="BExKPWOAIYESUC3ZRAIMI2RHZNRV" hidden="1">#REF!</definedName>
    <definedName name="BExKQDB2DZJLHRGPUQRHWTC5WT4P" hidden="1">#REF!</definedName>
    <definedName name="BExKQT6X71I3UNUAA4CQDKYUM9OQ" hidden="1">#REF!</definedName>
    <definedName name="BExKQYFMKJ8TEW4L58YTA51FCSWY" hidden="1">Data #REF!</definedName>
    <definedName name="BExKR7FC5INKTY06IA5B2OUYR941" hidden="1">#REF!</definedName>
    <definedName name="BExKRCYZZFDA970TQT5JYCXA0G7Z" hidden="1">#REF!</definedName>
    <definedName name="BExKRYEDLEP612KGAQYA027SOZCI" hidden="1">Data #REF!</definedName>
    <definedName name="BExKS0HYJVCXC1UUU77ZCICCKKEC" hidden="1">#REF!</definedName>
    <definedName name="BExKS3CCD15HRUN9Z5YJIR03GR84" hidden="1">#REF!</definedName>
    <definedName name="BExKSD33A35L43H9AURN8UK5JWLI" hidden="1">#REF!</definedName>
    <definedName name="BExKSI173RAGMRNBN0JYNGQQ0CCG" hidden="1">#REF!</definedName>
    <definedName name="BExKSLRZ1RMU6ADQ3W7CURWLBDZE" hidden="1">#REF!</definedName>
    <definedName name="BExKSMZ5IKTJ09WX8H31YSIKNDM6" hidden="1">#REF!</definedName>
    <definedName name="BExKSO0TXQJ4DNTMN0YM1BNZMX8W" hidden="1">Data #REF!</definedName>
    <definedName name="BExKT1D2A67SCD2ZSSBP2R3V3D5G" hidden="1">#REF!</definedName>
    <definedName name="BExKT30ALQ7U460AJCD1D6884IU3" hidden="1">#REF!</definedName>
    <definedName name="BExKTO524GXTO2VMA6E4EGT607NQ" hidden="1">#REF!</definedName>
    <definedName name="BExKTSMROATH7531IH4DK0YRCZ6P" hidden="1">#REF!</definedName>
    <definedName name="BExKTZ2SSJNPY10WJ66AOQTIAI2V" hidden="1">Data #REF!</definedName>
    <definedName name="BExKU22P9JS8P21A2PK8WPTX1JX0" hidden="1">#REF!</definedName>
    <definedName name="BExKU4BILTTZWGPHXTAT2F71RBN1" hidden="1">Data #REF!</definedName>
    <definedName name="BExKU4X590K6H3KKCIMVLP2HECMO" hidden="1">#REF!</definedName>
    <definedName name="BExKUDGOZVBIMIM42NGU0QQBUMHZ" hidden="1">#REF!</definedName>
    <definedName name="BExKV7A8CZZR2U6OHZR45ZP2Y4E6" hidden="1">#REF!</definedName>
    <definedName name="BExKVC2U0R09XQJ1XXX2ZXZNLHUK" hidden="1">Data #REF!</definedName>
    <definedName name="BExKVSK9EB8HAACYLJKMHHQ6EES5" hidden="1">#REF!</definedName>
    <definedName name="BExKWD8QN2HH7CTQTI1V2GTGKVFY" hidden="1">#REF!</definedName>
    <definedName name="BExKWIXQ9OZBO4OP9I3JGOL5W6A4" hidden="1">#REF!</definedName>
    <definedName name="BExM94D50GYNIBOLM2WX3TCCIJNR" hidden="1">#REF!</definedName>
    <definedName name="BExM98UYLFOBC4DYJ1CJVSNRW0DE" hidden="1">#REF!</definedName>
    <definedName name="BExM9NJNZNQD4ASX48MOYA1DJR34" hidden="1">#REF!</definedName>
    <definedName name="BExM9V1EUUW1DQ46B5OIZ2CTV6N1" hidden="1">#REF!</definedName>
    <definedName name="BExMACF6FHXPVLB5YOQN3U1EKZ0T" hidden="1">#REF!</definedName>
    <definedName name="BExMAX3Q28QSS01OS6FDW4R2XZK6" hidden="1">Data #REF!</definedName>
    <definedName name="BExMBITUIF0819R365JCDHX9422N" hidden="1">#REF!</definedName>
    <definedName name="BExMBODIPRM4BFEUWFFCA5FVTM5I" hidden="1">#REF!</definedName>
    <definedName name="BExMC4PIQC0TS0Z0WCELYQB8F64V" hidden="1">#REF!</definedName>
    <definedName name="BExMC7EMTVS09VCRL50I5FLLH2MU" hidden="1">#REF!</definedName>
    <definedName name="BExMCE5H3BJWGJ782WI6WSBT5KNS" hidden="1">#REF!</definedName>
    <definedName name="BExMCME3KNBIU271FOOUJ9PTYBKY" hidden="1">Data #REF!</definedName>
    <definedName name="BExMCUS6SOOE4CA78VHFE4TRC7NM" hidden="1">Data #REF!</definedName>
    <definedName name="BExMCVTV7MODN7EGTI1PMOEWFBNG" hidden="1">#REF!</definedName>
    <definedName name="BExMD8VC5E3BZ85MI072G8FJDYTW" hidden="1">#REF!</definedName>
    <definedName name="BExMDCWW3EVAPPBOT8DYS91UMDK9" hidden="1">#REF!</definedName>
    <definedName name="BExMDDII6R8JPVHP0RC6HXHL0TWV" hidden="1">Data #REF!</definedName>
    <definedName name="BExMDK9B2WNXC49XZS463FU6MXB0" hidden="1">Data #REF!</definedName>
    <definedName name="BExMDUQSY4J2T4LSMKH2FAU18497" hidden="1">#REF!</definedName>
    <definedName name="BExMDVHV4X8W8CZK93CDTMTY4STA" hidden="1">#REF!</definedName>
    <definedName name="BExMDZ3D7ZKARI5C1NFF93NTRIM9" hidden="1">#REF!</definedName>
    <definedName name="BExME1CCDU88YD1DJXQT8PITYNGF" hidden="1">#REF!</definedName>
    <definedName name="BExMEI9WCAPC7AZDUJ5RR94UTV5L" hidden="1">#REF!</definedName>
    <definedName name="BExMEKIQTBVED3N0MB42ZPM7JXPK" hidden="1">#REF!</definedName>
    <definedName name="BExMELVDSYFSVDSNLFMRCMDQUTRP" hidden="1">#REF!</definedName>
    <definedName name="BExMF5NAL5LG1DQP351ZI2YVQTVE" hidden="1">#REF!</definedName>
    <definedName name="BExMFDW435K3NSEAIHQPBS5MHI9W" hidden="1">Data #REF!</definedName>
    <definedName name="BExMFFE2DD2TU8FXNHT39DRL3F54" hidden="1">#REF!</definedName>
    <definedName name="BExMFODRX2DZJH5U3K98HX2EZYMS" hidden="1">#REF!</definedName>
    <definedName name="BExMFRZ6TJULVVW86UCASOIH7EXG" hidden="1">Data #REF!</definedName>
    <definedName name="BExMG2GUI4MLAZUSD6G9E4Y04VI4" hidden="1">#REF!</definedName>
    <definedName name="BExMGBR6CYT0UD61Z1XQ58NQ4G1Q" hidden="1">#REF!</definedName>
    <definedName name="BExMGF7CFMPBKQTR681EN0W1E7Y8" hidden="1">Data #REF!</definedName>
    <definedName name="BExMHG7S2HNM3DYEU7AM5TV4KGKZ" hidden="1">#REF!</definedName>
    <definedName name="BExMHPI9HIG2BNQ26W0QNIYTV1UC" hidden="1">#REF!</definedName>
    <definedName name="BExMHR5OGAQ36XVOY9XEY84J94A7" hidden="1">#REF!</definedName>
    <definedName name="BExMI6AHH9ZSG88TQ6GBO0W4MGGS" hidden="1">#REF!</definedName>
    <definedName name="BExMI8DYXFB62IB8F7ICVY5D6O38" hidden="1">#REF!</definedName>
    <definedName name="BExMIDS7NXT2PFW1MK9L6XAUXY3M" hidden="1">Data #REF!</definedName>
    <definedName name="BExMIVRM2LEM5L0DMEOSXCA8X3IU" hidden="1">#REF!</definedName>
    <definedName name="BExMJ33ULH1A33AWGLE1XW1JJW8J" hidden="1">#REF!</definedName>
    <definedName name="BExMK5M9SMMJPSVRTV3086Y7U4BK" hidden="1">#REF!</definedName>
    <definedName name="BExMK8BDCC0URQQG4XS4Q9602XZU" hidden="1">#REF!</definedName>
    <definedName name="BExMKII7TSQ17QL04YMNQT9P5WHZ" hidden="1">#REF!</definedName>
    <definedName name="BExMKUSL7OPQKI3KNMGC6DV6WDVU" hidden="1">#REF!</definedName>
    <definedName name="BExMKV3DUYEU0YPKA8NBH9461761" hidden="1">#REF!</definedName>
    <definedName name="BExML1DYDM03PTEYXTAYBY6XN7W8" hidden="1">#REF!</definedName>
    <definedName name="BExML7OJ6Q0K0XGHRL0LPG0A7O8Q" hidden="1">#REF!</definedName>
    <definedName name="BExMLYSXE3XZ63PVCXSXRNLPC4VT" hidden="1">#REF!</definedName>
    <definedName name="BExMM6W85X2N8YLC13EBAC8IZJME" hidden="1">#REF!</definedName>
    <definedName name="BExMMBJK9THI1GYJY1NBGQAU5RHH" hidden="1">#REF!</definedName>
    <definedName name="BExMMC54WGLGSMU1AIVTKB24AK6F" hidden="1">#REF!</definedName>
    <definedName name="BExMMQ81THXAZV8ZKIW2D6QAN2X5" hidden="1">#REF!</definedName>
    <definedName name="BExMMSH2RCZ4ZKY7NMGPK0OXQIAZ" hidden="1">#REF!</definedName>
    <definedName name="BExMNK1LVLAFXN68RHCBDP9ZU2OV" hidden="1">#REF!</definedName>
    <definedName name="BExMOAF17A7OW1MTTTIYN34MEZF0" hidden="1">Data #REF!</definedName>
    <definedName name="BExMOQ5F9MLBPEUUA2AGVFGICA8E" hidden="1">#REF!</definedName>
    <definedName name="BExMOWWA29OULN7D8VLMA2BEYGAI" hidden="1">#REF!</definedName>
    <definedName name="BExMOX726C39OEEFZAPYMNZ50PA5" hidden="1">#REF!</definedName>
    <definedName name="BExMPB4WM46A528PWGFGTWNUCUQY" hidden="1">#REF!</definedName>
    <definedName name="BExMPMIUSBJGX67XO7KQKXOJX64Q" hidden="1">#REF!</definedName>
    <definedName name="BExMPV2CBRANGD506V9UCFG5J76O" hidden="1">Data #REF!</definedName>
    <definedName name="BExMQVMHVVWIERVIQJSPI7F25W7R" hidden="1">#REF!</definedName>
    <definedName name="BExMR3KHGYDIYEPUUA38VVTZ2F5Z" hidden="1">#REF!</definedName>
    <definedName name="BExMRF9B8WFX5RBJS9S8DF3KR4RE" hidden="1">#REF!</definedName>
    <definedName name="BExMRQ1PX7UTT9S6OEUE1NZGGM4W" hidden="1">#REF!</definedName>
    <definedName name="BExMRRE6YD5V3OU7O001HX3XS451" hidden="1">Data #REF!</definedName>
    <definedName name="BExMT01TS77NGI02YO4WKHU4EC4P" hidden="1">#REF!</definedName>
    <definedName name="BExO5DJDRF3WXS4WJYYYBHD7WY8T" hidden="1">#REF!</definedName>
    <definedName name="BExO5XMAS996BN5ZONAAN3PJS8F0" hidden="1">#REF!</definedName>
    <definedName name="BExO5Y2ER6AXRYNP87DLEEWQ9IMV" hidden="1">#REF!</definedName>
    <definedName name="BExO6EP9FTAO0BJGRIONF5QHYJI7" hidden="1">#REF!</definedName>
    <definedName name="BExO70A5E465J5SWM6GETBFAQX5R" hidden="1">Data #REF!</definedName>
    <definedName name="BExO72DOVVJZCGLHF1FPDY1UE7S9" hidden="1">#REF!</definedName>
    <definedName name="BExO73KUCML6VJNOMPPJUOQ30N8W" hidden="1">#REF!</definedName>
    <definedName name="BExO74H7OGK4LLQ5Y0YUKU2IX1K9" hidden="1">#REF!</definedName>
    <definedName name="BExO77RWJK1NOFAXMFZ76EPZ6GJS" hidden="1">#REF!</definedName>
    <definedName name="BExO7NT1WY5O43PYK7C1MDL0R0OR" hidden="1">#REF!</definedName>
    <definedName name="BExO874X4N5Y5D3R2TZT6DQPSJ0I" hidden="1">#REF!</definedName>
    <definedName name="BExO8EBV7VNOZWROXIMBQIOPA854" hidden="1">#REF!</definedName>
    <definedName name="BExO8U2DD9Z7608XH6FA0VW0RH9B" hidden="1">#REF!</definedName>
    <definedName name="BExO8Z5PBRCJS8126XGF1PHX2621" hidden="1">#REF!</definedName>
    <definedName name="BExO93SZSK0KLPDDUNGN4WFATN7L" hidden="1">Data #REF!</definedName>
    <definedName name="BExO9AUHFQYKODC13ZO3Z58F4QVV" hidden="1">#REF!</definedName>
    <definedName name="BExO9GJGIBGEV7W9A23PMSKTM22M" hidden="1">#REF!</definedName>
    <definedName name="BExO9V84ECFWUZAS9YSED7UFX8HT" hidden="1">Data #REF!</definedName>
    <definedName name="BExOA2PWAGGSG3F24PQ9TQRQHIZ8" hidden="1">#REF!</definedName>
    <definedName name="BExOABET2U583KZHRYSI1EPVBQY7" hidden="1">Data #REF!</definedName>
    <definedName name="BExOAIAYOKBYFHONT0CGCS46XLGG" hidden="1">Data #REF!</definedName>
    <definedName name="BExOBHTG8OLL1KRFD4QC6CANTBTN" hidden="1">#REF!</definedName>
    <definedName name="BExOBMGR22H0F6AOEEDRFTMWQZZF" hidden="1">#REF!</definedName>
    <definedName name="BExOCE6QHNAG30BVYNMR1IYW6MOS" hidden="1">#REF!</definedName>
    <definedName name="BExOCFZHOIHO7QKFLGVFK58T0GGW" hidden="1">#REF!</definedName>
    <definedName name="BExOCLOHPV17RHGIS34FQ0DNT34F" hidden="1">#REF!</definedName>
    <definedName name="BExOCY45PKWS2P1MUE191NQ9FG3Y" hidden="1">#REF!</definedName>
    <definedName name="BExOCYEYZGSY2RB297XTI5Y60W4T" hidden="1">#REF!</definedName>
    <definedName name="BExOD07OVTH1VRV0BU2M90ZNDUVZ" hidden="1">#REF!</definedName>
    <definedName name="BExOD55TFQEKRMANMB40NXME4MHL" hidden="1">#REF!</definedName>
    <definedName name="BExOD7PEV85HFLCADO9IAP7EYMGW" hidden="1">#REF!</definedName>
    <definedName name="BExODGP4WN0DO8BMK9EP9E1EPW07" hidden="1">#REF!</definedName>
    <definedName name="BExOE6BJSOWGAV8MZ1TU9M7P1N2F" hidden="1">#REF!</definedName>
    <definedName name="BExOE6X5Z8HA6HBZSJ96T74XMH1L" hidden="1">#REF!</definedName>
    <definedName name="BExOEB46UL00RFUPGO8LS7A0SBBJ" hidden="1">#REF!</definedName>
    <definedName name="BExOEBKGPF48XQE2KNEKZ25Q50ON" hidden="1">#REF!</definedName>
    <definedName name="BExOEE9KF3L8BLGVGD95KZQGGZN7" hidden="1">#REF!</definedName>
    <definedName name="BExOEHV182Q0EECRTGOODA0YHWG2" hidden="1">Data #REF!</definedName>
    <definedName name="BExOEK3USW1NO9S9R0WRT0X50NJP" hidden="1">#REF!</definedName>
    <definedName name="BExOEQP91V0V4J2EQ329FH1AA71X" hidden="1">#REF!</definedName>
    <definedName name="BExOEXALWH8F4LY47LF5Z89KBT6F" hidden="1">#REF!</definedName>
    <definedName name="BExOF9VT55WD8LFLS7BX7SHVWGT8" hidden="1">#REF!</definedName>
    <definedName name="BExOFL9RQIMYKGJ36K62FD17K7XV" hidden="1">Data #REF!</definedName>
    <definedName name="BExOFWIBUVQC7PXYYCXSNZMQUD5U" hidden="1">#REF!</definedName>
    <definedName name="BExOFZT0E12DX6L1VZXPPHLBY5P7" hidden="1">Data #REF!</definedName>
    <definedName name="BExOG6ZYK930RAT5H2GPCETAV9PE" hidden="1">#REF!</definedName>
    <definedName name="BExOGF8KNA7QK1UNC4TH0K4CRLAQ" hidden="1">#REF!</definedName>
    <definedName name="BExOH0O59AQP0VGYRAK8XNAZRY20" hidden="1">Data #REF!</definedName>
    <definedName name="BExOH19KZFU48GLWY0ZDQX79SICC" hidden="1">#REF!</definedName>
    <definedName name="BExOH1KIPEAPVBGWVZ7EB9ES4D9P" hidden="1">#REF!</definedName>
    <definedName name="BExOH50HTB62X2RXZMKCWXZ7PG2B" hidden="1">#REF!</definedName>
    <definedName name="BExOH67MUP57XCH3CAXKWOE8IYUM" hidden="1">#REF!</definedName>
    <definedName name="BExOHBGE53Z5G5AGZMG559AOJ899" hidden="1">Data #REF!</definedName>
    <definedName name="BExOHG3PKOOB4AFLQRU2TY1GUSKG" hidden="1">#REF!</definedName>
    <definedName name="BExOHZVUYB900QGZ89CXRFVNP9N2" hidden="1">#REF!</definedName>
    <definedName name="BExOI4DNZ091VK0Y4ZZ1O312RZ1I" hidden="1">#REF!</definedName>
    <definedName name="BExOI6XAWWQRKKK9CITP4LHK5XCP" hidden="1">#REF!</definedName>
    <definedName name="BExOIE49E0H3T3FNPICNKKZ4F6W7" hidden="1">#REF!</definedName>
    <definedName name="BExOIE4A0MOJKGE13BL01Q2KEF94" hidden="1">#REF!</definedName>
    <definedName name="BExOIGILFMNE996UTZDVK2X99XTK" hidden="1">Data #REF!</definedName>
    <definedName name="BExOIJYRMCJBA0T4IPPR7L5VV8JP" hidden="1">#REF!</definedName>
    <definedName name="BExOJ0WB9A73XS5PZI4R4TZBNO09" hidden="1">#REF!</definedName>
    <definedName name="BExOJ28QYULWBP14Z7XPJ5YFXBQ4" hidden="1">#REF!</definedName>
    <definedName name="BExOJMMH7861IO0RZ2Q965QLHB9G" hidden="1">#REF!</definedName>
    <definedName name="BExOJPH117OLD9YQB34HMIFUXKIG" hidden="1">#REF!</definedName>
    <definedName name="BExOJRVBII06D6CXUYEXJK3755WV" hidden="1">#REF!</definedName>
    <definedName name="BExOJSRQNEPQN926PZYIX9H2TJWQ" hidden="1">#REF!</definedName>
    <definedName name="BExOK75GG1DBW5542V3ALXTIGK5J" hidden="1">#REF!</definedName>
    <definedName name="BExOK8I3TJ85PP0PBNY00489GT75" hidden="1">#REF!</definedName>
    <definedName name="BExOKBCNNQEU3EHPHH8URDEI30RM" hidden="1">#REF!</definedName>
    <definedName name="BExOKDWBIX55U41ZKKAHGDRTAQZZ" hidden="1">#REF!</definedName>
    <definedName name="BExOKE1MEKELB939C3BYNQ0RC55Q" hidden="1">#REF!</definedName>
    <definedName name="BExOKLJCO7ROIOUN8IHOWBB740TL" hidden="1">#REF!</definedName>
    <definedName name="BExOKZBO4MPC4RNK2AL15DS3IF47" hidden="1">Data #REF!</definedName>
    <definedName name="BExOLAKEJF7Z3P3TGPTORPZRBMZL" hidden="1">#REF!</definedName>
    <definedName name="BExOLE5VEJ67671EWDTS14KRKNVS" hidden="1">Data #REF!</definedName>
    <definedName name="BExOM3HHDPNW4KY44ANKVYI6M829" hidden="1">#REF!</definedName>
    <definedName name="BExOM3HI3YHY87PUWD0OCTCOVH6D" hidden="1">#REF!</definedName>
    <definedName name="BExOMDOCRTMOP4ZP1TCKX9SCNGN4" hidden="1">Data #REF!</definedName>
    <definedName name="BExOMPYPHDY8IZBJZIWCCTN6F07D" hidden="1">#REF!</definedName>
    <definedName name="BExON6QXHD5GJUQ5SCK6EVQMFJU5" hidden="1">#REF!</definedName>
    <definedName name="BExONACEZ3CM02E3LXDSSNMHF566" hidden="1">Data #REF!</definedName>
    <definedName name="BExONCQK60DWWH5SD08SKK4DGVFT" hidden="1">#REF!</definedName>
    <definedName name="BExONDC5VP555DZYPHUTLLVRLWRG" hidden="1">#REF!</definedName>
    <definedName name="BExONDSEA1O2W9FXR2V03D20313F" hidden="1">#REF!</definedName>
    <definedName name="BExONFQGYBMDI9OXQ4W256VGIWAZ" hidden="1">#REF!</definedName>
    <definedName name="BExONWIPZFDKBO5Y99BLLNZ8M9ZA" hidden="1">Data #REF!</definedName>
    <definedName name="BExOOI3JP2RDPFI2NZ9RHEIP3OKE" hidden="1">#REF!</definedName>
    <definedName name="BExOON1OILBSTY05RKNY773ES7PV" hidden="1">Data #REF!</definedName>
    <definedName name="BExOOQN4XWV92B1LBDB1RKXMMIEP" hidden="1">#REF!</definedName>
    <definedName name="BExQ1TR3MKL2ZW20WGJLKTG6QX9M" hidden="1">#REF!</definedName>
    <definedName name="BExQ2EFMABMK23J8XKTQE9B1MUI1" hidden="1">Data #REF!</definedName>
    <definedName name="BExQ2MTOTLZ5BATCVBTG27X724Y9" hidden="1">#REF!</definedName>
    <definedName name="BExQ2QQ06ZKEPG1LSSG6RV1P1C1P" hidden="1">Data #REF!</definedName>
    <definedName name="BExQ2W472AG67NVBHAYT7W9T35QU" hidden="1">Data #REF!</definedName>
    <definedName name="BExQ353U8N7R8E6XWZ4OPJC2YKZ7" hidden="1">#REF!</definedName>
    <definedName name="BExQ35US2CZ5KI84E0YHCQL1H9OR" hidden="1">#REF!</definedName>
    <definedName name="BExQ3JHS3POUZ0OHIU6PU7HXK97S" hidden="1">#REF!</definedName>
    <definedName name="BExQ3SS2CATJXCRO58NH32W23BQE" hidden="1">#REF!</definedName>
    <definedName name="BExQ3U4Q5SRRVYEKWMOAXLI9LF3M" hidden="1">#REF!</definedName>
    <definedName name="BExQ42Z3DKY7CS181GHVEVCX771K" hidden="1">#REF!</definedName>
    <definedName name="BExQ4SQUNOTDMLFS3UEQ8YQ8O5AO" hidden="1">Data #REF!</definedName>
    <definedName name="BExQ50ZMIL2O4ZLNW0965UWPEYTT" hidden="1">Data #REF!</definedName>
    <definedName name="BExQ538GT7SYIZ17CIDIU4CGX0IL" hidden="1">#REF!</definedName>
    <definedName name="BExQ58MONAQK3M30Z8PUZBC6IEMC" hidden="1">#REF!</definedName>
    <definedName name="BExQ5AA4L2RNZ0JZUPDJYYVQ4G68" hidden="1">#REF!</definedName>
    <definedName name="BExQ5DA12I8OQVNSLO1J9HKGW1LR" hidden="1">#REF!</definedName>
    <definedName name="BExQ5NGOVVYCGAJ865VE4O9222OR" hidden="1">#REF!</definedName>
    <definedName name="BExQ5ZAZMNIJU7BBNN1TT0RK18AD" hidden="1">#REF!</definedName>
    <definedName name="BExQ60SXI4ZQPH0JEOZAMFUY8DIQ" hidden="1">#REF!</definedName>
    <definedName name="BExQ64P7EDX7DBSOP9TUF4ANL97Q" hidden="1">#REF!</definedName>
    <definedName name="BExQ760GCMLAC9FQ9E16KSFRNELU" hidden="1">#REF!</definedName>
    <definedName name="BExQ77NO98VEUR5T8MP0LNWNK5Q2" hidden="1">#REF!</definedName>
    <definedName name="BExQ7F044YJNCNQIUEEN6H22W61M" hidden="1">#REF!</definedName>
    <definedName name="BExQ7FAX5O5XO1N0N67231YXOSTV" hidden="1">#REF!</definedName>
    <definedName name="BExQ7VHJXO6J9W88BRM8VMQZMRL6" hidden="1">#REF!</definedName>
    <definedName name="BExQ7YBZ277ERPG0VDW5XMDETUAJ" hidden="1">Data #REF!</definedName>
    <definedName name="BExQ89F6NLMMHJ2PHS9CWECW6273" hidden="1">#REF!</definedName>
    <definedName name="BExQ8F9NQ460R3WXUXXU3PUOU0Z3" hidden="1">#REF!</definedName>
    <definedName name="BExQ8QCQSGIZVY29P22MZ0HM961T" hidden="1">#REF!</definedName>
    <definedName name="BExQ8REKC83WTKGZTVUNY34FAA17" hidden="1">Data #REF!</definedName>
    <definedName name="BExQ8VWE8XBQCMI8QAMMMMEVEZ4Q" hidden="1">#REF!</definedName>
    <definedName name="BExQ8W75QL6F5R7G2YD9E8MS8ULD" hidden="1">#REF!</definedName>
    <definedName name="BExQ8XECWKQIDIT5FMEDIW2JD0T0" hidden="1">#REF!</definedName>
    <definedName name="BExQ9DFHNKAGE3JM2CJ3G8VSWCP8" hidden="1">Data #REF!</definedName>
    <definedName name="BExQ9UTB2K8RW96FOHU506DLCRNR" hidden="1">Data #REF!</definedName>
    <definedName name="BExQ9Z0CT27GBWZP26OHQY5QKTG9" hidden="1">#REF!</definedName>
    <definedName name="BExQ9Z5NQU9LD97XWIF8HHO79PIX" hidden="1">#REF!</definedName>
    <definedName name="BExQACCFWMEGCE7KZX3H69FJVFNN" hidden="1">#REF!</definedName>
    <definedName name="BExQADZV6PTSA7N5VKT9MJKTTV9G" hidden="1">#REF!</definedName>
    <definedName name="BExQAELFO0VLRMMZIP9BAII3XNIH" hidden="1">#REF!</definedName>
    <definedName name="BExQAG8P8DY86BKHGNO1NRRQ5I1A" hidden="1">#REF!</definedName>
    <definedName name="BExQAJ3AH5MT3EA1DTGUPA3YQFVN" hidden="1">#REF!</definedName>
    <definedName name="BExQAKL88L6SPOCP578KMPPS622X" hidden="1">#REF!</definedName>
    <definedName name="BExQAO17UMXQBNNYHF18L3IXLGNO" hidden="1">Data #REF!</definedName>
    <definedName name="BExQBGYDBNX95OGZEQHJPIJDZIDO" hidden="1">#REF!</definedName>
    <definedName name="BExQC3L1UQOWB4FV9G18BH3G4I4J" hidden="1">#REF!</definedName>
    <definedName name="BExQC3VUBLXS1L1I5597B0FXRXOQ" hidden="1">Data #REF!</definedName>
    <definedName name="BExQCA0Y1MTMTYXG3KQJQ6XF6E7O" hidden="1">Data #REF!</definedName>
    <definedName name="BExQCJ63TWTN3XEYS85DVDRP1ZSJ" hidden="1">#REF!</definedName>
    <definedName name="BExQCJM8KS345DIYFRZO3IAOKJLR" hidden="1">Data #REF!</definedName>
    <definedName name="BExQCU3UTIBJ1BLTXLHO3IZYSJOM" hidden="1">Data #REF!</definedName>
    <definedName name="BExQCZI20RDR03T6EL3IMFYSMPUJ" hidden="1">#REF!</definedName>
    <definedName name="BExQD2765DJ97RO9SUWSWNF14O3Y" hidden="1">#REF!</definedName>
    <definedName name="BExQDDAD5FUX7W27CVWQWZ19YFJ1" hidden="1">#REF!</definedName>
    <definedName name="BExQDYPR657NP1TUVGL41C43YHNB" hidden="1">Data #REF!</definedName>
    <definedName name="BExQE7EOPMF7RVYPRIWVMBEOGI9N" hidden="1">#REF!</definedName>
    <definedName name="BExQEEG4KLAYUW6XMD5XGN2MG2VZ" hidden="1">#REF!</definedName>
    <definedName name="BExQELCBAFILN0TNCQRMUVZMTXHE" hidden="1">#REF!</definedName>
    <definedName name="BExQETL3FZTU8GXY7VXODVSK0F7E" hidden="1">#REF!</definedName>
    <definedName name="BExQEZQ833C1OHJS4R7UZLDF3276" hidden="1">Data #REF!</definedName>
    <definedName name="BExQFH9H49FDJJXFIJWKQF8QXU2U" hidden="1">#REF!</definedName>
    <definedName name="BExQFILZ7LO743YV2WWRDLUI6VUV" hidden="1">#REF!</definedName>
    <definedName name="BExQFR01B3LURDCYTICZI23CXL1I" hidden="1">Data #REF!</definedName>
    <definedName name="BExQFRGCCTOQZVNNXNN5PGJ8ONBJ" hidden="1">#REF!</definedName>
    <definedName name="BExQGBJ3Q2AE2Z1HB8FZCQ5OPE96" hidden="1">#REF!</definedName>
    <definedName name="BExQGX98NIQROEL860WE617FOM29" hidden="1">Data #REF!</definedName>
    <definedName name="BExQHEN28HSASZ3WT29DV76LDPSF" hidden="1">#REF!</definedName>
    <definedName name="BExQHMQECQKUX8YAVJTT1YZ8CVTJ" hidden="1">#REF!</definedName>
    <definedName name="BExQHZH15GK8DZFDQOY35B2Y8ZME" hidden="1">#REF!</definedName>
    <definedName name="BExQI444Y6788NICTY2IB1MLTCDI" hidden="1">#REF!</definedName>
    <definedName name="BExQIM8TRM780IXRXYZFDY9DNFRX" hidden="1">#REF!</definedName>
    <definedName name="BExQIMJN00DB5U7CTUL8HRDR6OFR" hidden="1">#REF!</definedName>
    <definedName name="BExQION5RYAVU36H26T5HLKKS5QT" hidden="1">#REF!</definedName>
    <definedName name="BExQIQFWPUVDF3PIYWSGH05JGALR" hidden="1">#REF!</definedName>
    <definedName name="BExQISZPD2A4UJWJM22FJS8UQ01Z" hidden="1">#REF!</definedName>
    <definedName name="BExQJ0BZ9FYJDDCBB9S14YDPAZQT" hidden="1">#REF!</definedName>
    <definedName name="BExQJ0XK9YCLQQNJ84GC6CS23LCU" hidden="1">#REF!</definedName>
    <definedName name="BExQJ2A64EFPYDYPCSH6AIDCIYQ5" hidden="1">#REF!</definedName>
    <definedName name="BExQJ96CZSEGX1WL3UO3J4JNVF1H" hidden="1">#REF!</definedName>
    <definedName name="BExQJXR4DYVYYGVXUVH8TXNVDACR" hidden="1">Data #REF!</definedName>
    <definedName name="BExQKFL0XDFBQ97DMXZIQN0QDN5C" hidden="1">Data #REF!</definedName>
    <definedName name="BExQKGHCB0861Z9TOA2SU7ZGEUZ8" hidden="1">#REF!</definedName>
    <definedName name="BExQKO9WDJ4G4JJV2I4IU3GJ1KCB" hidden="1">Data #REF!</definedName>
    <definedName name="BExQKWNYX14S8OYX3FRKEY1RVYOG" hidden="1">#REF!</definedName>
    <definedName name="BExRYS8ZXGGNQQYU69P108ULPE5A" hidden="1">#REF!</definedName>
    <definedName name="BExRZATYV4LN3KY1RH9PW25AEL3R" hidden="1">#REF!</definedName>
    <definedName name="BExRZQ47SY3UJQX3IYX2YBMBRTGY" hidden="1">#REF!</definedName>
    <definedName name="BExRZRM64FO9S9HWEFUXVJANWKX7" hidden="1">#REF!</definedName>
    <definedName name="BExS06AV8MP9GDM2C3NXJ4FUQ0RI" hidden="1">#REF!</definedName>
    <definedName name="BExS0GXTAI582FIYKH0NOXTO36RB" hidden="1">#REF!</definedName>
    <definedName name="BExS0VXAGUF3AVIBIEEMHMEGABFJ" hidden="1">#REF!</definedName>
    <definedName name="BExS19PMLDCIN7686Z3RIMT237VR" hidden="1">#REF!</definedName>
    <definedName name="BExS1NHYGPZEWPIA6FCYHC32XGKH" hidden="1">#REF!</definedName>
    <definedName name="BExS1QN4LUCVOMNF3SXIIVFM4DMO" hidden="1">#REF!</definedName>
    <definedName name="BExS1UOWMAZ3HTARQX5LJSVVBFVG" hidden="1">#REF!</definedName>
    <definedName name="BExS1WHNE0RBI9DO9UJDFXA5J5NT" hidden="1">#REF!</definedName>
    <definedName name="BExS29TPNHVX4PZ7BBBMYLD9QYZQ" hidden="1">#REF!</definedName>
    <definedName name="BExS2EBK95SX65B0SQCPZP9QNA0C" hidden="1">Data #REF!</definedName>
    <definedName name="BExS2Q0B7YWN5RTS7PYAGPVO93YJ" hidden="1">#REF!</definedName>
    <definedName name="BExS2XCLOTYUM5ZJSK0X2P192AV1" hidden="1">#REF!</definedName>
    <definedName name="BExS3077HNPF7BLB5OV991MI4LJD" hidden="1">#REF!</definedName>
    <definedName name="BExS3FXK0B8WUCULWGC2TUY29LPJ" hidden="1">Data #REF!</definedName>
    <definedName name="BExS3GZ9NUN511VB2X6P24739NX7" hidden="1">#REF!</definedName>
    <definedName name="BExS3IHC9FP2WQMPODYHJXWJJATF" hidden="1">Data #REF!</definedName>
    <definedName name="BExS3MDM3Z7YIKWZI4I3MFJEVQ5Y" hidden="1">#REF!</definedName>
    <definedName name="BExS3NFBVZWVO6X3XMTKQ83XK4GG" hidden="1">#REF!</definedName>
    <definedName name="BExS47SZZ4UUU55830BDGPRDNU15" hidden="1">#REF!</definedName>
    <definedName name="BExS49R2H0C8IEC6ZSW3YHVDEM1Z" hidden="1">Data #REF!</definedName>
    <definedName name="BExS5DWUX2NK28BK0ZAH2SSIRDVF" hidden="1">#REF!</definedName>
    <definedName name="BExS5DWVFULO52A6QQI1XJ63B078" hidden="1">#REF!</definedName>
    <definedName name="BExS5SLJZZLIO8XGJ6Z2HM2TW3UV" hidden="1">#REF!</definedName>
    <definedName name="BExS5Z6YAGDBYU4FKWSD4DE0O6UM" hidden="1">#REF!</definedName>
    <definedName name="BExS69TVFOKW78TQOCMUXP8OB71Z" hidden="1">#REF!</definedName>
    <definedName name="BExS6FZ695HVZWHXGML60CIORKL3" hidden="1">#REF!</definedName>
    <definedName name="BExS6KBJOQREZFH8K2BYSTN2EBOI" hidden="1">#REF!</definedName>
    <definedName name="BExS6TGHHKHTIL9RM2ZYT8ZD3Q85" hidden="1">Data #REF!</definedName>
    <definedName name="BExS6V3XFK72ZDGQC6XDXL8CRRJA" hidden="1">#REF!</definedName>
    <definedName name="BExS6ZB11WU16GGNUSQW4E43Q8IZ" hidden="1">#REF!</definedName>
    <definedName name="BExS70YFJ79GCEBXH346318VHNH0" hidden="1">#REF!</definedName>
    <definedName name="BExS7O6F1OJBTOBRXSFLXWS5C6HG" hidden="1">#REF!</definedName>
    <definedName name="BExS7R0ZSIZZ3AHQ0Z7CEI2XWSCA" hidden="1">#REF!</definedName>
    <definedName name="BExS80GR64E21ENRPINV50KAHRMX" hidden="1">#REF!</definedName>
    <definedName name="BExS8CB0OXL0ONF9NQG99D052IQ5" hidden="1">#REF!</definedName>
    <definedName name="BExS8RQL801ZICACWCFPA3L44P5T" hidden="1">#REF!</definedName>
    <definedName name="BExS8YMS53GZZGDUDDS95MNPFC8R" hidden="1">#REF!</definedName>
    <definedName name="BExS9FPTL5CZKYRP0BDNVC7YDJAS" hidden="1">#REF!</definedName>
    <definedName name="BExS9R3TRWDFUPPG5MVR0FBJFJQM" hidden="1">Data #REF!</definedName>
    <definedName name="BExS9X3LXBBNFUOYIMRJKD0LXONK" hidden="1">#REF!</definedName>
    <definedName name="BExSADKZSW6Y7PXWWEHQT9RGDT0Q" hidden="1">Data #REF!</definedName>
    <definedName name="BExSANX6ZXO1F7PP2TY35ZA994K8" hidden="1">#REF!</definedName>
    <definedName name="BExSAS48GU0TGRE4BNW0ENECETGU" hidden="1">#REF!</definedName>
    <definedName name="BExSAT0KJ7T6MPMYQU951DCHAMAE" hidden="1">#REF!</definedName>
    <definedName name="BExSAV44B7X3FYILRS4F2ZMH3JW8" hidden="1">#REF!</definedName>
    <definedName name="BExSB5063PHB732OS2LWXLGTUU14" hidden="1">#REF!</definedName>
    <definedName name="BExSB506JX9O3G58WSUBOX24CU8B" hidden="1">Data #REF!</definedName>
    <definedName name="BExSB9Y4YYH6P4TQN83W631DZTFN" hidden="1">Data #REF!</definedName>
    <definedName name="BExSBA8X01BX2S7ZQTCSMYYOX0EZ" hidden="1">#REF!</definedName>
    <definedName name="BExSBU12RJ7ET746VGZPJ9WE1Y2V" hidden="1">#REF!</definedName>
    <definedName name="BExSC6RJHIATJZ8Q3O4U1LXL8JZ7" hidden="1">#REF!</definedName>
    <definedName name="BExSCF5T5B3OEA5D7055UA6GB753" hidden="1">#REF!</definedName>
    <definedName name="BExSCGI9JMIGSCW24ZLBEU2I016W" hidden="1">#REF!</definedName>
    <definedName name="BExSCGIB219DGN4VQYPIMQ5NLD34" hidden="1">Data #REF!</definedName>
    <definedName name="BExSD235IZTR1HUQDJXTQJIAIYEB" hidden="1">#REF!</definedName>
    <definedName name="BExSD4BZT77T4M9PQOSL03BT3JZ4" hidden="1">#REF!</definedName>
    <definedName name="BExSDDX8ESFNZDEQWW5HPXDXGAW1" hidden="1">#REF!</definedName>
    <definedName name="BExSDHDECC02DPT6FATZB3IM804L" hidden="1">#REF!</definedName>
    <definedName name="BExSDHYZ9FGZJT4MDKOMKHIP2D52" hidden="1">Data #REF!</definedName>
    <definedName name="BExSDMM3GNGLXF40UDRRZ3124G42" hidden="1">#REF!</definedName>
    <definedName name="BExSDPGKJSZJ8ZLLTLAMWVHP4UIK" hidden="1">Data #REF!</definedName>
    <definedName name="BExSDZSUO2XS94YSK4UKTL3IBILG" hidden="1">Data #REF!</definedName>
    <definedName name="BExSE3JUTV4C396D0DPD2RBS0813" hidden="1">#REF!</definedName>
    <definedName name="BExSE6JQBVHYDAV9TJJJ2S8XW4KM" hidden="1">#REF!</definedName>
    <definedName name="BExSEKHDBEMPMCDJYLWN3RM703FB" hidden="1">#REF!</definedName>
    <definedName name="BExSEOIXQA8OPYH3B8MFRFIOQ91D" hidden="1">#REF!</definedName>
    <definedName name="BExSEV4AQ0SWEDUA4U4MZWZZGLPQ" hidden="1">#REF!</definedName>
    <definedName name="BExSF440DCOR6B6IB1EHTPKQJP8M" hidden="1">#REF!</definedName>
    <definedName name="BExSFJP1WB1RV0EEVNB3HJLBPK2R" hidden="1">#REF!</definedName>
    <definedName name="BExSFOC6WBZW4KYIJ4DBTTFCM679" hidden="1">#REF!</definedName>
    <definedName name="BExSGDTD025XFY9AG4WK2U9W6NHO" hidden="1">#REF!</definedName>
    <definedName name="BExSGOWKTS5UVHSJNNBW2XJ623HU" hidden="1">#REF!</definedName>
    <definedName name="BExSH1SIPEL054D8ST41AG0YIFHR" hidden="1">#REF!</definedName>
    <definedName name="BExTTUKBNAOBSUT8V1CCX5526ZRG" hidden="1">#REF!</definedName>
    <definedName name="BExTUNMXVOB5QUE4FNORDZ2CHVYR" hidden="1">Data #REF!</definedName>
    <definedName name="BExTUQXMK5PZCUG2L743RIDLX500" hidden="1">#REF!</definedName>
    <definedName name="BExTVD41AQTVYVNWOI3C7GQZC22F" hidden="1">#REF!</definedName>
    <definedName name="BExTVNLOFWMRZUY1AJHU0RGXVC9O" hidden="1">#REF!</definedName>
    <definedName name="BExTVR770OGIBXWHM0E0QPQULNLC" hidden="1">Data #REF!</definedName>
    <definedName name="BExTVRHYLYWSPZM8Y5KGOK803OS6" hidden="1">#REF!</definedName>
    <definedName name="BExTVTFZZIN7UDUBXQR3OESCHRBX" hidden="1">#REF!</definedName>
    <definedName name="BExTW01DNSJG5SQ36YM2ZR5VI2I1" hidden="1">#REF!</definedName>
    <definedName name="BExTWG2IP0S50TTZ3Z3Q8HG2VID9" hidden="1">Data #REF!</definedName>
    <definedName name="BExTWM2BI4C4P0QX9A5VJ712QKL8" hidden="1">#REF!</definedName>
    <definedName name="BExTWMILXNJOGKN11FS3HRNFI47B" hidden="1">#REF!</definedName>
    <definedName name="BExTWOGMHBVST8TK7ZXVF7TBY5TK" hidden="1">#REF!</definedName>
    <definedName name="BExTXE8JX6594VEOVPQ2WOVTWVFE" hidden="1">Data #REF!</definedName>
    <definedName name="BExTXGSCRF2K7IAU4GTI4DAX01KD" hidden="1">#REF!</definedName>
    <definedName name="BExTXIQEJOR8GN814JN6XALF35DG" hidden="1">#REF!</definedName>
    <definedName name="BExTXQODZMXLBYU0VC5NL18RJ2U7" hidden="1">#REF!</definedName>
    <definedName name="BExTXTDCYSGJFFV8JUNTF1YNB5NG" hidden="1">#REF!</definedName>
    <definedName name="BExTY87JV90JB0ER07OJA15DBBN4" hidden="1">Data #REF!</definedName>
    <definedName name="BExTYD05ZN609YGYU11DDWU9W4QH" hidden="1">#REF!</definedName>
    <definedName name="BExTYOU92OVZZ1GCJHSAV7ZZ8YQA" hidden="1">#REF!</definedName>
    <definedName name="BExTYP51647Z6FH13KL338JRDHIC" hidden="1">#REF!</definedName>
    <definedName name="BExTYVVX15Z4ELTPJJG1XVX267DI" hidden="1">#REF!</definedName>
    <definedName name="BExTZU78OYH0A83LB2PLCAYFA26E" hidden="1">Data #REF!</definedName>
    <definedName name="BExU0HVM3U3Y3Y12W83KYE6IZRNO" hidden="1">#REF!</definedName>
    <definedName name="BExU0TPQKT94R1KPX6R2DLW9PODX" hidden="1">Data #REF!</definedName>
    <definedName name="BExU0U0HV09OUSIKBTPKF4973Z9Q" hidden="1">#REF!</definedName>
    <definedName name="BExU18ZZEKS2Z3KM9IMBX0RRSRGC" hidden="1">#REF!</definedName>
    <definedName name="BExU19QVIEY9JVCTJWMF8ZK68R0L" hidden="1">#REF!</definedName>
    <definedName name="BExU1G6XSHBTKUQG0EGO64KNCLUK" hidden="1">#REF!</definedName>
    <definedName name="BExU1JC5T0Y2P65J98KPMYTNLJDK" hidden="1">#REF!</definedName>
    <definedName name="BExU209UGQA8RD90G6F6PUZWTYJF" hidden="1">#REF!</definedName>
    <definedName name="BExU2BNQQM2L66LJK6W2ZCAMBLN0" hidden="1">#REF!</definedName>
    <definedName name="BExU2K1TU64C58S91331X8SP51JT" hidden="1">#REF!</definedName>
    <definedName name="BExU2NY9CY6YDL3SXUG1OKG1KW4T" hidden="1">#REF!</definedName>
    <definedName name="BExU34A26FWS8HW26DZWIGHLAEI2" hidden="1">#REF!</definedName>
    <definedName name="BExU3ITDNK8KNYH3K3JRVSLPWRK3" hidden="1">Data #REF!</definedName>
    <definedName name="BExU3MEV5PR8FXNCFZQHC5VNOE43" hidden="1">#REF!</definedName>
    <definedName name="BExU418W8LPMG5YE747Y4TRA527Y" hidden="1">#REF!</definedName>
    <definedName name="BExU43HVO9PNZRX4NC3OMM9EG8HC" hidden="1">#REF!</definedName>
    <definedName name="BExU4EQEBI6CPH5Q593AA2MP3LF9" hidden="1">#REF!</definedName>
    <definedName name="BExU583SAAKRNJYA9QMEC5KFKACK" hidden="1">Data #REF!</definedName>
    <definedName name="BExU5NE3AKST60KO2HA4G6G1QC2T" hidden="1">#REF!</definedName>
    <definedName name="BExU5UL15HPLSLWPD9ACDIKFY8WI" hidden="1">#REF!</definedName>
    <definedName name="BExU682E6K4YS7MQPW89IL67P7AW" hidden="1">#REF!</definedName>
    <definedName name="BExU6HT5XP8G2323FN6MN3890E1A" hidden="1">#REF!</definedName>
    <definedName name="BExU6U8VITCUURB8WPBAEDY0KXUX" hidden="1">#REF!</definedName>
    <definedName name="BExU6VQSB1HQL22VJVWGRAUPF0ER" hidden="1">#REF!</definedName>
    <definedName name="BExU75MTHZ8TORVOUI0EAOG99YKY" hidden="1">#REF!</definedName>
    <definedName name="BExU78BY30UQQXUGV92HRKKVQ9AS" hidden="1">#REF!</definedName>
    <definedName name="BExU7K0R4AQO646YB4KLJSVW95MY" hidden="1">#REF!</definedName>
    <definedName name="BExU7MPV3KVLMA8TJFOY4RFSFL3H" hidden="1">#REF!</definedName>
    <definedName name="BExU7OTDX88QL7ZJC44LZYVOTQRS" hidden="1">#REF!</definedName>
    <definedName name="BExU8BFXAF0QC1UGNHTEUT9XII03" hidden="1">#REF!</definedName>
    <definedName name="BExU8J8G2FG0C1UFOUZKRGIGEYVV" hidden="1">#REF!</definedName>
    <definedName name="BExU8LS884YMRNLDOYHSZVNM59FA" hidden="1">#REF!</definedName>
    <definedName name="BExU8R0ZUPLZCU8TP6Q8E2Q69RCL" hidden="1">#REF!</definedName>
    <definedName name="BExU8RMKNJI72P9NWR8UIX9ERWTV" hidden="1">#REF!</definedName>
    <definedName name="BExU95KCALZS8E376KVAPWM3KR1V" hidden="1">#REF!</definedName>
    <definedName name="BExU9KECXA69LDPCGDSUONI330KP" hidden="1">#REF!</definedName>
    <definedName name="BExU9ZONB5VR2FJPJK5IVCMWEFZL" hidden="1">#REF!</definedName>
    <definedName name="BExUAP5LRT9QUDBKM5JW05OIMGS5" hidden="1">#REF!</definedName>
    <definedName name="BExUAVLNK63AGI705ND66KY5BP22" hidden="1">#REF!</definedName>
    <definedName name="BExUBGVQ1YZPIWY0EQTP1GQTCFVC" hidden="1">#REF!</definedName>
    <definedName name="BExUBMQ1KAWIAFAFW4T1DGNIVVOO" hidden="1">Data #REF!</definedName>
    <definedName name="BExUBT63HS20IMDQ7VVY779USCL9" hidden="1">#REF!</definedName>
    <definedName name="BExUCA940JPZXW1141LFPDSGS09D" hidden="1">#REF!</definedName>
    <definedName name="BExUCD3JMKLBD8XU5FD8GB2Q7ZDM" hidden="1">#REF!</definedName>
    <definedName name="BExUCKLAXK5RRQQNGXCIWO7WI3WL" hidden="1">#REF!</definedName>
    <definedName name="BExUCOC3DX3ZF34MTK3SIO4BSTMR" hidden="1">#REF!</definedName>
    <definedName name="BExUCZF9H4JHVO384NHK7VGVHNKM" hidden="1">Data #REF!</definedName>
    <definedName name="BExUDIWLOA3EN0133I055GP0F2XB" hidden="1">#REF!</definedName>
    <definedName name="BExUDM7ADTVZ5ND0Q9MA6BVPY1DR" hidden="1">#REF!</definedName>
    <definedName name="BExUDXQRM6907WJQRZK7U93TRS59" hidden="1">#REF!</definedName>
    <definedName name="BExUEBDM6YXVMJ6N5VQRTJHX5I9D" hidden="1">#REF!</definedName>
    <definedName name="BExUEKYWJI3URL8K9BSUGQC4TQPH" hidden="1">Data #REF!</definedName>
    <definedName name="BExVPOLMTCSUMUB59RFMQIRTF86H" hidden="1">#REF!</definedName>
    <definedName name="BExVSJPABUQ2E7EJ4Y7LG2GCWF2O" hidden="1">#REF!</definedName>
    <definedName name="BExVSX6N467AU2CIBN82SEBGNWJ3" hidden="1">#REF!</definedName>
    <definedName name="BExVSXMWAGZMBK669LHQUD5F2VSC" hidden="1">Data #REF!</definedName>
    <definedName name="BExVSYZCPN4B9K4JJ8HFP77IZTYR" hidden="1">#REF!</definedName>
    <definedName name="BExVTDD9LAGMZNPJNKGZ4SBA1AA5" hidden="1">#REF!</definedName>
    <definedName name="BExVTHKBC0594DKV2104DR8PA4VM" hidden="1">#REF!</definedName>
    <definedName name="BExVTRB2GJ0LF4V6YTWPMZJJPK02" hidden="1">#REF!</definedName>
    <definedName name="BExVTTELFQ3YIRXWWYSAP81VXVJ7" hidden="1">#REF!</definedName>
    <definedName name="BExVTZUGYPWO6BFHU7B6C4Y9K3NM" hidden="1">#REF!</definedName>
    <definedName name="BExVUFQCS1Q09LOPHA50GK2CKYNC" hidden="1">#REF!</definedName>
    <definedName name="BExVUGH8V8SXNLN60D6MPGC2QEYS" hidden="1">#REF!</definedName>
    <definedName name="BExVUP0TYQWEBQ2HAHQUFXF8C0C2" hidden="1">#REF!</definedName>
    <definedName name="BExVUV0LVEX0I4ZGAM9WYFNNFYS6" hidden="1">#REF!</definedName>
    <definedName name="BExVWFIEZXYJJSAB6LPI1DQYXKMH" hidden="1">#REF!</definedName>
    <definedName name="BExVWPUKDH9FQVPM8ZIC3215EIZT" hidden="1">#REF!</definedName>
    <definedName name="BExVX5FLXI1FE2JH3FBCJ56AW1DR" hidden="1">#REF!</definedName>
    <definedName name="BExVXG2L2MT7IRHSRNJ2QZ6LD0DT" hidden="1">#REF!</definedName>
    <definedName name="BExVXGDCGVRYKKSTU16P9FTSZZUT" hidden="1">#REF!</definedName>
    <definedName name="BExVXOGOW0BIF4NZN4HBD7XM8WIM" hidden="1">#REF!</definedName>
    <definedName name="BExVXPD71KEB9MG2SU8PL58ZZJEO" hidden="1">Data #REF!</definedName>
    <definedName name="BExVXU0D7MJRE7L1QWU00X9NROPS" hidden="1">Data #REF!</definedName>
    <definedName name="BExVY53EC76JQKPNVPFDBYJUJSG6" hidden="1">#REF!</definedName>
    <definedName name="BExVYFAA8VDDZDYLKOOP4JHWGKMM" hidden="1">#REF!</definedName>
    <definedName name="BExVYG6M94ETJCJEEBI51AOXE1KO" hidden="1">#REF!</definedName>
    <definedName name="BExVYJ18WO8L5796F5GUPWRRWZ5O" hidden="1">Data #REF!</definedName>
    <definedName name="BExVYJMT8N8CJPFD16BSVO0AAHAO" hidden="1">#REF!</definedName>
    <definedName name="BExVYKTZ9O08XOJDV4NW2MHNHXV4" hidden="1">#REF!</definedName>
    <definedName name="BExVYW7XZ2Q48ZXMAJAFFEIYVJYZ" hidden="1">#REF!</definedName>
    <definedName name="BExVZ2NUOJ4MF7VN72W8SLGKF98M" hidden="1">Data #REF!</definedName>
    <definedName name="BExVZOJI25E8U9LREJJFLP7JYRSP" hidden="1">Data #REF!</definedName>
    <definedName name="BExW0A4CVWV3OQEUZDHIW4CVHNHQ" hidden="1">Data #REF!</definedName>
    <definedName name="BExW0RI6AP4W8AARC56BGUNOIOG3" hidden="1">#REF!</definedName>
    <definedName name="BExW0VP6NWQB7MFWSK0Q53S45RZ3" hidden="1">#REF!</definedName>
    <definedName name="BExW1UM3ZOL6L2YGF40P75HY6JVF" hidden="1">#REF!</definedName>
    <definedName name="BExW1YIE3M1J47O82B8X940X82OD" hidden="1">#REF!</definedName>
    <definedName name="BExW2B8V5BLU5739C9MEM90G2MXF" hidden="1">#REF!</definedName>
    <definedName name="BExW33KDNN20OE96R3EV1O0GLC0Z" hidden="1">#REF!</definedName>
    <definedName name="BExW34X0Y5DZQ4AYLGRA1NKA0AQB" hidden="1">#REF!</definedName>
    <definedName name="BExW3B7LU1845DP45WJGUXXYQKHG" hidden="1">#REF!</definedName>
    <definedName name="BExW3IPDJ3SU2FPNQWLNMM0CNAFZ" hidden="1">#REF!</definedName>
    <definedName name="BExW3ZMX0A2IF5MDGZHS3HHBU18G" hidden="1">#REF!</definedName>
    <definedName name="BExW4A4JZ1F5NV0K3PCDLY2B0LJK" hidden="1">#REF!</definedName>
    <definedName name="BExW4SPH9E4SDZZM95YNBDBMN992" hidden="1">Data #REF!</definedName>
    <definedName name="BExW4XI5OZZGMP78DUIF49SPVZTD" hidden="1">#REF!</definedName>
    <definedName name="BExW5MIYG01OQPMR3DNVTS3UFR15" hidden="1">#REF!</definedName>
    <definedName name="BExW6VS6T4EMHFJE6WQW1TDG3KUP" hidden="1">Data #REF!</definedName>
    <definedName name="BExW7465SCE95AIL89CZX3AE3AZF" hidden="1">#REF!</definedName>
    <definedName name="BExW7E2DETYFBRH94V3K31RFYCVJ" hidden="1">#REF!</definedName>
    <definedName name="BExW7VAQRFY1Q39OWSVB763XZEB6" hidden="1">#REF!</definedName>
    <definedName name="BExW8KMCGDRQ41ZR1UZVUS039N59" hidden="1">#REF!</definedName>
    <definedName name="BExW937AS2Q4M8MKETD7NVJ6Y89Y" hidden="1">Data #REF!</definedName>
    <definedName name="BExW9JDYJA4DPGQP5U6IBDJ0ZHS0" hidden="1">#REF!</definedName>
    <definedName name="BExW9NL0FJICOE4IBXQ9SI250MRD" hidden="1">#REF!</definedName>
    <definedName name="BExWAI5K1HEXGISCAFVADSAB6KG7" hidden="1">#REF!</definedName>
    <definedName name="BExWAMCMCGSMKNYDUSQREO47IB7D" hidden="1">#REF!</definedName>
    <definedName name="BExXLBW86OPDP30LS48V8OCS8PRS" hidden="1">#REF!</definedName>
    <definedName name="BExXMSXZAYQ5WASD282ORLDIIO3T" hidden="1">#REF!</definedName>
    <definedName name="BExXNDH1D4JKK6KA1JET0E0DDZ53" hidden="1">#REF!</definedName>
    <definedName name="BExXNHIQOXISO65II8IGUL48YJO6" hidden="1">#REF!</definedName>
    <definedName name="BExXNPGKHA422RZ46TIY8GHGNY51" hidden="1">#REF!</definedName>
    <definedName name="BExXO4W522208JNMSIVSLFQI8747" hidden="1">Data #REF!</definedName>
    <definedName name="BExXOCU6DN5B74CNJOULE63DS4XP" hidden="1">Data #REF!</definedName>
    <definedName name="BExXOUYW8N3311O041EGRWT9E2EN" hidden="1">#REF!</definedName>
    <definedName name="BExXP3CZRCHRZSPV8TUQGTYZ0JYB" hidden="1">#REF!</definedName>
    <definedName name="BExXP9NKLQLBSI3UTPR85330Q6Q8" hidden="1">#REF!</definedName>
    <definedName name="BExXPBWKG4L86UK9E2URM1STZHHI" hidden="1">#REF!</definedName>
    <definedName name="BExXPJ8UPY5XIRB9ITYC4Q1H9WBJ" hidden="1">#REF!</definedName>
    <definedName name="BExXPLCCD4ZRAGFPKZLY5D3SLN6K" hidden="1">Data #REF!</definedName>
    <definedName name="BExXPT4WI824OYNR4V9T846X5U3V" hidden="1">#REF!</definedName>
    <definedName name="BExXPTFOV1EXFKE3GN142Y1JHYKY" hidden="1">Data #REF!</definedName>
    <definedName name="BExXPUXNA5JYEGF9E94S77HLQAHU" hidden="1">#REF!</definedName>
    <definedName name="BExXQ1TTT5ZXKBI621BEDDFA025H" hidden="1">Data #REF!</definedName>
    <definedName name="BExXQ6BNHRBXK0HK9INOIERY5JOX" hidden="1">#REF!</definedName>
    <definedName name="BExXQ968C8D25ESDATA9PHK23OCL" hidden="1">Data #REF!</definedName>
    <definedName name="BExXR88G42P132U3XQPJSZNBPIHE" hidden="1">#REF!</definedName>
    <definedName name="BExXRAS8K0Y8AFPQAUJS2GZ2QFQ1" hidden="1">#REF!</definedName>
    <definedName name="BExXRQ2C6EQJQVQAEF6P8MCT0ZEW" hidden="1">#REF!</definedName>
    <definedName name="BExXS0JYX276X2T8DF6QEBPTDFFV" hidden="1">#REF!</definedName>
    <definedName name="BExXS5Y6JVYTU4DIMNWA4PGNHVH6" hidden="1">#REF!</definedName>
    <definedName name="BExXS75CVSGOA796XOLVDDP4LN6G" hidden="1">#REF!</definedName>
    <definedName name="BExXSB1NVARWC60PYDYKO6Z01OXY" hidden="1">#REF!</definedName>
    <definedName name="BExXSHC6VZ0GFVUDZEQ07VHDMTOA" hidden="1">#REF!</definedName>
    <definedName name="BExXSPA2049IRXELU3BM0UDJUOWZ" hidden="1">#REF!</definedName>
    <definedName name="BExXT2X2S53RJJM1UUBKK7UJAE4E" hidden="1">#REF!</definedName>
    <definedName name="BExXT8WUDHZXC1IDVYX077X8RLAS" hidden="1">#REF!</definedName>
    <definedName name="BExXTUN0LWBN947U9OJIK1S3JTQB" hidden="1">Data #REF!</definedName>
    <definedName name="BExXU0186DLEPMLEM98JZ7KYNCC2" hidden="1">#REF!</definedName>
    <definedName name="BExXU4TU9HP08TV0ORC83EUK50YE" hidden="1">Data #REF!</definedName>
    <definedName name="BExXU9H138H22SXQM00QSCSX26U9" hidden="1">Data #REF!</definedName>
    <definedName name="BExXUCX7CQ7MWT0SBF14RO2YJSD7" hidden="1">#REF!</definedName>
    <definedName name="BExXUD7YVVTIIVOW4WYQ2KBJEEJF" hidden="1">Data #REF!</definedName>
    <definedName name="BExXUMT92VAFB1VNF5ODVHYX7XY7" hidden="1">#REF!</definedName>
    <definedName name="BExXV8E3QNOKGDJ76T2LM2A77TNG" hidden="1">Data #REF!</definedName>
    <definedName name="BExXV8E426GCCXGQ2MS2JJOODH6B" hidden="1">#REF!</definedName>
    <definedName name="BExXW707V3SCJTTVN6QX3C9ABV6H" hidden="1">#REF!</definedName>
    <definedName name="BExXWALPER24UQ266IQKSML3VAXI" hidden="1">#REF!</definedName>
    <definedName name="BExXWDASBEVCYIPNH8WVZH26H1NJ" hidden="1">#REF!</definedName>
    <definedName name="BExXXE0GXW6GAOZY2UVMG68TY2YY" hidden="1">Data #REF!</definedName>
    <definedName name="BExXXR1PMTA3GBNE0FJT6MKPUBWD" hidden="1">#REF!</definedName>
    <definedName name="BExXXV3GVR0U4PP6DEQ79168RU2E" hidden="1">#REF!</definedName>
    <definedName name="BExXYS270TXKNUXBERRUJ11AK15F" hidden="1">#REF!</definedName>
    <definedName name="BExXYXLV5EO2JTI2STQJ8AXL01IN" hidden="1">#REF!</definedName>
    <definedName name="BExXYY7GHFTT1160C28O4BEXYJHT" hidden="1">#REF!</definedName>
    <definedName name="BExXYY7H2ZO59VOVOAWK6YFBTAED" hidden="1">#REF!</definedName>
    <definedName name="BExXYZELNQHW2G92CYPO8G78N5PZ" hidden="1">#REF!</definedName>
    <definedName name="BExXZJHIHJ5SHRA23PYW9UHYYK86" hidden="1">#REF!</definedName>
    <definedName name="BExY0OUB2WUEO6F9M9ECIHBF2R51" hidden="1">#REF!</definedName>
    <definedName name="BExY0QSCEJF92EE3GZD9F14LOGXN" hidden="1">#REF!</definedName>
    <definedName name="BExY0ROWWSZIF3W6BQXS81LGG1LO" hidden="1">#REF!</definedName>
    <definedName name="BExY0YFLU620M6H8TNJUNZ99YLZZ" hidden="1">Data #REF!</definedName>
    <definedName name="BExY0ZMQK8X9FU1KO2FALAVHQ3A0" hidden="1">#REF!</definedName>
    <definedName name="BExY12XEY9YECVG8LAG3VCZXK4GA" hidden="1">#REF!</definedName>
    <definedName name="BExY1JUYZAKO4KS6QBE00O12295P" hidden="1">#REF!</definedName>
    <definedName name="BExY1UCMBX74I5YO3PKCM4HHC6FB" hidden="1">#REF!</definedName>
    <definedName name="BExY1UNDBNUCDD0K5MDQ6MO89FS0" hidden="1">#REF!</definedName>
    <definedName name="BExY284WXED2AEPG2AFV3KK4C6IT" hidden="1">#REF!</definedName>
    <definedName name="BExY2AJ8C6MAOABIUEWA7ZAJKNPK" hidden="1">#REF!</definedName>
    <definedName name="BExY2DONDM69XE1SWHORPQ44L51Q" hidden="1">#REF!</definedName>
    <definedName name="BExY2EFHQXQB95IUSM391Y76U0M5" hidden="1">#REF!</definedName>
    <definedName name="BExY2K4JM034O8HGQHS5NM4AZ5IR" hidden="1">#REF!</definedName>
    <definedName name="BExY2UM5RQSAIBPAQWIZGFTRZTS7" hidden="1">#REF!</definedName>
    <definedName name="BExY2X0GM9D5KXXEA7OUHMBC5B9U" hidden="1">#REF!</definedName>
    <definedName name="BExY2YNQEIN3XM935PH6C8A8MKAN" hidden="1">#REF!</definedName>
    <definedName name="BExY37I3UEO70IS5I5JYC9IYSTZQ" hidden="1">#REF!</definedName>
    <definedName name="BExY3A77M7XRJZSWWGE321P44351" hidden="1">Data #REF!</definedName>
    <definedName name="BExY3PXLG12GBTT8TIKA6BI2WCBB" hidden="1">Data #REF!</definedName>
    <definedName name="BExY3V11HCQAI41TYWMLPSGBUO5P" hidden="1">#REF!</definedName>
    <definedName name="BExY40F844CSKNWG7FJQ80298IE6" hidden="1">#REF!</definedName>
    <definedName name="BExY48D80HXQ29DP1IJ1SFAREZYU" hidden="1">#REF!</definedName>
    <definedName name="BExY4BIGGU0623WM68PTGWIZ7NZ9" hidden="1">#REF!</definedName>
    <definedName name="BExY4ET47TFRGY6BW0E1WLWQDTKQ" hidden="1">Data #REF!</definedName>
    <definedName name="BExY4THT7YIBZP44OZXG9C4VB5NL" hidden="1">#REF!</definedName>
    <definedName name="BExY5B6FR3042SU27CTTUIG335BR" hidden="1">Data #REF!</definedName>
    <definedName name="BExY5EBMSUM3MYEPW6N3IK1VL8AZ" hidden="1">Data #REF!</definedName>
    <definedName name="BExY64EAODGM8FBDBL2J0WT1HYXD" hidden="1">#REF!</definedName>
    <definedName name="BExY67ZSU7MK0QR4IID7K7I7UDR3" hidden="1">#REF!</definedName>
    <definedName name="BExZHWLST9GVP29MC09IN9WNDNT4" hidden="1">#REF!</definedName>
    <definedName name="BExZIBW2P09M2QICBHQZXYWE7H80" hidden="1">#REF!</definedName>
    <definedName name="BExZIFHJH4NVQ5M737KXR5Z95EYP" hidden="1">#REF!</definedName>
    <definedName name="BExZIO6GFWS1HARGXSO1HE95QN1N" hidden="1">#REF!</definedName>
    <definedName name="BExZISZ2NPUW0AJVUBNSDW7YDVTX" hidden="1">#REF!</definedName>
    <definedName name="BExZJBK17Y16KWJ3Z21PVZHXHG0I" hidden="1">#REF!</definedName>
    <definedName name="BExZJFATQ0G6Q8OPF55T3ZWTPQPY" hidden="1">#REF!</definedName>
    <definedName name="BExZJI5DKUP0HZXYRR2F7CTGI2EM" hidden="1">#REF!</definedName>
    <definedName name="BExZJRQNSH7E2BZHXJEMKJ6JJP2L" hidden="1">#REF!</definedName>
    <definedName name="BExZKA0U5V5LAKMR0Z7KJJ8TOV3A" hidden="1">#REF!</definedName>
    <definedName name="BExZKFPVJV12OEZLMXD8CB748VCO" hidden="1">#REF!</definedName>
    <definedName name="BExZKJGM5V39CE004A520X34HK92" hidden="1">#REF!</definedName>
    <definedName name="BExZKQCSQKZ7ZS6AZ4FNFVO8CIJ2" hidden="1">#REF!</definedName>
    <definedName name="BExZL1G02DRE5JDCEBSP07IYEYJB" hidden="1">#REF!</definedName>
    <definedName name="BExZL8XR4U3MY0C8CUKCEBLLBGF2" hidden="1">Data #REF!</definedName>
    <definedName name="BExZLIJ1D3OG2RU432BK24IEDXEG" hidden="1">#REF!</definedName>
    <definedName name="BExZLL85CDSQQOA4I1RJEXYNLC8M" hidden="1">#REF!</definedName>
    <definedName name="BExZLYV04UZ4NCGPVRZDBDNLOKWQ" hidden="1">#REF!</definedName>
    <definedName name="BExZMX6FOO07OILF7FG98QDT151F" hidden="1">#REF!</definedName>
    <definedName name="BExZMY2NF8WIYWKZEYMCQGYGARBM" hidden="1">#REF!</definedName>
    <definedName name="BExZN60P7H515MPR8E07E9UPFG42" hidden="1">Data #REF!</definedName>
    <definedName name="BExZNF0E3A621FHO0MPGD4ZWCKRC" hidden="1">#REF!</definedName>
    <definedName name="BExZNS74H9LEJZELYWNOXK38N8SD" hidden="1">#REF!</definedName>
    <definedName name="BExZO235ZIGGVOO5RSA214U9SYTE" hidden="1">#REF!</definedName>
    <definedName name="BExZO2376TRXAL4GROBYJOC0BBWA" hidden="1">#REF!</definedName>
    <definedName name="BExZPIZCAVM0GI6S17NU7A8DY645" hidden="1">Data #REF!</definedName>
    <definedName name="BExZQ4ETSNS4H5FCBM3FS9I2C5EE" hidden="1">#REF!</definedName>
    <definedName name="BExZQG8YDWL6SQSH3M6UOFCOOA01" hidden="1">#REF!</definedName>
    <definedName name="BExZQW4T2H8OY2KNW6ESNW31YP3U" hidden="1">Data #REF!</definedName>
    <definedName name="BExZR187BSIXSTGH980KI7F2TRXQ" hidden="1">#REF!</definedName>
    <definedName name="BExZRS75OOPZBRAMI50FQX37IF6T" hidden="1">#REF!</definedName>
    <definedName name="BExZRXWB19A6JE5MR98RL96RPSN7" hidden="1">#REF!</definedName>
    <definedName name="BExZRY1N8P38K8E4IBK9OP6QEE2R" hidden="1">#REF!</definedName>
    <definedName name="BExZRZ3HPJBB0HMDE9HKI7E1YD5J" hidden="1">#REF!</definedName>
    <definedName name="BExZS1N2QAZHDQ3B6RDBBWDPXZVO" hidden="1">#REF!</definedName>
    <definedName name="BExZSCFI35S15K7YWBGLQ9XYU2XH" hidden="1">#REF!</definedName>
    <definedName name="BExZSDMPJTFFD7YYC1BQMKITAIEX" hidden="1">#REF!</definedName>
    <definedName name="BExZSVGL0LMVI5K3LL0RPE7OZJCP" hidden="1">#REF!</definedName>
    <definedName name="BExZSZCUUPS30EB35W6VOD1OPX8R" hidden="1">#REF!</definedName>
    <definedName name="BExZT1LVB2XUW60V1B33E19900NS" hidden="1">Data #REF!</definedName>
    <definedName name="BExZT9UI15NUS2ZSET7QBRSSPB0P" hidden="1">#REF!</definedName>
    <definedName name="BExZTAG3I3IKI6VR7JS5LN3NJK96" hidden="1">#REF!</definedName>
    <definedName name="BExZTI8KOHXNL7KZGRDGUONX0Q1Z" hidden="1">#REF!</definedName>
    <definedName name="BExZTKXOZXWF54X3FTBRORACPSHY" hidden="1">Data #REF!</definedName>
    <definedName name="BExZU7K8MIN2CF5D4QJU04BGAQH9" hidden="1">#REF!</definedName>
    <definedName name="BExZUBM0SQNF2IKSNJDUICTWUZ1O" hidden="1">#REF!</definedName>
    <definedName name="BExZUG94QCYXGK4T8BV4XH72FDN5" hidden="1">Data #REF!</definedName>
    <definedName name="BExZUYZFYO4ZYSRB4HD0UKRILYJ5" hidden="1">#REF!</definedName>
    <definedName name="BExZV1ZGWLJ7IELD2HE8E8T2PIOY" hidden="1">Data #REF!</definedName>
    <definedName name="BExZVS212AOB21XVREFQZP6ZCERE" hidden="1">#REF!</definedName>
    <definedName name="BExZVULTFH1COCTGL6LCWC4CO2UM" hidden="1">#REF!</definedName>
    <definedName name="BExZW4N5JRHRUUHO4TMTKOD1N8O5" hidden="1">#REF!</definedName>
    <definedName name="BExZW7XUCIIPNJ916EW5TXWXZQAT" hidden="1">Data #REF!</definedName>
    <definedName name="BExZWDMVKR0OR98OPXFOCNC26HIE" hidden="1">#REF!</definedName>
    <definedName name="BExZWHTXEVKHLWQHSMEXPBN1KNH1" hidden="1">#REF!</definedName>
    <definedName name="BExZWIVLKNACHGJJ8UF6S01SOXLC" hidden="1">Data #REF!</definedName>
    <definedName name="BExZWWD5T01KLDP4SCWT8NSN1MTS" hidden="1">#REF!</definedName>
    <definedName name="BExZX6URTEQ0YG6MIT6TUYMEPYI8" hidden="1">#REF!</definedName>
    <definedName name="BExZX93SH1250HZZRK5XG74KK9D2" hidden="1">#REF!</definedName>
    <definedName name="BExZX9PCZTWSP0M3K9I5D5GQJFR9" hidden="1">#REF!</definedName>
    <definedName name="BExZY4Q01HHOLJEYM2JXF87YKWN4" hidden="1">#REF!</definedName>
    <definedName name="BExZY8GZ3KZY9EDL5QU4S1N9N8NB" hidden="1">#REF!</definedName>
    <definedName name="BExZYAV4D9V9VU16DTU6TNIBJH6R" hidden="1">#REF!</definedName>
    <definedName name="BExZYJ97NVF9EVTP3XUG2XMCT7PO" hidden="1">#REF!</definedName>
    <definedName name="BExZYOY8C1TM28QPXMXKKLQYKKTY" hidden="1">#REF!</definedName>
    <definedName name="BExZYZQNMK4DPUV5VZPY27D1L7XA" hidden="1">Data #REF!</definedName>
    <definedName name="BExZZ8FJ35793MXXJBQC2J61KUFK" hidden="1">#REF!</definedName>
    <definedName name="BExZZI0UTLRCG9HZW0F9JP3Q0L0I" hidden="1">#REF!</definedName>
    <definedName name="BExZZV23SRMRZ2TLTWKDFK77QULH" hidden="1">#REF!</definedName>
    <definedName name="BExZZVCV8XO97VPVC38DJLDLVGWW" hidden="1">#REF!</definedName>
    <definedName name="BExZZZPERWURAXICV5L4BS4L9GFL" hidden="1">#REF!</definedName>
    <definedName name="campo" localSheetId="1">#REF!</definedName>
    <definedName name="campo" localSheetId="0">#REF!</definedName>
    <definedName name="campo">#REF!</definedName>
    <definedName name="Campo_Listagem" localSheetId="1">#REF!</definedName>
    <definedName name="Campo_Listagem" localSheetId="0">#REF!</definedName>
    <definedName name="Campo_Listagem" comment="Nomes camp seleção">#REF!</definedName>
    <definedName name="Conteúdo">#REF!</definedName>
    <definedName name="FX_BRLEUR">#REF!</definedName>
    <definedName name="g" hidden="1">Data #REF!</definedName>
    <definedName name="hdgdjd" hidden="1">Data #REF!</definedName>
    <definedName name="hj" comment="Nomes camp seleção">#REF!</definedName>
    <definedName name="j">#REF!</definedName>
    <definedName name="kajsdlñkfjalñskdfjasklñdfjlñaskdfjlñkasj" hidden="1">Data #REF!</definedName>
    <definedName name="ladsfadfadfa" hidden="1">Data #REF!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rova" hidden="1">InstHook</definedName>
    <definedName name="Real">(PeriodoInReal*(#REF!&gt;0))*PeriodoInPlanejado</definedName>
    <definedName name="RealPosterior">PeriodoInReal*(#REF!&gt;0)</definedName>
    <definedName name="Resuumo" comment="Nomes camp seleção">#REF!</definedName>
    <definedName name="SAPBEXhrIndnt" hidden="1">"Wide"</definedName>
    <definedName name="SAPBEXnonsense" hidden="1">305</definedName>
    <definedName name="SAPBEXrevision" hidden="1">145</definedName>
    <definedName name="SAPBEXsysID" hidden="1">"PBC"</definedName>
    <definedName name="SAPBEXwbID" hidden="1">"3Z2ET4AJ9AEVOX0QJ6I3GA5UA"</definedName>
    <definedName name="SAPsysID" hidden="1">"708C5W7SBKP804JT78WJ0JNKI"</definedName>
    <definedName name="SAPwbID" hidden="1">"ARS"</definedName>
    <definedName name="Status">#REF!</definedName>
    <definedName name="tes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H17" i="4"/>
  <c r="L17" i="4" s="1"/>
  <c r="L30" i="4"/>
  <c r="L25" i="4"/>
  <c r="L34" i="4" l="1"/>
  <c r="L32" i="4"/>
  <c r="L27" i="4"/>
  <c r="L24" i="4"/>
  <c r="L23" i="4"/>
  <c r="L21" i="4"/>
  <c r="L18" i="4"/>
  <c r="I12" i="4"/>
  <c r="I4" i="4" l="1"/>
  <c r="I5" i="4"/>
  <c r="I6" i="4"/>
  <c r="I7" i="4"/>
  <c r="I8" i="4"/>
  <c r="I9" i="4"/>
  <c r="I10" i="4"/>
  <c r="I11" i="4"/>
  <c r="I3" i="4"/>
  <c r="H28" i="4"/>
  <c r="L28" i="4" l="1"/>
  <c r="L16" i="4" l="1"/>
  <c r="L22" i="4" l="1"/>
  <c r="L26" i="4"/>
  <c r="L33" i="4"/>
  <c r="L19" i="4"/>
  <c r="L39" i="4"/>
  <c r="I37" i="4" l="1"/>
  <c r="H29" i="4" l="1"/>
  <c r="I33" i="4" l="1"/>
  <c r="I16" i="4"/>
  <c r="I19" i="4"/>
  <c r="I26" i="4"/>
  <c r="I22" i="4"/>
  <c r="I38" i="4"/>
  <c r="I36" i="4"/>
  <c r="L20" i="4"/>
  <c r="L29" i="4"/>
  <c r="L35" i="4" l="1"/>
  <c r="I35" i="4"/>
  <c r="I40" i="4"/>
  <c r="L40" i="4" s="1"/>
  <c r="I39" i="4"/>
  <c r="I41" i="4"/>
  <c r="L41" i="4" s="1"/>
  <c r="K35" i="4"/>
  <c r="K43" i="4" s="1"/>
  <c r="I42" i="4" l="1"/>
  <c r="I43" i="4" s="1"/>
  <c r="F17" i="3"/>
  <c r="F18" i="3" s="1"/>
  <c r="L42" i="4" l="1"/>
  <c r="L43" i="4" s="1"/>
  <c r="K44" i="4" s="1"/>
  <c r="G17" i="3" l="1"/>
  <c r="G18" i="3" s="1"/>
  <c r="D17" i="3"/>
  <c r="D18" i="3" s="1"/>
  <c r="I14" i="4"/>
</calcChain>
</file>

<file path=xl/sharedStrings.xml><?xml version="1.0" encoding="utf-8"?>
<sst xmlns="http://schemas.openxmlformats.org/spreadsheetml/2006/main" count="121" uniqueCount="83">
  <si>
    <t xml:space="preserve">PLANILHA DE ESTIMATIVA DE CUSTOS </t>
  </si>
  <si>
    <t>Evento:</t>
  </si>
  <si>
    <t>Data do Evento:</t>
  </si>
  <si>
    <t>Horário do Evento:</t>
  </si>
  <si>
    <t>Data da Montagem:</t>
  </si>
  <si>
    <t>Qtde Pessoas:</t>
  </si>
  <si>
    <t>Local:</t>
  </si>
  <si>
    <t>PIT:</t>
  </si>
  <si>
    <t>ITEM</t>
  </si>
  <si>
    <t>DESCRIÇÃO</t>
  </si>
  <si>
    <t>QUANT</t>
  </si>
  <si>
    <t>UNIDADE</t>
  </si>
  <si>
    <t>VALOR UNIT</t>
  </si>
  <si>
    <t>VALOR TOTAL</t>
  </si>
  <si>
    <t xml:space="preserve">SUBTOTAL </t>
  </si>
  <si>
    <t>CASHFLOW</t>
  </si>
  <si>
    <t>1.1</t>
  </si>
  <si>
    <t>1.2</t>
  </si>
  <si>
    <t>2.1</t>
  </si>
  <si>
    <t>2.2</t>
  </si>
  <si>
    <t>3.1</t>
  </si>
  <si>
    <t>3.2</t>
  </si>
  <si>
    <t>3.3</t>
  </si>
  <si>
    <t>4.1</t>
  </si>
  <si>
    <t>SOMA GERAL DOS ITENS</t>
  </si>
  <si>
    <t>TOTAL FINAL</t>
  </si>
  <si>
    <t>GERAL</t>
  </si>
  <si>
    <t>À VISTA
ANTECIPADO</t>
  </si>
  <si>
    <t>VALOR</t>
  </si>
  <si>
    <t xml:space="preserve">PLANILHA </t>
  </si>
  <si>
    <t xml:space="preserve">CASHFLOW </t>
  </si>
  <si>
    <t>RESUMO GERAL</t>
  </si>
  <si>
    <t>Pré Produção:</t>
  </si>
  <si>
    <t>Atendimento:</t>
  </si>
  <si>
    <t>16%</t>
  </si>
  <si>
    <t>HONORÁRIOS</t>
  </si>
  <si>
    <t>( I )</t>
  </si>
  <si>
    <t xml:space="preserve">03 - SUB-TOTAL - CRIAÇÃO (C) </t>
  </si>
  <si>
    <t>02 - SUB-TOTAL - TERCEIROS (T)</t>
  </si>
  <si>
    <t>01 - SUB-TOTAL - INTERNOS (I)</t>
  </si>
  <si>
    <t>OUTROS</t>
  </si>
  <si>
    <t xml:space="preserve">EQUIPE </t>
  </si>
  <si>
    <t>MATERIAIS</t>
  </si>
  <si>
    <t>5.1</t>
  </si>
  <si>
    <t>LOGÍSTICA</t>
  </si>
  <si>
    <t>4.5</t>
  </si>
  <si>
    <t>4.4</t>
  </si>
  <si>
    <t>4.3</t>
  </si>
  <si>
    <t>4.2</t>
  </si>
  <si>
    <t>RESPONSABILIDADE CLIENTE</t>
  </si>
  <si>
    <t>CRIAÇÃO E FINALIZAÇÃO</t>
  </si>
  <si>
    <t xml:space="preserve">INTERNO (I) 
TERCEIRO (T) 
CRIAÇÃO (C) </t>
  </si>
  <si>
    <t xml:space="preserve">PLANILHA DE ESTIMATIVA DE CUSTOS   </t>
  </si>
  <si>
    <t>Logistica Produtos e Materiais - Cliente</t>
  </si>
  <si>
    <t>SUB TOTAL GERAL (01 + 02 + 03)</t>
  </si>
  <si>
    <t>Direitos Autorais e Uso das Informações</t>
  </si>
  <si>
    <t>As ideias, conceitos, propostas visuais e estratégicas apresentados neste material são de autoria da AATB e estão protegidos por direitos autorais. Sua reprodução, utilização ou implementação total ou parcial só poderá ocorrer mediante autorização expressa e/ou intermediação direta da nossa equipe.  </t>
  </si>
  <si>
    <t>ENCARGOS</t>
  </si>
  <si>
    <t>PRESS KIT THE BLEND</t>
  </si>
  <si>
    <t>BO_0001_26</t>
  </si>
  <si>
    <t>Produção:</t>
  </si>
  <si>
    <t xml:space="preserve"> -</t>
  </si>
  <si>
    <t>Dida Dourado</t>
  </si>
  <si>
    <t>Keila Parente / Cesar Laranjeira</t>
  </si>
  <si>
    <r>
      <t xml:space="preserve">Desenvolvimento do KV e Conceito
</t>
    </r>
    <r>
      <rPr>
        <sz val="13"/>
        <color theme="1"/>
        <rFont val="Calibri Light"/>
        <family val="2"/>
        <scheme val="major"/>
      </rPr>
      <t>Criação e finalização.</t>
    </r>
  </si>
  <si>
    <r>
      <t xml:space="preserve">Logo, elementos da marca e banco de imagens
</t>
    </r>
    <r>
      <rPr>
        <sz val="13"/>
        <color theme="1"/>
        <rFont val="Calibri Light"/>
        <family val="2"/>
        <scheme val="major"/>
      </rPr>
      <t>Disponibilidade de materiais gerais para realização do trabalho.</t>
    </r>
  </si>
  <si>
    <r>
      <t xml:space="preserve">Atendimento Projeto
</t>
    </r>
    <r>
      <rPr>
        <sz val="13"/>
        <color theme="1"/>
        <rFont val="Calibri Light"/>
        <family val="2"/>
        <scheme val="major"/>
      </rPr>
      <t>Período 1 mês, pré produção, execução e pós produção.</t>
    </r>
  </si>
  <si>
    <r>
      <t>Prazo de validade dessa proposta:</t>
    </r>
    <r>
      <rPr>
        <sz val="13"/>
        <color rgb="FF000000"/>
        <rFont val="Calibri Light"/>
        <family val="2"/>
        <scheme val="major"/>
      </rPr>
      <t xml:space="preserve"> 30 dias. </t>
    </r>
  </si>
  <si>
    <t>CORTESIA</t>
  </si>
  <si>
    <r>
      <t xml:space="preserve">Produtor Executivo  - VALOR EXCLUSIVO PARA O PROJETO
</t>
    </r>
    <r>
      <rPr>
        <sz val="13"/>
        <color theme="1"/>
        <rFont val="Calibri Light"/>
        <family val="2"/>
        <scheme val="major"/>
      </rPr>
      <t>Período 1 mês, pré-produção, execução e pós-produção</t>
    </r>
  </si>
  <si>
    <t>INCLUSO NO ORÇAMENTO</t>
  </si>
  <si>
    <r>
      <t xml:space="preserve">Logística equipe manuseio
</t>
    </r>
    <r>
      <rPr>
        <sz val="13"/>
        <color theme="1"/>
        <rFont val="Calibri Light"/>
        <family val="2"/>
        <scheme val="major"/>
      </rPr>
      <t>01 pax x 02 diárias x ida e volta</t>
    </r>
  </si>
  <si>
    <r>
      <t xml:space="preserve">Logística entrega - Kits manuseados - 3º envio
</t>
    </r>
    <r>
      <rPr>
        <sz val="13"/>
        <color theme="1"/>
        <rFont val="Calibri Light"/>
        <family val="2"/>
        <scheme val="major"/>
      </rPr>
      <t xml:space="preserve">Entrega de 100 unidades de sacolas + 100 unidades de carta no dia 30/03/2026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</si>
  <si>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entrega - Kits manuseados - 2º envio
</t>
    </r>
    <r>
      <rPr>
        <sz val="13"/>
        <color theme="1"/>
        <rFont val="Calibri Light"/>
        <family val="2"/>
        <scheme val="major"/>
      </rPr>
      <t xml:space="preserve">Entrega de 50 unidades de sacolas + 50 unidades de carta no dia 23/03/2026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</si>
  <si>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entrega - Kits manuseados - 1º envio
</t>
    </r>
    <r>
      <rPr>
        <sz val="13"/>
        <color theme="1"/>
        <rFont val="Calibri Light"/>
        <family val="2"/>
        <scheme val="major"/>
      </rPr>
      <t xml:space="preserve">Entrega de 50 unidades de sacolas + 50 unidades de carta no dia 16/03/2026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</si>
  <si>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de materiais / produtos cliente
</t>
    </r>
    <r>
      <rPr>
        <sz val="13"/>
        <color theme="1"/>
        <rFont val="Calibri Light"/>
        <family val="2"/>
        <scheme val="major"/>
      </rPr>
      <t>Logística de materiais e produtos do cliente para utilização no manuseio do kit sendo responsabilidade do cliente e conforme endereço indicado pela agência com base no fornecedor contratado.</t>
    </r>
  </si>
  <si>
    <r>
      <t xml:space="preserve">Verba de Produção
</t>
    </r>
    <r>
      <rPr>
        <sz val="13"/>
        <color theme="1"/>
        <rFont val="Calibri Light"/>
        <family val="2"/>
        <scheme val="major"/>
      </rPr>
      <t xml:space="preserve">Verba de produção e necessidades emergências de produção.
Entrega e retirada de amostras, motoboy, compra de itens, entre outras demandas.
</t>
    </r>
    <r>
      <rPr>
        <sz val="13"/>
        <color rgb="FFFF0000"/>
        <rFont val="Calibri Light"/>
        <family val="2"/>
        <scheme val="major"/>
      </rPr>
      <t>*Valores serão apresentados conforme demanda.</t>
    </r>
  </si>
  <si>
    <t>PLANEJAMENTO TÁTICO E CRIAÇÃO  - SOBRE ITENS INTERNOS (I) E TERCEIROS (T)</t>
  </si>
  <si>
    <t>75 DIAS</t>
  </si>
  <si>
    <t>Apoio para manuseio</t>
  </si>
  <si>
    <t>A FATURAR EM CASO DE NECESSIDADE</t>
  </si>
  <si>
    <r>
      <t xml:space="preserve">THE BLEND
</t>
    </r>
    <r>
      <rPr>
        <sz val="13"/>
        <color theme="1"/>
        <rFont val="Calibri Light"/>
        <family val="2"/>
        <scheme val="major"/>
      </rPr>
      <t>Cliente é responsável pela disponibilização do material para o manuseio do press kit.</t>
    </r>
  </si>
  <si>
    <r>
      <t xml:space="preserve">Sacola premium para press kit Boticário - THE BLEND
</t>
    </r>
    <r>
      <rPr>
        <sz val="13"/>
        <color theme="1"/>
        <rFont val="Calibri Light"/>
        <family val="2"/>
        <scheme val="major"/>
      </rPr>
      <t xml:space="preserve">Sacola- em cartão rígido- faca especial- revestimento interno e externo em impressão total / acabamento em laminação - fechamento com imã.
Acabamento especial - HOT STAMPING - Frases:
- THE BLEND - AMBER SAFFRON - aplicado na parte frontal superior
- O BOTICÁRIO - aplicado na parte frontal inferior.
Logo ícone O Boticário - aplicado nas 2 laterais fixas
Bolso Interno - fixado na parte fixa traseira em papel dourado percalux dourado ou similar
Carta - inserida no bolso acima- impressão 4 x 4 cor- couche 250 
Berço - em cartão rígido- faca especial para encaixar o perfume revestimento em percalux dourado ou similar- logo posicionado na parte frontal do berço - aplicado em serigrafia em 1 cor
</t>
    </r>
    <r>
      <rPr>
        <b/>
        <sz val="13"/>
        <color rgb="FFFF0000"/>
        <rFont val="Calibri Light"/>
        <family val="2"/>
        <scheme val="major"/>
      </rPr>
      <t>Prazos:
- PRAZO MÁXIMO DE APROVAÇÃO: 06/03/2026 - até as 16:00h
- 1ª Entrega: 50 unidades em 16/03
- 2ª e 3ª entregas: 50 unidades em 23/03 e 100 unidades em 30/03/2026</t>
    </r>
    <r>
      <rPr>
        <b/>
        <sz val="13"/>
        <color theme="1"/>
        <rFont val="Calibri Light"/>
        <family val="2"/>
        <scheme val="major"/>
      </rPr>
      <t xml:space="preserve">
</t>
    </r>
    <r>
      <rPr>
        <sz val="13"/>
        <color rgb="FFFF0000"/>
        <rFont val="Calibri Light"/>
        <family val="2"/>
        <scheme val="major"/>
      </rPr>
      <t>*Prazo de produção de modelo 5 dias uteis
*Prazo para produção 20 dias uteis
*Valor sujeito a alteração sem aviso prévio.
*Valor sujeito a alteração em caso de aprovação após a data sinalizada para aprovação.
*Produção a ser avaliada caso a aprovação ocorra após a data sinalizada.
*O prazo de produção/serviço inicia quando o fornecedor recebe a aprovação formalizada e confirma a disponibilidade para execução do serviço ou produto/material em estoque.
*Caso a aprovação e a liberação da arte seja realizado após o prazo estipulado, valor e prazos serão validados e poderão sofrer reajustes.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</si>
</sst>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\ #,##0.00"/>
    <numFmt numFmtId="167" formatCode="_(&quot;R$ &quot;* #,##0.00_);_(&quot;R$ &quot;* \(#,##0.00\);_(&quot;R$ &quot;* &quot;-&quot;??_);_(@_)"/>
    <numFmt numFmtId="168" formatCode="_-* #,##0.00_-;\-* #,##0.00_-;_-* &quot;-&quot;??_-;_-@"/>
    <numFmt numFmtId="169" formatCode="_-&quot;R$&quot;* #,##0.00_-;\-&quot;R$&quot;* #,##0.00_-;_-&quot;R$&quot;* &quot;-&quot;??_-;_-@"/>
    <numFmt numFmtId="170" formatCode="_-&quot;R$&quot;\ * #,##0.00_-;\-&quot;R$&quot;\ * #,##0.00_-;_-&quot;R$&quot;\ * &quot;-&quot;??_-;_-@"/>
    <numFmt numFmtId="171" formatCode="dd/mm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sz val="13"/>
      <name val="Calibri Light"/>
      <family val="2"/>
      <scheme val="major"/>
    </font>
    <font>
      <b/>
      <sz val="13"/>
      <name val="Calibri Light"/>
      <family val="2"/>
      <scheme val="major"/>
    </font>
    <font>
      <b/>
      <sz val="13"/>
      <color rgb="FFFF0000"/>
      <name val="Calibri Light"/>
      <family val="2"/>
      <scheme val="major"/>
    </font>
    <font>
      <b/>
      <sz val="13"/>
      <color rgb="FF00B050"/>
      <name val="Calibri Light"/>
      <family val="2"/>
      <scheme val="major"/>
    </font>
    <font>
      <sz val="13"/>
      <color indexed="8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sz val="13"/>
      <color rgb="FFFF0000"/>
      <name val="Calibri Light"/>
      <family val="2"/>
      <scheme val="major"/>
    </font>
    <font>
      <sz val="13"/>
      <color rgb="FF000000"/>
      <name val="Calibri Light"/>
      <family val="2"/>
      <scheme val="major"/>
    </font>
    <font>
      <b/>
      <sz val="13"/>
      <color rgb="FF000000"/>
      <name val="Calibri Light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D0CECE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87AFD2"/>
        <bgColor rgb="FF87AFD2"/>
      </patternFill>
    </fill>
    <fill>
      <patternFill patternType="solid">
        <fgColor rgb="FFDEEAF6"/>
        <bgColor rgb="FFDEEAF6"/>
      </patternFill>
    </fill>
    <fill>
      <patternFill patternType="solid">
        <fgColor rgb="FF247AB4"/>
        <bgColor rgb="FF247AB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D8D8D8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39">
    <xf numFmtId="0" fontId="0" fillId="0" borderId="0"/>
    <xf numFmtId="0" fontId="2" fillId="0" borderId="0"/>
    <xf numFmtId="0" fontId="3" fillId="0" borderId="0"/>
    <xf numFmtId="4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4" fillId="0" borderId="0" xfId="0" applyFont="1"/>
    <xf numFmtId="0" fontId="4" fillId="4" borderId="0" xfId="0" applyFont="1" applyFill="1"/>
    <xf numFmtId="170" fontId="5" fillId="5" borderId="2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0" fontId="5" fillId="5" borderId="20" xfId="0" applyNumberFormat="1" applyFont="1" applyFill="1" applyBorder="1" applyAlignment="1">
      <alignment horizontal="center" vertical="center"/>
    </xf>
    <xf numFmtId="169" fontId="4" fillId="4" borderId="9" xfId="0" applyNumberFormat="1" applyFont="1" applyFill="1" applyBorder="1" applyAlignment="1">
      <alignment horizontal="center" vertical="center"/>
    </xf>
    <xf numFmtId="169" fontId="4" fillId="4" borderId="8" xfId="0" applyNumberFormat="1" applyFont="1" applyFill="1" applyBorder="1" applyAlignment="1">
      <alignment horizontal="center" vertical="center"/>
    </xf>
    <xf numFmtId="170" fontId="5" fillId="6" borderId="9" xfId="0" applyNumberFormat="1" applyFont="1" applyFill="1" applyBorder="1" applyAlignment="1">
      <alignment horizontal="center" vertical="center"/>
    </xf>
    <xf numFmtId="170" fontId="5" fillId="6" borderId="8" xfId="0" applyNumberFormat="1" applyFont="1" applyFill="1" applyBorder="1" applyAlignment="1">
      <alignment horizontal="center" vertical="center" wrapText="1"/>
    </xf>
    <xf numFmtId="167" fontId="5" fillId="6" borderId="9" xfId="0" applyNumberFormat="1" applyFont="1" applyFill="1" applyBorder="1" applyAlignment="1">
      <alignment horizontal="center" vertical="center" wrapText="1"/>
    </xf>
    <xf numFmtId="166" fontId="4" fillId="4" borderId="0" xfId="0" applyNumberFormat="1" applyFont="1" applyFill="1"/>
    <xf numFmtId="49" fontId="4" fillId="7" borderId="27" xfId="0" applyNumberFormat="1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165" fontId="5" fillId="7" borderId="0" xfId="0" applyNumberFormat="1" applyFont="1" applyFill="1" applyAlignment="1">
      <alignment horizontal="right" vertical="center"/>
    </xf>
    <xf numFmtId="0" fontId="5" fillId="7" borderId="4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right" vertical="center"/>
    </xf>
    <xf numFmtId="165" fontId="4" fillId="7" borderId="2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49" fontId="5" fillId="4" borderId="26" xfId="0" applyNumberFormat="1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49" fontId="10" fillId="7" borderId="0" xfId="0" applyNumberFormat="1" applyFont="1" applyFill="1" applyAlignment="1">
      <alignment vertical="center" wrapText="1"/>
    </xf>
    <xf numFmtId="49" fontId="10" fillId="7" borderId="0" xfId="0" applyNumberFormat="1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165" fontId="9" fillId="7" borderId="0" xfId="0" applyNumberFormat="1" applyFont="1" applyFill="1" applyAlignment="1">
      <alignment vertical="center"/>
    </xf>
    <xf numFmtId="0" fontId="10" fillId="0" borderId="0" xfId="0" applyFont="1"/>
    <xf numFmtId="165" fontId="9" fillId="7" borderId="0" xfId="0" applyNumberFormat="1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49" fontId="10" fillId="7" borderId="2" xfId="0" applyNumberFormat="1" applyFont="1" applyFill="1" applyBorder="1" applyAlignment="1">
      <alignment horizontal="left" vertical="center"/>
    </xf>
    <xf numFmtId="49" fontId="10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right" vertical="center"/>
    </xf>
    <xf numFmtId="0" fontId="9" fillId="7" borderId="3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right" vertical="center" wrapText="1"/>
    </xf>
    <xf numFmtId="0" fontId="9" fillId="7" borderId="4" xfId="0" applyFont="1" applyFill="1" applyBorder="1" applyAlignment="1">
      <alignment horizontal="left" vertical="center"/>
    </xf>
    <xf numFmtId="49" fontId="10" fillId="7" borderId="0" xfId="0" applyNumberFormat="1" applyFont="1" applyFill="1" applyAlignment="1">
      <alignment horizontal="left" vertical="center"/>
    </xf>
    <xf numFmtId="49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165" fontId="9" fillId="7" borderId="0" xfId="0" applyNumberFormat="1" applyFont="1" applyFill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0" fillId="7" borderId="0" xfId="0" applyFont="1" applyFill="1" applyAlignment="1">
      <alignment horizontal="right" vertical="center" wrapText="1"/>
    </xf>
    <xf numFmtId="49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" fontId="10" fillId="7" borderId="0" xfId="0" applyNumberFormat="1" applyFont="1" applyFill="1" applyAlignment="1">
      <alignment horizontal="right" vertical="center"/>
    </xf>
    <xf numFmtId="16" fontId="10" fillId="7" borderId="0" xfId="0" applyNumberFormat="1" applyFont="1" applyFill="1" applyAlignment="1">
      <alignment horizontal="right" vertical="center" wrapText="1"/>
    </xf>
    <xf numFmtId="0" fontId="10" fillId="7" borderId="0" xfId="0" applyFont="1" applyFill="1" applyAlignment="1">
      <alignment horizontal="right" vertical="center"/>
    </xf>
    <xf numFmtId="171" fontId="10" fillId="7" borderId="0" xfId="0" applyNumberFormat="1" applyFont="1" applyFill="1" applyAlignment="1">
      <alignment horizontal="right" vertical="center"/>
    </xf>
    <xf numFmtId="171" fontId="10" fillId="7" borderId="0" xfId="0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9" fillId="7" borderId="28" xfId="0" applyFont="1" applyFill="1" applyBorder="1" applyAlignment="1">
      <alignment horizontal="left" vertical="center"/>
    </xf>
    <xf numFmtId="49" fontId="10" fillId="7" borderId="27" xfId="0" applyNumberFormat="1" applyFont="1" applyFill="1" applyBorder="1" applyAlignment="1">
      <alignment horizontal="left" vertical="center"/>
    </xf>
    <xf numFmtId="49" fontId="9" fillId="4" borderId="27" xfId="0" applyNumberFormat="1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165" fontId="10" fillId="4" borderId="27" xfId="0" applyNumberFormat="1" applyFont="1" applyFill="1" applyBorder="1" applyAlignment="1">
      <alignment horizontal="center" vertical="center"/>
    </xf>
    <xf numFmtId="165" fontId="9" fillId="7" borderId="27" xfId="0" applyNumberFormat="1" applyFont="1" applyFill="1" applyBorder="1" applyAlignment="1">
      <alignment horizontal="right" vertical="center"/>
    </xf>
    <xf numFmtId="167" fontId="9" fillId="7" borderId="26" xfId="0" applyNumberFormat="1" applyFont="1" applyFill="1" applyBorder="1" applyAlignment="1">
      <alignment horizontal="right" vertical="center"/>
    </xf>
    <xf numFmtId="167" fontId="9" fillId="7" borderId="0" xfId="0" applyNumberFormat="1" applyFont="1" applyFill="1" applyAlignment="1">
      <alignment horizontal="right" vertical="center"/>
    </xf>
    <xf numFmtId="167" fontId="9" fillId="7" borderId="0" xfId="0" applyNumberFormat="1" applyFont="1" applyFill="1" applyAlignment="1">
      <alignment horizontal="right" vertical="center" wrapText="1"/>
    </xf>
    <xf numFmtId="0" fontId="16" fillId="12" borderId="49" xfId="0" applyFont="1" applyFill="1" applyBorder="1" applyAlignment="1">
      <alignment horizontal="center" vertical="center"/>
    </xf>
    <xf numFmtId="49" fontId="16" fillId="12" borderId="50" xfId="0" applyNumberFormat="1" applyFont="1" applyFill="1" applyBorder="1" applyAlignment="1">
      <alignment horizontal="center" vertical="center" wrapText="1"/>
    </xf>
    <xf numFmtId="0" fontId="16" fillId="12" borderId="50" xfId="0" applyFont="1" applyFill="1" applyBorder="1" applyAlignment="1">
      <alignment horizontal="center" vertical="center"/>
    </xf>
    <xf numFmtId="165" fontId="16" fillId="12" borderId="50" xfId="0" applyNumberFormat="1" applyFont="1" applyFill="1" applyBorder="1" applyAlignment="1">
      <alignment horizontal="center" vertical="center"/>
    </xf>
    <xf numFmtId="165" fontId="16" fillId="12" borderId="51" xfId="0" applyNumberFormat="1" applyFont="1" applyFill="1" applyBorder="1" applyAlignment="1">
      <alignment horizontal="center" vertical="center"/>
    </xf>
    <xf numFmtId="43" fontId="15" fillId="2" borderId="0" xfId="1" applyNumberFormat="1" applyFont="1" applyFill="1" applyAlignment="1">
      <alignment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vertical="center"/>
    </xf>
    <xf numFmtId="167" fontId="9" fillId="10" borderId="34" xfId="0" applyNumberFormat="1" applyFont="1" applyFill="1" applyBorder="1" applyAlignment="1">
      <alignment vertical="center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14" borderId="11" xfId="0" applyFont="1" applyFill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67" fontId="10" fillId="0" borderId="11" xfId="0" applyNumberFormat="1" applyFont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  <xf numFmtId="44" fontId="10" fillId="0" borderId="0" xfId="0" applyNumberFormat="1" applyFont="1"/>
    <xf numFmtId="167" fontId="10" fillId="4" borderId="8" xfId="0" applyNumberFormat="1" applyFont="1" applyFill="1" applyBorder="1" applyAlignment="1">
      <alignment horizontal="center" vertical="center"/>
    </xf>
    <xf numFmtId="167" fontId="9" fillId="3" borderId="10" xfId="0" applyNumberFormat="1" applyFont="1" applyFill="1" applyBorder="1" applyAlignment="1">
      <alignment horizontal="center" vertical="center" wrapText="1"/>
    </xf>
    <xf numFmtId="168" fontId="10" fillId="4" borderId="5" xfId="0" applyNumberFormat="1" applyFont="1" applyFill="1" applyBorder="1" applyAlignment="1">
      <alignment horizontal="center" vertical="center"/>
    </xf>
    <xf numFmtId="167" fontId="9" fillId="17" borderId="9" xfId="0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0" fontId="9" fillId="4" borderId="17" xfId="0" applyFont="1" applyFill="1" applyBorder="1" applyAlignment="1">
      <alignment horizontal="left" vertical="center" wrapText="1"/>
    </xf>
    <xf numFmtId="167" fontId="10" fillId="13" borderId="8" xfId="0" applyNumberFormat="1" applyFont="1" applyFill="1" applyBorder="1" applyAlignment="1">
      <alignment horizontal="center" vertical="center"/>
    </xf>
    <xf numFmtId="167" fontId="10" fillId="4" borderId="9" xfId="0" applyNumberFormat="1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/>
    </xf>
    <xf numFmtId="0" fontId="9" fillId="13" borderId="17" xfId="0" applyFont="1" applyFill="1" applyBorder="1" applyAlignment="1">
      <alignment horizontal="left" vertical="center" wrapText="1"/>
    </xf>
    <xf numFmtId="168" fontId="17" fillId="0" borderId="5" xfId="0" applyNumberFormat="1" applyFont="1" applyBorder="1" applyAlignment="1">
      <alignment horizontal="center" vertical="center" wrapText="1"/>
    </xf>
    <xf numFmtId="0" fontId="10" fillId="16" borderId="14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left" vertical="top" wrapText="1"/>
    </xf>
    <xf numFmtId="49" fontId="10" fillId="3" borderId="11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167" fontId="10" fillId="3" borderId="11" xfId="0" applyNumberFormat="1" applyFont="1" applyFill="1" applyBorder="1" applyAlignment="1">
      <alignment horizontal="center" vertical="center"/>
    </xf>
    <xf numFmtId="167" fontId="10" fillId="3" borderId="13" xfId="0" applyNumberFormat="1" applyFont="1" applyFill="1" applyBorder="1" applyAlignment="1">
      <alignment horizontal="center" vertical="center"/>
    </xf>
    <xf numFmtId="168" fontId="17" fillId="0" borderId="5" xfId="0" applyNumberFormat="1" applyFont="1" applyBorder="1" applyAlignment="1">
      <alignment horizontal="center" vertical="center"/>
    </xf>
    <xf numFmtId="167" fontId="10" fillId="3" borderId="8" xfId="0" applyNumberFormat="1" applyFont="1" applyFill="1" applyBorder="1" applyAlignment="1">
      <alignment horizontal="center" vertical="center"/>
    </xf>
    <xf numFmtId="167" fontId="10" fillId="3" borderId="9" xfId="0" applyNumberFormat="1" applyFont="1" applyFill="1" applyBorder="1" applyAlignment="1">
      <alignment horizontal="center" vertical="center"/>
    </xf>
    <xf numFmtId="0" fontId="9" fillId="10" borderId="42" xfId="0" applyFont="1" applyFill="1" applyBorder="1" applyAlignment="1">
      <alignment vertical="center"/>
    </xf>
    <xf numFmtId="0" fontId="9" fillId="10" borderId="43" xfId="0" applyFont="1" applyFill="1" applyBorder="1" applyAlignment="1">
      <alignment vertical="center"/>
    </xf>
    <xf numFmtId="0" fontId="9" fillId="10" borderId="25" xfId="0" applyFont="1" applyFill="1" applyBorder="1" applyAlignment="1">
      <alignment horizontal="right" vertical="center"/>
    </xf>
    <xf numFmtId="170" fontId="9" fillId="10" borderId="44" xfId="0" applyNumberFormat="1" applyFont="1" applyFill="1" applyBorder="1" applyAlignment="1">
      <alignment vertical="center"/>
    </xf>
    <xf numFmtId="169" fontId="9" fillId="9" borderId="19" xfId="0" applyNumberFormat="1" applyFont="1" applyFill="1" applyBorder="1" applyAlignment="1">
      <alignment vertical="center"/>
    </xf>
    <xf numFmtId="169" fontId="9" fillId="9" borderId="20" xfId="0" applyNumberFormat="1" applyFont="1" applyFill="1" applyBorder="1" applyAlignment="1">
      <alignment vertical="center"/>
    </xf>
    <xf numFmtId="169" fontId="9" fillId="7" borderId="7" xfId="0" applyNumberFormat="1" applyFont="1" applyFill="1" applyBorder="1" applyAlignment="1">
      <alignment vertical="center"/>
    </xf>
    <xf numFmtId="169" fontId="9" fillId="4" borderId="0" xfId="0" applyNumberFormat="1" applyFont="1" applyFill="1" applyAlignment="1">
      <alignment vertical="center"/>
    </xf>
    <xf numFmtId="169" fontId="9" fillId="4" borderId="0" xfId="0" applyNumberFormat="1" applyFont="1" applyFill="1" applyAlignment="1">
      <alignment vertical="center" wrapText="1"/>
    </xf>
    <xf numFmtId="169" fontId="9" fillId="4" borderId="9" xfId="0" applyNumberFormat="1" applyFont="1" applyFill="1" applyBorder="1" applyAlignment="1">
      <alignment vertical="center"/>
    </xf>
    <xf numFmtId="169" fontId="9" fillId="7" borderId="9" xfId="0" applyNumberFormat="1" applyFont="1" applyFill="1" applyBorder="1" applyAlignment="1">
      <alignment vertical="center"/>
    </xf>
    <xf numFmtId="167" fontId="9" fillId="10" borderId="48" xfId="0" applyNumberFormat="1" applyFont="1" applyFill="1" applyBorder="1" applyAlignment="1">
      <alignment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/>
    </xf>
    <xf numFmtId="9" fontId="9" fillId="11" borderId="31" xfId="0" applyNumberFormat="1" applyFont="1" applyFill="1" applyBorder="1" applyAlignment="1">
      <alignment horizontal="center" vertical="center" wrapText="1"/>
    </xf>
    <xf numFmtId="169" fontId="9" fillId="11" borderId="33" xfId="0" applyNumberFormat="1" applyFont="1" applyFill="1" applyBorder="1" applyAlignment="1">
      <alignment vertical="center"/>
    </xf>
    <xf numFmtId="169" fontId="10" fillId="4" borderId="8" xfId="0" applyNumberFormat="1" applyFont="1" applyFill="1" applyBorder="1" applyAlignment="1">
      <alignment vertical="center"/>
    </xf>
    <xf numFmtId="169" fontId="10" fillId="4" borderId="9" xfId="0" applyNumberFormat="1" applyFont="1" applyFill="1" applyBorder="1" applyAlignment="1">
      <alignment vertical="center" wrapText="1"/>
    </xf>
    <xf numFmtId="9" fontId="9" fillId="11" borderId="15" xfId="0" applyNumberFormat="1" applyFont="1" applyFill="1" applyBorder="1" applyAlignment="1">
      <alignment horizontal="center" vertical="center" wrapText="1"/>
    </xf>
    <xf numFmtId="169" fontId="9" fillId="11" borderId="22" xfId="0" applyNumberFormat="1" applyFont="1" applyFill="1" applyBorder="1" applyAlignment="1">
      <alignment vertical="center"/>
    </xf>
    <xf numFmtId="49" fontId="9" fillId="11" borderId="29" xfId="0" applyNumberFormat="1" applyFont="1" applyFill="1" applyBorder="1" applyAlignment="1">
      <alignment horizontal="center" vertical="center" wrapText="1"/>
    </xf>
    <xf numFmtId="169" fontId="9" fillId="11" borderId="16" xfId="0" applyNumberFormat="1" applyFont="1" applyFill="1" applyBorder="1" applyAlignment="1">
      <alignment vertical="center"/>
    </xf>
    <xf numFmtId="169" fontId="9" fillId="10" borderId="41" xfId="0" applyNumberFormat="1" applyFont="1" applyFill="1" applyBorder="1" applyAlignment="1">
      <alignment vertical="center"/>
    </xf>
    <xf numFmtId="169" fontId="9" fillId="9" borderId="8" xfId="0" applyNumberFormat="1" applyFont="1" applyFill="1" applyBorder="1" applyAlignment="1">
      <alignment vertical="center"/>
    </xf>
    <xf numFmtId="169" fontId="9" fillId="9" borderId="9" xfId="0" applyNumberFormat="1" applyFont="1" applyFill="1" applyBorder="1" applyAlignment="1">
      <alignment vertical="center"/>
    </xf>
    <xf numFmtId="0" fontId="19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165" fontId="9" fillId="4" borderId="0" xfId="0" applyNumberFormat="1" applyFont="1" applyFill="1" applyAlignment="1">
      <alignment vertical="center"/>
    </xf>
    <xf numFmtId="165" fontId="9" fillId="4" borderId="0" xfId="0" applyNumberFormat="1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9" fillId="13" borderId="11" xfId="0" applyFont="1" applyFill="1" applyBorder="1" applyAlignment="1">
      <alignment horizontal="left" vertical="center" wrapText="1"/>
    </xf>
    <xf numFmtId="170" fontId="5" fillId="5" borderId="19" xfId="0" applyNumberFormat="1" applyFont="1" applyFill="1" applyBorder="1" applyAlignment="1">
      <alignment horizontal="center" vertical="center"/>
    </xf>
    <xf numFmtId="170" fontId="5" fillId="5" borderId="23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7" fontId="5" fillId="6" borderId="8" xfId="0" applyNumberFormat="1" applyFont="1" applyFill="1" applyBorder="1" applyAlignment="1">
      <alignment horizontal="center" vertical="center" wrapText="1"/>
    </xf>
    <xf numFmtId="167" fontId="5" fillId="6" borderId="10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65" fontId="16" fillId="12" borderId="6" xfId="0" applyNumberFormat="1" applyFont="1" applyFill="1" applyBorder="1" applyAlignment="1">
      <alignment horizontal="center" vertical="center"/>
    </xf>
    <xf numFmtId="0" fontId="11" fillId="0" borderId="7" xfId="0" applyFont="1" applyBorder="1"/>
    <xf numFmtId="0" fontId="14" fillId="0" borderId="0" xfId="0" applyFont="1" applyAlignment="1">
      <alignment horizontal="center"/>
    </xf>
    <xf numFmtId="49" fontId="9" fillId="11" borderId="36" xfId="0" applyNumberFormat="1" applyFont="1" applyFill="1" applyBorder="1" applyAlignment="1">
      <alignment horizontal="right" vertical="center" wrapText="1"/>
    </xf>
    <xf numFmtId="0" fontId="11" fillId="0" borderId="30" xfId="0" applyFont="1" applyBorder="1"/>
    <xf numFmtId="49" fontId="9" fillId="10" borderId="38" xfId="0" applyNumberFormat="1" applyFont="1" applyFill="1" applyBorder="1" applyAlignment="1">
      <alignment horizontal="right" vertical="center" wrapText="1"/>
    </xf>
    <xf numFmtId="0" fontId="11" fillId="0" borderId="39" xfId="0" applyFont="1" applyBorder="1"/>
    <xf numFmtId="0" fontId="11" fillId="0" borderId="40" xfId="0" applyFont="1" applyBorder="1"/>
    <xf numFmtId="165" fontId="9" fillId="8" borderId="19" xfId="0" applyNumberFormat="1" applyFont="1" applyFill="1" applyBorder="1" applyAlignment="1">
      <alignment horizontal="center" vertical="center"/>
    </xf>
    <xf numFmtId="165" fontId="9" fillId="8" borderId="20" xfId="0" applyNumberFormat="1" applyFont="1" applyFill="1" applyBorder="1" applyAlignment="1">
      <alignment horizontal="center" vertical="center"/>
    </xf>
    <xf numFmtId="49" fontId="9" fillId="7" borderId="6" xfId="0" applyNumberFormat="1" applyFont="1" applyFill="1" applyBorder="1" applyAlignment="1">
      <alignment horizontal="right" vertical="center" wrapText="1"/>
    </xf>
    <xf numFmtId="49" fontId="9" fillId="7" borderId="24" xfId="0" applyNumberFormat="1" applyFont="1" applyFill="1" applyBorder="1" applyAlignment="1">
      <alignment horizontal="right" vertical="center" wrapText="1"/>
    </xf>
    <xf numFmtId="49" fontId="9" fillId="7" borderId="8" xfId="0" applyNumberFormat="1" applyFont="1" applyFill="1" applyBorder="1" applyAlignment="1">
      <alignment horizontal="right" vertical="center" wrapText="1"/>
    </xf>
    <xf numFmtId="49" fontId="9" fillId="7" borderId="10" xfId="0" applyNumberFormat="1" applyFont="1" applyFill="1" applyBorder="1" applyAlignment="1">
      <alignment horizontal="right" vertical="center" wrapText="1"/>
    </xf>
    <xf numFmtId="49" fontId="12" fillId="10" borderId="45" xfId="0" applyNumberFormat="1" applyFont="1" applyFill="1" applyBorder="1" applyAlignment="1">
      <alignment horizontal="right" vertical="center" wrapText="1"/>
    </xf>
    <xf numFmtId="0" fontId="11" fillId="0" borderId="46" xfId="0" applyFont="1" applyBorder="1"/>
    <xf numFmtId="0" fontId="11" fillId="0" borderId="47" xfId="0" applyFont="1" applyBorder="1"/>
    <xf numFmtId="49" fontId="12" fillId="11" borderId="37" xfId="0" applyNumberFormat="1" applyFont="1" applyFill="1" applyBorder="1" applyAlignment="1">
      <alignment horizontal="right" vertical="center" wrapText="1"/>
    </xf>
    <xf numFmtId="0" fontId="11" fillId="0" borderId="32" xfId="0" applyFont="1" applyBorder="1" applyAlignment="1">
      <alignment horizontal="right"/>
    </xf>
    <xf numFmtId="49" fontId="9" fillId="11" borderId="35" xfId="0" applyNumberFormat="1" applyFont="1" applyFill="1" applyBorder="1" applyAlignment="1">
      <alignment horizontal="right" vertical="center" wrapText="1"/>
    </xf>
    <xf numFmtId="0" fontId="11" fillId="0" borderId="12" xfId="0" applyFont="1" applyBorder="1"/>
  </cellXfs>
  <cellStyles count="39">
    <cellStyle name="Moeda 13" xfId="3" xr:uid="{00000000-0005-0000-0000-000001000000}"/>
    <cellStyle name="Moeda 2" xfId="7" xr:uid="{00000000-0005-0000-0000-000002000000}"/>
    <cellStyle name="Moeda 2 2" xfId="23" xr:uid="{00000000-0005-0000-0000-000003000000}"/>
    <cellStyle name="Moeda 2 2 2 2" xfId="4" xr:uid="{00000000-0005-0000-0000-000004000000}"/>
    <cellStyle name="Moeda 3" xfId="9" xr:uid="{00000000-0005-0000-0000-000005000000}"/>
    <cellStyle name="Moeda 3 2" xfId="25" xr:uid="{00000000-0005-0000-0000-000006000000}"/>
    <cellStyle name="Moeda 4" xfId="13" xr:uid="{00000000-0005-0000-0000-000007000000}"/>
    <cellStyle name="Moeda 4 2" xfId="29" xr:uid="{00000000-0005-0000-0000-000008000000}"/>
    <cellStyle name="Moeda 5" xfId="15" xr:uid="{00000000-0005-0000-0000-000009000000}"/>
    <cellStyle name="Moeda 5 2" xfId="31" xr:uid="{00000000-0005-0000-0000-00000A000000}"/>
    <cellStyle name="Normal" xfId="0" builtinId="0"/>
    <cellStyle name="Normal 10" xfId="5" xr:uid="{00000000-0005-0000-0000-00000C000000}"/>
    <cellStyle name="Normal 2" xfId="6" xr:uid="{00000000-0005-0000-0000-00000D000000}"/>
    <cellStyle name="Normal 2 2" xfId="2" xr:uid="{00000000-0005-0000-0000-00000E000000}"/>
    <cellStyle name="Normal 2 2 2" xfId="24" xr:uid="{00000000-0005-0000-0000-00000F000000}"/>
    <cellStyle name="Normal 2 2 3" xfId="8" xr:uid="{00000000-0005-0000-0000-000010000000}"/>
    <cellStyle name="Normal 2 3" xfId="22" xr:uid="{00000000-0005-0000-0000-000011000000}"/>
    <cellStyle name="Normal 2 4" xfId="37" xr:uid="{00000000-0005-0000-0000-000012000000}"/>
    <cellStyle name="Normal 3" xfId="10" xr:uid="{00000000-0005-0000-0000-000013000000}"/>
    <cellStyle name="Normal 3 2" xfId="26" xr:uid="{00000000-0005-0000-0000-000014000000}"/>
    <cellStyle name="Normal 4" xfId="14" xr:uid="{00000000-0005-0000-0000-000015000000}"/>
    <cellStyle name="Normal 4 2" xfId="30" xr:uid="{00000000-0005-0000-0000-000016000000}"/>
    <cellStyle name="Normal 5" xfId="11" xr:uid="{00000000-0005-0000-0000-000017000000}"/>
    <cellStyle name="Normal 5 2" xfId="20" xr:uid="{00000000-0005-0000-0000-000018000000}"/>
    <cellStyle name="Normal 5 3" xfId="27" xr:uid="{00000000-0005-0000-0000-000019000000}"/>
    <cellStyle name="Normal 5 4" xfId="38" xr:uid="{00000000-0005-0000-0000-00001A000000}"/>
    <cellStyle name="Normal 6" xfId="16" xr:uid="{00000000-0005-0000-0000-00001B000000}"/>
    <cellStyle name="Normal 6 2" xfId="32" xr:uid="{00000000-0005-0000-0000-00001C000000}"/>
    <cellStyle name="Normal 7" xfId="19" xr:uid="{00000000-0005-0000-0000-00001D000000}"/>
    <cellStyle name="Normal 7 2" xfId="35" xr:uid="{00000000-0005-0000-0000-00001E000000}"/>
    <cellStyle name="Normal 8" xfId="21" xr:uid="{00000000-0005-0000-0000-00001F000000}"/>
    <cellStyle name="Normal 9" xfId="36" xr:uid="{00000000-0005-0000-0000-000020000000}"/>
    <cellStyle name="Normal_Xl0000065" xfId="1" xr:uid="{00000000-0005-0000-0000-000021000000}"/>
    <cellStyle name="Porcentagem 2" xfId="12" xr:uid="{00000000-0005-0000-0000-000023000000}"/>
    <cellStyle name="Porcentagem 2 2" xfId="28" xr:uid="{00000000-0005-0000-0000-000024000000}"/>
    <cellStyle name="Porcentagem 3" xfId="17" xr:uid="{00000000-0005-0000-0000-000025000000}"/>
    <cellStyle name="Porcentagem 3 2" xfId="33" xr:uid="{00000000-0005-0000-0000-000026000000}"/>
    <cellStyle name="Vírgula 2" xfId="18" xr:uid="{00000000-0005-0000-0000-000027000000}"/>
    <cellStyle name="Vírgula 2 2" xfId="34" xr:uid="{00000000-0005-0000-0000-000028000000}"/>
  </cellStyles>
  <dxfs count="0"/>
  <tableStyles count="0" defaultTableStyle="TableStyleMedium2" defaultPivotStyle="PivotStyleLight16"/>
  <colors>
    <mruColors>
      <color rgb="FF9875A4"/>
      <color rgb="FF87AFD2"/>
      <color rgb="FF247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</xdr:colOff>
      <xdr:row>2</xdr:row>
      <xdr:rowOff>79375</xdr:rowOff>
    </xdr:from>
    <xdr:to>
      <xdr:col>2</xdr:col>
      <xdr:colOff>325755</xdr:colOff>
      <xdr:row>7</xdr:row>
      <xdr:rowOff>15875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4CBB78-C487-F88D-A92B-F600FD06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15" y="484188"/>
          <a:ext cx="3381216" cy="9523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494631</xdr:colOff>
      <xdr:row>2</xdr:row>
      <xdr:rowOff>173789</xdr:rowOff>
    </xdr:from>
    <xdr:to>
      <xdr:col>2</xdr:col>
      <xdr:colOff>5694394</xdr:colOff>
      <xdr:row>9</xdr:row>
      <xdr:rowOff>92402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55FD81-D860-0445-8CD6-66EC744B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588210"/>
          <a:ext cx="5797532" cy="15917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2</xdr:row>
      <xdr:rowOff>152400</xdr:rowOff>
    </xdr:from>
    <xdr:to>
      <xdr:col>12</xdr:col>
      <xdr:colOff>538100</xdr:colOff>
      <xdr:row>25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55B6D3-429E-1A2B-54C4-3FFB62A8C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" y="514350"/>
          <a:ext cx="7217030" cy="408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8"/>
  <sheetViews>
    <sheetView showGridLines="0" tabSelected="1" zoomScaleNormal="100" workbookViewId="0"/>
  </sheetViews>
  <sheetFormatPr defaultColWidth="14.44140625" defaultRowHeight="15" customHeight="1" x14ac:dyDescent="0.3"/>
  <cols>
    <col min="1" max="1" width="3.44140625" style="1" customWidth="1"/>
    <col min="2" max="2" width="45.33203125" style="1" customWidth="1"/>
    <col min="3" max="3" width="28.88671875" style="1" customWidth="1"/>
    <col min="4" max="4" width="35.5546875" style="1" customWidth="1"/>
    <col min="5" max="5" width="18" style="1" customWidth="1"/>
    <col min="6" max="7" width="32" style="1" customWidth="1"/>
    <col min="8" max="8" width="8.88671875" style="1" customWidth="1"/>
    <col min="9" max="16384" width="14.44140625" style="1"/>
  </cols>
  <sheetData>
    <row r="1" spans="1:8" ht="15.6" x14ac:dyDescent="0.3">
      <c r="B1" s="19"/>
      <c r="C1" s="18"/>
      <c r="D1" s="17" t="s">
        <v>0</v>
      </c>
    </row>
    <row r="2" spans="1:8" ht="15.6" x14ac:dyDescent="0.3">
      <c r="B2" s="16"/>
      <c r="C2" s="15" t="s">
        <v>1</v>
      </c>
      <c r="D2" s="20" t="s">
        <v>58</v>
      </c>
    </row>
    <row r="3" spans="1:8" ht="15.6" x14ac:dyDescent="0.3">
      <c r="B3" s="16"/>
      <c r="C3" s="15" t="s">
        <v>2</v>
      </c>
      <c r="D3" s="21" t="s">
        <v>61</v>
      </c>
    </row>
    <row r="4" spans="1:8" ht="15.6" x14ac:dyDescent="0.3">
      <c r="B4" s="16"/>
      <c r="C4" s="15" t="s">
        <v>3</v>
      </c>
      <c r="D4" s="21" t="s">
        <v>61</v>
      </c>
    </row>
    <row r="5" spans="1:8" ht="15.6" x14ac:dyDescent="0.3">
      <c r="B5" s="16"/>
      <c r="C5" s="15" t="s">
        <v>4</v>
      </c>
      <c r="D5" s="21" t="s">
        <v>61</v>
      </c>
    </row>
    <row r="6" spans="1:8" ht="15.6" x14ac:dyDescent="0.3">
      <c r="B6" s="16"/>
      <c r="C6" s="15" t="s">
        <v>5</v>
      </c>
      <c r="D6" s="21" t="s">
        <v>61</v>
      </c>
    </row>
    <row r="7" spans="1:8" ht="15.6" x14ac:dyDescent="0.3">
      <c r="B7" s="16"/>
      <c r="C7" s="15" t="s">
        <v>6</v>
      </c>
      <c r="D7" s="21" t="s">
        <v>61</v>
      </c>
    </row>
    <row r="8" spans="1:8" ht="15.6" x14ac:dyDescent="0.3">
      <c r="B8" s="16"/>
      <c r="C8" s="15" t="s">
        <v>7</v>
      </c>
      <c r="D8" s="20" t="s">
        <v>59</v>
      </c>
    </row>
    <row r="9" spans="1:8" ht="15.6" x14ac:dyDescent="0.3">
      <c r="B9" s="16"/>
      <c r="C9" s="15" t="s">
        <v>33</v>
      </c>
      <c r="D9" s="20" t="s">
        <v>62</v>
      </c>
    </row>
    <row r="10" spans="1:8" ht="15.6" x14ac:dyDescent="0.3">
      <c r="B10" s="16"/>
      <c r="C10" s="15" t="s">
        <v>32</v>
      </c>
      <c r="D10" s="20" t="s">
        <v>63</v>
      </c>
    </row>
    <row r="11" spans="1:8" ht="15.6" x14ac:dyDescent="0.3">
      <c r="B11" s="16"/>
      <c r="C11" s="15" t="s">
        <v>60</v>
      </c>
      <c r="D11" s="20" t="s">
        <v>61</v>
      </c>
    </row>
    <row r="12" spans="1:8" ht="16.2" thickBot="1" x14ac:dyDescent="0.35">
      <c r="B12" s="14"/>
      <c r="C12" s="13"/>
      <c r="D12" s="22"/>
    </row>
    <row r="13" spans="1:8" ht="15.75" customHeight="1" x14ac:dyDescent="0.3">
      <c r="A13" s="2"/>
      <c r="B13" s="2"/>
      <c r="C13" s="12"/>
      <c r="D13" s="2"/>
      <c r="E13" s="2"/>
      <c r="F13" s="2"/>
      <c r="G13" s="2"/>
      <c r="H13" s="2"/>
    </row>
    <row r="14" spans="1:8" ht="16.2" thickBot="1" x14ac:dyDescent="0.35">
      <c r="A14" s="2"/>
      <c r="B14" s="2"/>
      <c r="C14" s="12"/>
      <c r="D14" s="2"/>
      <c r="F14" s="2"/>
      <c r="G14" s="2"/>
      <c r="H14" s="2"/>
    </row>
    <row r="15" spans="1:8" s="4" customFormat="1" ht="15.6" x14ac:dyDescent="0.3">
      <c r="A15" s="5"/>
      <c r="B15" s="145" t="s">
        <v>31</v>
      </c>
      <c r="C15" s="146"/>
      <c r="D15" s="147"/>
      <c r="E15" s="1"/>
      <c r="F15" s="148" t="s">
        <v>30</v>
      </c>
      <c r="G15" s="149"/>
      <c r="H15" s="5"/>
    </row>
    <row r="16" spans="1:8" s="4" customFormat="1" ht="31.2" x14ac:dyDescent="0.3">
      <c r="A16" s="5"/>
      <c r="B16" s="150" t="s">
        <v>29</v>
      </c>
      <c r="C16" s="151"/>
      <c r="D16" s="11" t="s">
        <v>28</v>
      </c>
      <c r="E16" s="1"/>
      <c r="F16" s="10" t="s">
        <v>27</v>
      </c>
      <c r="G16" s="9" t="s">
        <v>78</v>
      </c>
      <c r="H16" s="5"/>
    </row>
    <row r="17" spans="1:8" s="4" customFormat="1" ht="26.1" customHeight="1" x14ac:dyDescent="0.3">
      <c r="A17" s="5"/>
      <c r="B17" s="152" t="s">
        <v>26</v>
      </c>
      <c r="C17" s="153"/>
      <c r="D17" s="7">
        <f>GERAL!I$43</f>
        <v>99000</v>
      </c>
      <c r="E17" s="1"/>
      <c r="F17" s="8">
        <f>GERAL!K$43</f>
        <v>0</v>
      </c>
      <c r="G17" s="7">
        <f>GERAL!L$43</f>
        <v>99000</v>
      </c>
      <c r="H17" s="5"/>
    </row>
    <row r="18" spans="1:8" s="4" customFormat="1" ht="16.2" thickBot="1" x14ac:dyDescent="0.35">
      <c r="A18" s="5"/>
      <c r="B18" s="143"/>
      <c r="C18" s="144"/>
      <c r="D18" s="6">
        <f>SUM(D17:D17)</f>
        <v>99000</v>
      </c>
      <c r="E18" s="1"/>
      <c r="F18" s="3">
        <f>SUM(F17:F17)</f>
        <v>0</v>
      </c>
      <c r="G18" s="6">
        <f>SUM(G17:G17)</f>
        <v>99000</v>
      </c>
      <c r="H18" s="5"/>
    </row>
    <row r="19" spans="1:8" ht="15.75" customHeight="1" x14ac:dyDescent="0.3">
      <c r="A19" s="2"/>
    </row>
    <row r="20" spans="1:8" ht="15.75" customHeight="1" x14ac:dyDescent="0.3">
      <c r="A20" s="2"/>
    </row>
    <row r="21" spans="1:8" ht="15.75" customHeight="1" x14ac:dyDescent="0.3">
      <c r="A21" s="2"/>
    </row>
    <row r="22" spans="1:8" ht="15.75" customHeight="1" x14ac:dyDescent="0.3">
      <c r="A22" s="2"/>
    </row>
    <row r="23" spans="1:8" ht="15.75" customHeight="1" x14ac:dyDescent="0.3">
      <c r="A23" s="2"/>
    </row>
    <row r="24" spans="1:8" ht="15.75" customHeight="1" x14ac:dyDescent="0.3">
      <c r="A24" s="2"/>
    </row>
    <row r="25" spans="1:8" ht="15.75" customHeight="1" x14ac:dyDescent="0.3">
      <c r="A25" s="2"/>
    </row>
    <row r="26" spans="1:8" ht="15.75" customHeight="1" x14ac:dyDescent="0.3">
      <c r="A26" s="2"/>
    </row>
    <row r="27" spans="1:8" ht="15.75" customHeight="1" x14ac:dyDescent="0.3">
      <c r="A27" s="2"/>
    </row>
    <row r="28" spans="1:8" ht="15.75" customHeight="1" x14ac:dyDescent="0.3">
      <c r="A28" s="2"/>
    </row>
    <row r="29" spans="1:8" ht="15.75" customHeight="1" x14ac:dyDescent="0.3">
      <c r="A29" s="2"/>
    </row>
    <row r="30" spans="1:8" ht="15.75" customHeight="1" x14ac:dyDescent="0.3">
      <c r="A30" s="2"/>
    </row>
    <row r="31" spans="1:8" ht="15.75" customHeight="1" x14ac:dyDescent="0.3">
      <c r="A31" s="2"/>
    </row>
    <row r="32" spans="1:8" ht="15.75" customHeight="1" x14ac:dyDescent="0.3">
      <c r="A32" s="2"/>
    </row>
    <row r="33" spans="1:1" ht="15.75" customHeight="1" x14ac:dyDescent="0.3">
      <c r="A33" s="2"/>
    </row>
    <row r="34" spans="1:1" ht="15.75" customHeight="1" x14ac:dyDescent="0.3">
      <c r="A34" s="2"/>
    </row>
    <row r="35" spans="1:1" ht="15.75" customHeight="1" x14ac:dyDescent="0.3">
      <c r="A35" s="2"/>
    </row>
    <row r="36" spans="1:1" ht="15.75" customHeight="1" x14ac:dyDescent="0.3">
      <c r="A36" s="2"/>
    </row>
    <row r="37" spans="1:1" ht="15.75" customHeight="1" x14ac:dyDescent="0.3">
      <c r="A37" s="2"/>
    </row>
    <row r="38" spans="1:1" ht="15.75" customHeight="1" x14ac:dyDescent="0.3">
      <c r="A38" s="2"/>
    </row>
    <row r="39" spans="1:1" ht="15.75" customHeight="1" x14ac:dyDescent="0.3">
      <c r="A39" s="2"/>
    </row>
    <row r="40" spans="1:1" ht="15.75" customHeight="1" x14ac:dyDescent="0.3">
      <c r="A40" s="2"/>
    </row>
    <row r="41" spans="1:1" ht="15.75" customHeight="1" x14ac:dyDescent="0.3">
      <c r="A41" s="2"/>
    </row>
    <row r="42" spans="1:1" ht="15.75" customHeight="1" x14ac:dyDescent="0.3">
      <c r="A42" s="2"/>
    </row>
    <row r="43" spans="1:1" ht="15.75" customHeight="1" x14ac:dyDescent="0.3">
      <c r="A43" s="2"/>
    </row>
    <row r="44" spans="1:1" ht="15.75" customHeight="1" x14ac:dyDescent="0.3">
      <c r="A44" s="2"/>
    </row>
    <row r="45" spans="1:1" ht="15.75" customHeight="1" x14ac:dyDescent="0.3">
      <c r="A45" s="2"/>
    </row>
    <row r="46" spans="1:1" ht="15.75" customHeight="1" x14ac:dyDescent="0.3">
      <c r="A46" s="2"/>
    </row>
    <row r="47" spans="1:1" ht="15.75" customHeight="1" x14ac:dyDescent="0.3">
      <c r="A47" s="2"/>
    </row>
    <row r="48" spans="1:1" ht="15.75" customHeight="1" x14ac:dyDescent="0.3">
      <c r="A48" s="2"/>
    </row>
    <row r="49" spans="1:1" ht="15.75" customHeight="1" x14ac:dyDescent="0.3">
      <c r="A49" s="2"/>
    </row>
    <row r="50" spans="1:1" ht="15.75" customHeight="1" x14ac:dyDescent="0.3">
      <c r="A50" s="2"/>
    </row>
    <row r="51" spans="1:1" ht="15.75" customHeight="1" x14ac:dyDescent="0.3">
      <c r="A51" s="2"/>
    </row>
    <row r="52" spans="1:1" ht="15.75" customHeight="1" x14ac:dyDescent="0.3">
      <c r="A52" s="2"/>
    </row>
    <row r="53" spans="1:1" ht="15.75" customHeight="1" x14ac:dyDescent="0.3">
      <c r="A53" s="2"/>
    </row>
    <row r="54" spans="1:1" ht="15.75" customHeight="1" x14ac:dyDescent="0.3">
      <c r="A54" s="2"/>
    </row>
    <row r="55" spans="1:1" ht="15.75" customHeight="1" x14ac:dyDescent="0.3">
      <c r="A55" s="2"/>
    </row>
    <row r="56" spans="1:1" ht="15.75" customHeight="1" x14ac:dyDescent="0.3">
      <c r="A56" s="2"/>
    </row>
    <row r="57" spans="1:1" ht="15.75" customHeight="1" x14ac:dyDescent="0.3">
      <c r="A57" s="2"/>
    </row>
    <row r="58" spans="1:1" ht="15.75" customHeight="1" x14ac:dyDescent="0.3">
      <c r="A58" s="2"/>
    </row>
    <row r="59" spans="1:1" ht="15.75" customHeight="1" x14ac:dyDescent="0.3">
      <c r="A59" s="2"/>
    </row>
    <row r="60" spans="1:1" ht="15.75" customHeight="1" x14ac:dyDescent="0.3">
      <c r="A60" s="2"/>
    </row>
    <row r="61" spans="1:1" ht="15.75" customHeight="1" x14ac:dyDescent="0.3">
      <c r="A61" s="2"/>
    </row>
    <row r="62" spans="1:1" ht="15.75" customHeight="1" x14ac:dyDescent="0.3">
      <c r="A62" s="2"/>
    </row>
    <row r="63" spans="1:1" ht="15.75" customHeight="1" x14ac:dyDescent="0.3">
      <c r="A63" s="2"/>
    </row>
    <row r="64" spans="1:1" ht="15.75" customHeight="1" x14ac:dyDescent="0.3">
      <c r="A64" s="2"/>
    </row>
    <row r="65" spans="1:1" ht="15.75" customHeight="1" x14ac:dyDescent="0.3">
      <c r="A65" s="2"/>
    </row>
    <row r="66" spans="1:1" ht="15.75" customHeight="1" x14ac:dyDescent="0.3">
      <c r="A66" s="2"/>
    </row>
    <row r="67" spans="1:1" ht="15.75" customHeight="1" x14ac:dyDescent="0.3">
      <c r="A67" s="2"/>
    </row>
    <row r="68" spans="1:1" ht="15.75" customHeight="1" x14ac:dyDescent="0.3">
      <c r="A68" s="2"/>
    </row>
    <row r="69" spans="1:1" ht="15.75" customHeight="1" x14ac:dyDescent="0.3">
      <c r="A69" s="2"/>
    </row>
    <row r="70" spans="1:1" ht="15.75" customHeight="1" x14ac:dyDescent="0.3">
      <c r="A70" s="2"/>
    </row>
    <row r="71" spans="1:1" ht="15.75" customHeight="1" x14ac:dyDescent="0.3">
      <c r="A71" s="2"/>
    </row>
    <row r="72" spans="1:1" ht="15.75" customHeight="1" x14ac:dyDescent="0.3">
      <c r="A72" s="2"/>
    </row>
    <row r="73" spans="1:1" ht="15.75" customHeight="1" x14ac:dyDescent="0.3">
      <c r="A73" s="2"/>
    </row>
    <row r="74" spans="1:1" ht="15.75" customHeight="1" x14ac:dyDescent="0.3">
      <c r="A74" s="2"/>
    </row>
    <row r="75" spans="1:1" ht="15.75" customHeight="1" x14ac:dyDescent="0.3">
      <c r="A75" s="2"/>
    </row>
    <row r="76" spans="1:1" ht="15.75" customHeight="1" x14ac:dyDescent="0.3">
      <c r="A76" s="2"/>
    </row>
    <row r="77" spans="1:1" ht="15.75" customHeight="1" x14ac:dyDescent="0.3">
      <c r="A77" s="2"/>
    </row>
    <row r="78" spans="1:1" ht="15.75" customHeight="1" x14ac:dyDescent="0.3">
      <c r="A78" s="2"/>
    </row>
    <row r="79" spans="1:1" ht="15.75" customHeight="1" x14ac:dyDescent="0.3">
      <c r="A79" s="2"/>
    </row>
    <row r="80" spans="1:1" ht="15.75" customHeight="1" x14ac:dyDescent="0.3">
      <c r="A80" s="2"/>
    </row>
    <row r="81" spans="1:1" ht="15.75" customHeight="1" x14ac:dyDescent="0.3">
      <c r="A81" s="2"/>
    </row>
    <row r="82" spans="1:1" ht="15.75" customHeight="1" x14ac:dyDescent="0.3">
      <c r="A82" s="2"/>
    </row>
    <row r="83" spans="1:1" ht="15.75" customHeight="1" x14ac:dyDescent="0.3">
      <c r="A83" s="2"/>
    </row>
    <row r="84" spans="1:1" ht="15.75" customHeight="1" x14ac:dyDescent="0.3">
      <c r="A84" s="2"/>
    </row>
    <row r="85" spans="1:1" ht="15.75" customHeight="1" x14ac:dyDescent="0.3">
      <c r="A85" s="2"/>
    </row>
    <row r="86" spans="1:1" ht="15.75" customHeight="1" x14ac:dyDescent="0.3">
      <c r="A86" s="2"/>
    </row>
    <row r="87" spans="1:1" ht="15.75" customHeight="1" x14ac:dyDescent="0.3">
      <c r="A87" s="2"/>
    </row>
    <row r="88" spans="1:1" ht="15.75" customHeight="1" x14ac:dyDescent="0.3">
      <c r="A88" s="2"/>
    </row>
    <row r="89" spans="1:1" ht="15.75" customHeight="1" x14ac:dyDescent="0.3">
      <c r="A89" s="2"/>
    </row>
    <row r="90" spans="1:1" ht="15.75" customHeight="1" x14ac:dyDescent="0.3">
      <c r="A90" s="2"/>
    </row>
    <row r="91" spans="1:1" ht="15.75" customHeight="1" x14ac:dyDescent="0.3">
      <c r="A91" s="2"/>
    </row>
    <row r="92" spans="1:1" ht="15.75" customHeight="1" x14ac:dyDescent="0.3">
      <c r="A92" s="2"/>
    </row>
    <row r="93" spans="1:1" ht="15.75" customHeight="1" x14ac:dyDescent="0.3">
      <c r="A93" s="2"/>
    </row>
    <row r="94" spans="1:1" ht="15.75" customHeight="1" x14ac:dyDescent="0.3">
      <c r="A94" s="2"/>
    </row>
    <row r="95" spans="1:1" ht="15.75" customHeight="1" x14ac:dyDescent="0.3">
      <c r="A95" s="2"/>
    </row>
    <row r="96" spans="1:1" ht="15.75" customHeight="1" x14ac:dyDescent="0.3">
      <c r="A96" s="2"/>
    </row>
    <row r="97" spans="1:1" ht="15.75" customHeight="1" x14ac:dyDescent="0.3">
      <c r="A97" s="2"/>
    </row>
    <row r="98" spans="1:1" ht="15.75" customHeight="1" x14ac:dyDescent="0.3">
      <c r="A98" s="2"/>
    </row>
    <row r="99" spans="1:1" ht="15.75" customHeight="1" x14ac:dyDescent="0.3">
      <c r="A99" s="2"/>
    </row>
    <row r="100" spans="1:1" ht="15.75" customHeight="1" x14ac:dyDescent="0.3">
      <c r="A100" s="2"/>
    </row>
    <row r="101" spans="1:1" ht="15.75" customHeight="1" x14ac:dyDescent="0.3">
      <c r="A101" s="2"/>
    </row>
    <row r="102" spans="1:1" ht="15.75" customHeight="1" x14ac:dyDescent="0.3">
      <c r="A102" s="2"/>
    </row>
    <row r="103" spans="1:1" ht="15.75" customHeight="1" x14ac:dyDescent="0.3">
      <c r="A103" s="2"/>
    </row>
    <row r="104" spans="1:1" ht="15.75" customHeight="1" x14ac:dyDescent="0.3">
      <c r="A104" s="2"/>
    </row>
    <row r="105" spans="1:1" ht="15.75" customHeight="1" x14ac:dyDescent="0.3">
      <c r="A105" s="2"/>
    </row>
    <row r="106" spans="1:1" ht="15.75" customHeight="1" x14ac:dyDescent="0.3">
      <c r="A106" s="2"/>
    </row>
    <row r="107" spans="1:1" ht="15.75" customHeight="1" x14ac:dyDescent="0.3">
      <c r="A107" s="2"/>
    </row>
    <row r="108" spans="1:1" ht="15.75" customHeight="1" x14ac:dyDescent="0.3">
      <c r="A108" s="2"/>
    </row>
    <row r="109" spans="1:1" ht="15.75" customHeight="1" x14ac:dyDescent="0.3">
      <c r="A109" s="2"/>
    </row>
    <row r="110" spans="1:1" ht="15.75" customHeight="1" x14ac:dyDescent="0.3">
      <c r="A110" s="2"/>
    </row>
    <row r="111" spans="1:1" ht="15.75" customHeight="1" x14ac:dyDescent="0.3">
      <c r="A111" s="2"/>
    </row>
    <row r="112" spans="1:1" ht="15.75" customHeight="1" x14ac:dyDescent="0.3">
      <c r="A112" s="2"/>
    </row>
    <row r="113" spans="1:1" ht="15.75" customHeight="1" x14ac:dyDescent="0.3">
      <c r="A113" s="2"/>
    </row>
    <row r="114" spans="1:1" ht="15.75" customHeight="1" x14ac:dyDescent="0.3">
      <c r="A114" s="2"/>
    </row>
    <row r="115" spans="1:1" ht="15.75" customHeight="1" x14ac:dyDescent="0.3">
      <c r="A115" s="2"/>
    </row>
    <row r="116" spans="1:1" ht="15.75" customHeight="1" x14ac:dyDescent="0.3">
      <c r="A116" s="2"/>
    </row>
    <row r="117" spans="1:1" ht="15.75" customHeight="1" x14ac:dyDescent="0.3">
      <c r="A117" s="2"/>
    </row>
    <row r="118" spans="1:1" ht="15.75" customHeight="1" x14ac:dyDescent="0.3">
      <c r="A118" s="2"/>
    </row>
    <row r="119" spans="1:1" ht="15.75" customHeight="1" x14ac:dyDescent="0.3">
      <c r="A119" s="2"/>
    </row>
    <row r="120" spans="1:1" ht="15.75" customHeight="1" x14ac:dyDescent="0.3">
      <c r="A120" s="2"/>
    </row>
    <row r="121" spans="1:1" ht="15.75" customHeight="1" x14ac:dyDescent="0.3">
      <c r="A121" s="2"/>
    </row>
    <row r="122" spans="1:1" ht="15.75" customHeight="1" x14ac:dyDescent="0.3">
      <c r="A122" s="2"/>
    </row>
    <row r="123" spans="1:1" ht="15.75" customHeight="1" x14ac:dyDescent="0.3">
      <c r="A123" s="2"/>
    </row>
    <row r="124" spans="1:1" ht="15.75" customHeight="1" x14ac:dyDescent="0.3">
      <c r="A124" s="2"/>
    </row>
    <row r="125" spans="1:1" ht="15.75" customHeight="1" x14ac:dyDescent="0.3">
      <c r="A125" s="2"/>
    </row>
    <row r="126" spans="1:1" ht="15.75" customHeight="1" x14ac:dyDescent="0.3">
      <c r="A126" s="2"/>
    </row>
    <row r="127" spans="1:1" ht="15.75" customHeight="1" x14ac:dyDescent="0.3">
      <c r="A127" s="2"/>
    </row>
    <row r="128" spans="1:1" ht="15.75" customHeight="1" x14ac:dyDescent="0.3">
      <c r="A128" s="2"/>
    </row>
    <row r="129" spans="1:1" ht="15.75" customHeight="1" x14ac:dyDescent="0.3">
      <c r="A129" s="2"/>
    </row>
    <row r="130" spans="1:1" ht="15.75" customHeight="1" x14ac:dyDescent="0.3">
      <c r="A130" s="2"/>
    </row>
    <row r="131" spans="1:1" ht="15.75" customHeight="1" x14ac:dyDescent="0.3">
      <c r="A131" s="2"/>
    </row>
    <row r="132" spans="1:1" ht="15.75" customHeight="1" x14ac:dyDescent="0.3">
      <c r="A132" s="2"/>
    </row>
    <row r="133" spans="1:1" ht="15.75" customHeight="1" x14ac:dyDescent="0.3">
      <c r="A133" s="2"/>
    </row>
    <row r="134" spans="1:1" ht="15.75" customHeight="1" x14ac:dyDescent="0.3">
      <c r="A134" s="2"/>
    </row>
    <row r="135" spans="1:1" ht="15.75" customHeight="1" x14ac:dyDescent="0.3">
      <c r="A135" s="2"/>
    </row>
    <row r="136" spans="1:1" ht="15.75" customHeight="1" x14ac:dyDescent="0.3">
      <c r="A136" s="2"/>
    </row>
    <row r="137" spans="1:1" ht="15.75" customHeight="1" x14ac:dyDescent="0.3">
      <c r="A137" s="2"/>
    </row>
    <row r="138" spans="1:1" ht="15.75" customHeight="1" x14ac:dyDescent="0.3">
      <c r="A138" s="2"/>
    </row>
    <row r="139" spans="1:1" ht="15.75" customHeight="1" x14ac:dyDescent="0.3">
      <c r="A139" s="2"/>
    </row>
    <row r="140" spans="1:1" ht="15.75" customHeight="1" x14ac:dyDescent="0.3">
      <c r="A140" s="2"/>
    </row>
    <row r="141" spans="1:1" ht="15.75" customHeight="1" x14ac:dyDescent="0.3">
      <c r="A141" s="2"/>
    </row>
    <row r="142" spans="1:1" ht="15.75" customHeight="1" x14ac:dyDescent="0.3">
      <c r="A142" s="2"/>
    </row>
    <row r="143" spans="1:1" ht="15.75" customHeight="1" x14ac:dyDescent="0.3">
      <c r="A143" s="2"/>
    </row>
    <row r="144" spans="1:1" ht="15.75" customHeight="1" x14ac:dyDescent="0.3">
      <c r="A144" s="2"/>
    </row>
    <row r="145" spans="1:1" ht="15.75" customHeight="1" x14ac:dyDescent="0.3">
      <c r="A145" s="2"/>
    </row>
    <row r="146" spans="1:1" ht="15.75" customHeight="1" x14ac:dyDescent="0.3">
      <c r="A146" s="2"/>
    </row>
    <row r="147" spans="1:1" ht="15.75" customHeight="1" x14ac:dyDescent="0.3">
      <c r="A147" s="2"/>
    </row>
    <row r="148" spans="1:1" ht="15.75" customHeight="1" x14ac:dyDescent="0.3">
      <c r="A148" s="2"/>
    </row>
    <row r="149" spans="1:1" ht="15.75" customHeight="1" x14ac:dyDescent="0.3">
      <c r="A149" s="2"/>
    </row>
    <row r="150" spans="1:1" ht="15.75" customHeight="1" x14ac:dyDescent="0.3">
      <c r="A150" s="2"/>
    </row>
    <row r="151" spans="1:1" ht="15.75" customHeight="1" x14ac:dyDescent="0.3">
      <c r="A151" s="2"/>
    </row>
    <row r="152" spans="1:1" ht="15.75" customHeight="1" x14ac:dyDescent="0.3">
      <c r="A152" s="2"/>
    </row>
    <row r="153" spans="1:1" ht="15.75" customHeight="1" x14ac:dyDescent="0.3">
      <c r="A153" s="2"/>
    </row>
    <row r="154" spans="1:1" ht="15.75" customHeight="1" x14ac:dyDescent="0.3">
      <c r="A154" s="2"/>
    </row>
    <row r="155" spans="1:1" ht="15.75" customHeight="1" x14ac:dyDescent="0.3">
      <c r="A155" s="2"/>
    </row>
    <row r="156" spans="1:1" ht="15.75" customHeight="1" x14ac:dyDescent="0.3">
      <c r="A156" s="2"/>
    </row>
    <row r="157" spans="1:1" ht="15.75" customHeight="1" x14ac:dyDescent="0.3">
      <c r="A157" s="2"/>
    </row>
    <row r="158" spans="1:1" ht="15.75" customHeight="1" x14ac:dyDescent="0.3">
      <c r="A158" s="2"/>
    </row>
    <row r="159" spans="1:1" ht="15.75" customHeight="1" x14ac:dyDescent="0.3">
      <c r="A159" s="2"/>
    </row>
    <row r="160" spans="1:1" ht="15.75" customHeight="1" x14ac:dyDescent="0.3">
      <c r="A160" s="2"/>
    </row>
    <row r="161" spans="1:1" ht="15.75" customHeight="1" x14ac:dyDescent="0.3">
      <c r="A161" s="2"/>
    </row>
    <row r="162" spans="1:1" ht="15.75" customHeight="1" x14ac:dyDescent="0.3">
      <c r="A162" s="2"/>
    </row>
    <row r="163" spans="1:1" ht="15.75" customHeight="1" x14ac:dyDescent="0.3">
      <c r="A163" s="2"/>
    </row>
    <row r="164" spans="1:1" ht="15.75" customHeight="1" x14ac:dyDescent="0.3">
      <c r="A164" s="2"/>
    </row>
    <row r="165" spans="1:1" ht="15.75" customHeight="1" x14ac:dyDescent="0.3">
      <c r="A165" s="2"/>
    </row>
    <row r="166" spans="1:1" ht="15.75" customHeight="1" x14ac:dyDescent="0.3">
      <c r="A166" s="2"/>
    </row>
    <row r="167" spans="1:1" ht="15.75" customHeight="1" x14ac:dyDescent="0.3">
      <c r="A167" s="2"/>
    </row>
    <row r="168" spans="1:1" ht="15.75" customHeight="1" x14ac:dyDescent="0.3">
      <c r="A168" s="2"/>
    </row>
    <row r="169" spans="1:1" ht="15.75" customHeight="1" x14ac:dyDescent="0.3">
      <c r="A169" s="2"/>
    </row>
    <row r="170" spans="1:1" ht="15.75" customHeight="1" x14ac:dyDescent="0.3">
      <c r="A170" s="2"/>
    </row>
    <row r="171" spans="1:1" ht="15.75" customHeight="1" x14ac:dyDescent="0.3">
      <c r="A171" s="2"/>
    </row>
    <row r="172" spans="1:1" ht="15.75" customHeight="1" x14ac:dyDescent="0.3">
      <c r="A172" s="2"/>
    </row>
    <row r="173" spans="1:1" ht="15.75" customHeight="1" x14ac:dyDescent="0.3">
      <c r="A173" s="2"/>
    </row>
    <row r="174" spans="1:1" ht="15.75" customHeight="1" x14ac:dyDescent="0.3">
      <c r="A174" s="2"/>
    </row>
    <row r="175" spans="1:1" ht="15.75" customHeight="1" x14ac:dyDescent="0.3">
      <c r="A175" s="2"/>
    </row>
    <row r="176" spans="1:1" ht="15.75" customHeight="1" x14ac:dyDescent="0.3">
      <c r="A176" s="2"/>
    </row>
    <row r="177" spans="1:1" ht="15.75" customHeight="1" x14ac:dyDescent="0.3">
      <c r="A177" s="2"/>
    </row>
    <row r="178" spans="1:1" ht="15.75" customHeight="1" x14ac:dyDescent="0.3">
      <c r="A178" s="2"/>
    </row>
    <row r="179" spans="1:1" ht="15.75" customHeight="1" x14ac:dyDescent="0.3">
      <c r="A179" s="2"/>
    </row>
    <row r="180" spans="1:1" ht="15.75" customHeight="1" x14ac:dyDescent="0.3">
      <c r="A180" s="2"/>
    </row>
    <row r="181" spans="1:1" ht="15.75" customHeight="1" x14ac:dyDescent="0.3">
      <c r="A181" s="2"/>
    </row>
    <row r="182" spans="1:1" ht="15.75" customHeight="1" x14ac:dyDescent="0.3">
      <c r="A182" s="2"/>
    </row>
    <row r="183" spans="1:1" ht="15.75" customHeight="1" x14ac:dyDescent="0.3">
      <c r="A183" s="2"/>
    </row>
    <row r="184" spans="1:1" ht="15.75" customHeight="1" x14ac:dyDescent="0.3">
      <c r="A184" s="2"/>
    </row>
    <row r="185" spans="1:1" ht="15.75" customHeight="1" x14ac:dyDescent="0.3">
      <c r="A185" s="2"/>
    </row>
    <row r="186" spans="1:1" ht="15.75" customHeight="1" x14ac:dyDescent="0.3">
      <c r="A186" s="2"/>
    </row>
    <row r="187" spans="1:1" ht="15.75" customHeight="1" x14ac:dyDescent="0.3">
      <c r="A187" s="2"/>
    </row>
    <row r="188" spans="1:1" ht="15.75" customHeight="1" x14ac:dyDescent="0.3">
      <c r="A188" s="2"/>
    </row>
    <row r="189" spans="1:1" ht="15.75" customHeight="1" x14ac:dyDescent="0.3">
      <c r="A189" s="2"/>
    </row>
    <row r="190" spans="1:1" ht="15.75" customHeight="1" x14ac:dyDescent="0.3">
      <c r="A190" s="2"/>
    </row>
    <row r="191" spans="1:1" ht="15.75" customHeight="1" x14ac:dyDescent="0.3">
      <c r="A191" s="2"/>
    </row>
    <row r="192" spans="1:1" ht="15.75" customHeight="1" x14ac:dyDescent="0.3">
      <c r="A192" s="2"/>
    </row>
    <row r="193" spans="1:1" ht="15.75" customHeight="1" x14ac:dyDescent="0.3">
      <c r="A193" s="2"/>
    </row>
    <row r="194" spans="1:1" ht="15.75" customHeight="1" x14ac:dyDescent="0.3">
      <c r="A194" s="2"/>
    </row>
    <row r="195" spans="1:1" ht="15.75" customHeight="1" x14ac:dyDescent="0.3">
      <c r="A195" s="2"/>
    </row>
    <row r="196" spans="1:1" ht="15.75" customHeight="1" x14ac:dyDescent="0.3">
      <c r="A196" s="2"/>
    </row>
    <row r="197" spans="1:1" ht="15.75" customHeight="1" x14ac:dyDescent="0.3">
      <c r="A197" s="2"/>
    </row>
    <row r="198" spans="1:1" ht="15.75" customHeight="1" x14ac:dyDescent="0.3">
      <c r="A198" s="2"/>
    </row>
    <row r="199" spans="1:1" ht="15.75" customHeight="1" x14ac:dyDescent="0.3">
      <c r="A199" s="2"/>
    </row>
    <row r="200" spans="1:1" ht="15.75" customHeight="1" x14ac:dyDescent="0.3">
      <c r="A200" s="2"/>
    </row>
    <row r="201" spans="1:1" ht="15.75" customHeight="1" x14ac:dyDescent="0.3">
      <c r="A201" s="2"/>
    </row>
    <row r="202" spans="1:1" ht="15.75" customHeight="1" x14ac:dyDescent="0.3">
      <c r="A202" s="2"/>
    </row>
    <row r="203" spans="1:1" ht="15.75" customHeight="1" x14ac:dyDescent="0.3">
      <c r="A203" s="2"/>
    </row>
    <row r="204" spans="1:1" ht="15.75" customHeight="1" x14ac:dyDescent="0.3">
      <c r="A204" s="2"/>
    </row>
    <row r="205" spans="1:1" ht="15.75" customHeight="1" x14ac:dyDescent="0.3">
      <c r="A205" s="2"/>
    </row>
    <row r="206" spans="1:1" ht="15.75" customHeight="1" x14ac:dyDescent="0.3">
      <c r="A206" s="2"/>
    </row>
    <row r="207" spans="1:1" ht="15.75" customHeight="1" x14ac:dyDescent="0.3">
      <c r="A207" s="2"/>
    </row>
    <row r="208" spans="1:1" ht="15.75" customHeight="1" x14ac:dyDescent="0.3">
      <c r="A208" s="2"/>
    </row>
    <row r="209" spans="1:1" ht="15.75" customHeight="1" x14ac:dyDescent="0.3">
      <c r="A209" s="2"/>
    </row>
    <row r="210" spans="1:1" ht="15.75" customHeight="1" x14ac:dyDescent="0.3">
      <c r="A210" s="2"/>
    </row>
    <row r="211" spans="1:1" ht="15.75" customHeight="1" x14ac:dyDescent="0.3">
      <c r="A211" s="2"/>
    </row>
    <row r="212" spans="1:1" ht="15.75" customHeight="1" x14ac:dyDescent="0.3">
      <c r="A212" s="2"/>
    </row>
    <row r="213" spans="1:1" ht="15.75" customHeight="1" x14ac:dyDescent="0.3">
      <c r="A213" s="2"/>
    </row>
    <row r="214" spans="1:1" ht="15.75" customHeight="1" x14ac:dyDescent="0.3">
      <c r="A214" s="2"/>
    </row>
    <row r="215" spans="1:1" ht="15.75" customHeight="1" x14ac:dyDescent="0.3">
      <c r="A215" s="2"/>
    </row>
    <row r="216" spans="1:1" ht="15.75" customHeight="1" x14ac:dyDescent="0.3">
      <c r="A216" s="2"/>
    </row>
    <row r="217" spans="1:1" ht="15.75" customHeight="1" x14ac:dyDescent="0.3">
      <c r="A217" s="2"/>
    </row>
    <row r="218" spans="1:1" ht="15.75" customHeight="1" x14ac:dyDescent="0.3">
      <c r="A218" s="2"/>
    </row>
    <row r="219" spans="1:1" ht="15.75" customHeight="1" x14ac:dyDescent="0.3">
      <c r="A219" s="2"/>
    </row>
    <row r="220" spans="1:1" ht="15.75" customHeight="1" x14ac:dyDescent="0.3">
      <c r="A220" s="2"/>
    </row>
    <row r="221" spans="1:1" ht="15.75" customHeight="1" x14ac:dyDescent="0.3">
      <c r="A221" s="2"/>
    </row>
    <row r="222" spans="1:1" ht="15.75" customHeight="1" x14ac:dyDescent="0.3">
      <c r="A222" s="2"/>
    </row>
    <row r="223" spans="1:1" ht="15.75" customHeight="1" x14ac:dyDescent="0.3">
      <c r="A223" s="2"/>
    </row>
    <row r="224" spans="1:1" ht="15.75" customHeight="1" x14ac:dyDescent="0.3">
      <c r="A224" s="2"/>
    </row>
    <row r="225" spans="1:1" ht="15.75" customHeight="1" x14ac:dyDescent="0.3">
      <c r="A225" s="2"/>
    </row>
    <row r="226" spans="1:1" ht="15.75" customHeight="1" x14ac:dyDescent="0.3">
      <c r="A226" s="2"/>
    </row>
    <row r="227" spans="1:1" ht="15.75" customHeight="1" x14ac:dyDescent="0.3">
      <c r="A227" s="2"/>
    </row>
    <row r="228" spans="1:1" ht="15.75" customHeight="1" x14ac:dyDescent="0.3">
      <c r="A228" s="2"/>
    </row>
    <row r="229" spans="1:1" ht="15.75" customHeight="1" x14ac:dyDescent="0.3">
      <c r="A229" s="2"/>
    </row>
    <row r="230" spans="1:1" ht="15.75" customHeight="1" x14ac:dyDescent="0.3">
      <c r="A230" s="2"/>
    </row>
    <row r="231" spans="1:1" ht="15.75" customHeight="1" x14ac:dyDescent="0.3">
      <c r="A231" s="2"/>
    </row>
    <row r="232" spans="1:1" ht="15.75" customHeight="1" x14ac:dyDescent="0.3">
      <c r="A232" s="2"/>
    </row>
    <row r="233" spans="1:1" ht="15.75" customHeight="1" x14ac:dyDescent="0.3">
      <c r="A233" s="2"/>
    </row>
    <row r="234" spans="1:1" ht="15.75" customHeight="1" x14ac:dyDescent="0.3">
      <c r="A234" s="2"/>
    </row>
    <row r="235" spans="1:1" ht="15.75" customHeight="1" x14ac:dyDescent="0.3">
      <c r="A235" s="2"/>
    </row>
    <row r="236" spans="1:1" ht="15.75" customHeight="1" x14ac:dyDescent="0.3">
      <c r="A236" s="2"/>
    </row>
    <row r="237" spans="1:1" ht="15.75" customHeight="1" x14ac:dyDescent="0.3">
      <c r="A237" s="2"/>
    </row>
    <row r="238" spans="1:1" ht="15.75" customHeight="1" x14ac:dyDescent="0.3">
      <c r="A238" s="2"/>
    </row>
    <row r="239" spans="1:1" ht="15.75" customHeight="1" x14ac:dyDescent="0.3">
      <c r="A239" s="2"/>
    </row>
    <row r="240" spans="1:1" ht="15.75" customHeight="1" x14ac:dyDescent="0.3">
      <c r="A240" s="2"/>
    </row>
    <row r="241" spans="1:1" ht="15.75" customHeight="1" x14ac:dyDescent="0.3">
      <c r="A241" s="2"/>
    </row>
    <row r="242" spans="1:1" ht="15.75" customHeight="1" x14ac:dyDescent="0.3">
      <c r="A242" s="2"/>
    </row>
    <row r="243" spans="1:1" ht="15.75" customHeight="1" x14ac:dyDescent="0.3">
      <c r="A243" s="2"/>
    </row>
    <row r="244" spans="1:1" ht="15.75" customHeight="1" x14ac:dyDescent="0.3">
      <c r="A244" s="2"/>
    </row>
    <row r="245" spans="1:1" ht="15.75" customHeight="1" x14ac:dyDescent="0.3">
      <c r="A245" s="2"/>
    </row>
    <row r="246" spans="1:1" ht="15.75" customHeight="1" x14ac:dyDescent="0.3">
      <c r="A246" s="2"/>
    </row>
    <row r="247" spans="1:1" ht="15.75" customHeight="1" x14ac:dyDescent="0.3">
      <c r="A247" s="2"/>
    </row>
    <row r="248" spans="1:1" ht="15.75" customHeight="1" x14ac:dyDescent="0.3">
      <c r="A248" s="2"/>
    </row>
    <row r="249" spans="1:1" ht="15.75" customHeight="1" x14ac:dyDescent="0.3">
      <c r="A249" s="2"/>
    </row>
    <row r="250" spans="1:1" ht="15.75" customHeight="1" x14ac:dyDescent="0.3">
      <c r="A250" s="2"/>
    </row>
    <row r="251" spans="1:1" ht="15.75" customHeight="1" x14ac:dyDescent="0.3">
      <c r="A251" s="2"/>
    </row>
    <row r="252" spans="1:1" ht="15.75" customHeight="1" x14ac:dyDescent="0.3">
      <c r="A252" s="2"/>
    </row>
    <row r="253" spans="1:1" ht="15.75" customHeight="1" x14ac:dyDescent="0.3">
      <c r="A253" s="2"/>
    </row>
    <row r="254" spans="1:1" ht="15.75" customHeight="1" x14ac:dyDescent="0.3">
      <c r="A254" s="2"/>
    </row>
    <row r="255" spans="1:1" ht="15.75" customHeight="1" x14ac:dyDescent="0.3">
      <c r="A255" s="2"/>
    </row>
    <row r="256" spans="1:1" ht="15.75" customHeight="1" x14ac:dyDescent="0.3">
      <c r="A256" s="2"/>
    </row>
    <row r="257" spans="1:1" ht="15.75" customHeight="1" x14ac:dyDescent="0.3">
      <c r="A257" s="2"/>
    </row>
    <row r="258" spans="1:1" ht="15.75" customHeight="1" x14ac:dyDescent="0.3">
      <c r="A258" s="2"/>
    </row>
    <row r="259" spans="1:1" ht="15.75" customHeight="1" x14ac:dyDescent="0.3">
      <c r="A259" s="2"/>
    </row>
    <row r="260" spans="1:1" ht="15.75" customHeight="1" x14ac:dyDescent="0.3">
      <c r="A260" s="2"/>
    </row>
    <row r="261" spans="1:1" ht="15.75" customHeight="1" x14ac:dyDescent="0.3">
      <c r="A261" s="2"/>
    </row>
    <row r="262" spans="1:1" ht="15.75" customHeight="1" x14ac:dyDescent="0.3">
      <c r="A262" s="2"/>
    </row>
    <row r="263" spans="1:1" ht="15.75" customHeight="1" x14ac:dyDescent="0.3">
      <c r="A263" s="2"/>
    </row>
    <row r="264" spans="1:1" ht="15.75" customHeight="1" x14ac:dyDescent="0.3">
      <c r="A264" s="2"/>
    </row>
    <row r="265" spans="1:1" ht="15.75" customHeight="1" x14ac:dyDescent="0.3">
      <c r="A265" s="2"/>
    </row>
    <row r="266" spans="1:1" ht="15.75" customHeight="1" x14ac:dyDescent="0.3">
      <c r="A266" s="2"/>
    </row>
    <row r="267" spans="1:1" ht="15.75" customHeight="1" x14ac:dyDescent="0.3">
      <c r="A267" s="2"/>
    </row>
    <row r="268" spans="1:1" ht="15.75" customHeight="1" x14ac:dyDescent="0.3">
      <c r="A268" s="2"/>
    </row>
    <row r="269" spans="1:1" ht="15.75" customHeight="1" x14ac:dyDescent="0.3">
      <c r="A269" s="2"/>
    </row>
    <row r="270" spans="1:1" ht="15.75" customHeight="1" x14ac:dyDescent="0.3">
      <c r="A270" s="2"/>
    </row>
    <row r="271" spans="1:1" ht="15.75" customHeight="1" x14ac:dyDescent="0.3">
      <c r="A271" s="2"/>
    </row>
    <row r="272" spans="1:1" ht="15.75" customHeight="1" x14ac:dyDescent="0.3">
      <c r="A272" s="2"/>
    </row>
    <row r="273" spans="1:1" ht="15.75" customHeight="1" x14ac:dyDescent="0.3">
      <c r="A273" s="2"/>
    </row>
    <row r="274" spans="1:1" ht="15.75" customHeight="1" x14ac:dyDescent="0.3">
      <c r="A274" s="2"/>
    </row>
    <row r="275" spans="1:1" ht="15.75" customHeight="1" x14ac:dyDescent="0.3">
      <c r="A275" s="2"/>
    </row>
    <row r="276" spans="1:1" ht="15.75" customHeight="1" x14ac:dyDescent="0.3">
      <c r="A276" s="2"/>
    </row>
    <row r="277" spans="1:1" ht="15.75" customHeight="1" x14ac:dyDescent="0.3">
      <c r="A277" s="2"/>
    </row>
    <row r="278" spans="1:1" ht="15.75" customHeight="1" x14ac:dyDescent="0.3">
      <c r="A278" s="2"/>
    </row>
    <row r="279" spans="1:1" ht="15.75" customHeight="1" x14ac:dyDescent="0.3">
      <c r="A279" s="2"/>
    </row>
    <row r="280" spans="1:1" ht="15.75" customHeight="1" x14ac:dyDescent="0.3">
      <c r="A280" s="2"/>
    </row>
    <row r="281" spans="1:1" ht="15.75" customHeight="1" x14ac:dyDescent="0.3">
      <c r="A281" s="2"/>
    </row>
    <row r="282" spans="1:1" ht="15.75" customHeight="1" x14ac:dyDescent="0.3">
      <c r="A282" s="2"/>
    </row>
    <row r="283" spans="1:1" ht="15.75" customHeight="1" x14ac:dyDescent="0.3">
      <c r="A283" s="2"/>
    </row>
    <row r="284" spans="1:1" ht="15.75" customHeight="1" x14ac:dyDescent="0.3">
      <c r="A284" s="2"/>
    </row>
    <row r="285" spans="1:1" ht="15.75" customHeight="1" x14ac:dyDescent="0.3">
      <c r="A285" s="2"/>
    </row>
    <row r="286" spans="1:1" ht="15.75" customHeight="1" x14ac:dyDescent="0.3">
      <c r="A286" s="2"/>
    </row>
    <row r="287" spans="1:1" ht="15.75" customHeight="1" x14ac:dyDescent="0.3">
      <c r="A287" s="2"/>
    </row>
    <row r="288" spans="1:1" ht="15.75" customHeight="1" x14ac:dyDescent="0.3">
      <c r="A288" s="2"/>
    </row>
    <row r="289" spans="1:1" ht="15.75" customHeight="1" x14ac:dyDescent="0.3">
      <c r="A289" s="2"/>
    </row>
    <row r="290" spans="1:1" ht="15.75" customHeight="1" x14ac:dyDescent="0.3">
      <c r="A290" s="2"/>
    </row>
    <row r="291" spans="1:1" ht="15.75" customHeight="1" x14ac:dyDescent="0.3">
      <c r="A291" s="2"/>
    </row>
    <row r="292" spans="1:1" ht="15.75" customHeight="1" x14ac:dyDescent="0.3">
      <c r="A292" s="2"/>
    </row>
    <row r="293" spans="1:1" ht="15.75" customHeight="1" x14ac:dyDescent="0.3">
      <c r="A293" s="2"/>
    </row>
    <row r="294" spans="1:1" ht="15.75" customHeight="1" x14ac:dyDescent="0.3">
      <c r="A294" s="2"/>
    </row>
    <row r="295" spans="1:1" ht="15.75" customHeight="1" x14ac:dyDescent="0.3">
      <c r="A295" s="2"/>
    </row>
    <row r="296" spans="1:1" ht="15.75" customHeight="1" x14ac:dyDescent="0.3">
      <c r="A296" s="2"/>
    </row>
    <row r="297" spans="1:1" ht="15.75" customHeight="1" x14ac:dyDescent="0.3">
      <c r="A297" s="2"/>
    </row>
    <row r="298" spans="1:1" ht="15.75" customHeight="1" x14ac:dyDescent="0.3">
      <c r="A298" s="2"/>
    </row>
    <row r="299" spans="1:1" ht="15.75" customHeight="1" x14ac:dyDescent="0.3">
      <c r="A299" s="2"/>
    </row>
    <row r="300" spans="1:1" ht="15.75" customHeight="1" x14ac:dyDescent="0.3">
      <c r="A300" s="2"/>
    </row>
    <row r="301" spans="1:1" ht="15.75" customHeight="1" x14ac:dyDescent="0.3">
      <c r="A301" s="2"/>
    </row>
    <row r="302" spans="1:1" ht="15.75" customHeight="1" x14ac:dyDescent="0.3">
      <c r="A302" s="2"/>
    </row>
    <row r="303" spans="1:1" ht="15.75" customHeight="1" x14ac:dyDescent="0.3">
      <c r="A303" s="2"/>
    </row>
    <row r="304" spans="1:1" ht="15.75" customHeight="1" x14ac:dyDescent="0.3">
      <c r="A304" s="2"/>
    </row>
    <row r="305" spans="1:1" ht="15.75" customHeight="1" x14ac:dyDescent="0.3">
      <c r="A305" s="2"/>
    </row>
    <row r="306" spans="1:1" ht="15.75" customHeight="1" x14ac:dyDescent="0.3">
      <c r="A306" s="2"/>
    </row>
    <row r="307" spans="1:1" ht="15.75" customHeight="1" x14ac:dyDescent="0.3">
      <c r="A307" s="2"/>
    </row>
    <row r="308" spans="1:1" ht="15.75" customHeight="1" x14ac:dyDescent="0.3">
      <c r="A308" s="2"/>
    </row>
    <row r="309" spans="1:1" ht="15.75" customHeight="1" x14ac:dyDescent="0.3">
      <c r="A309" s="2"/>
    </row>
    <row r="310" spans="1:1" ht="15.75" customHeight="1" x14ac:dyDescent="0.3">
      <c r="A310" s="2"/>
    </row>
    <row r="311" spans="1:1" ht="15.75" customHeight="1" x14ac:dyDescent="0.3">
      <c r="A311" s="2"/>
    </row>
    <row r="312" spans="1:1" ht="15.75" customHeight="1" x14ac:dyDescent="0.3">
      <c r="A312" s="2"/>
    </row>
    <row r="313" spans="1:1" ht="15.75" customHeight="1" x14ac:dyDescent="0.3">
      <c r="A313" s="2"/>
    </row>
    <row r="314" spans="1:1" ht="15.75" customHeight="1" x14ac:dyDescent="0.3">
      <c r="A314" s="2"/>
    </row>
    <row r="315" spans="1:1" ht="15.75" customHeight="1" x14ac:dyDescent="0.3">
      <c r="A315" s="2"/>
    </row>
    <row r="316" spans="1:1" ht="15.75" customHeight="1" x14ac:dyDescent="0.3">
      <c r="A316" s="2"/>
    </row>
    <row r="317" spans="1:1" ht="15.75" customHeight="1" x14ac:dyDescent="0.3">
      <c r="A317" s="2"/>
    </row>
    <row r="318" spans="1:1" ht="15.75" customHeight="1" x14ac:dyDescent="0.3">
      <c r="A318" s="2"/>
    </row>
    <row r="319" spans="1:1" ht="15.75" customHeight="1" x14ac:dyDescent="0.3">
      <c r="A319" s="2"/>
    </row>
    <row r="320" spans="1:1" ht="15.75" customHeight="1" x14ac:dyDescent="0.3">
      <c r="A320" s="2"/>
    </row>
    <row r="321" spans="1:1" ht="15.75" customHeight="1" x14ac:dyDescent="0.3">
      <c r="A321" s="2"/>
    </row>
    <row r="322" spans="1:1" ht="15.75" customHeight="1" x14ac:dyDescent="0.3">
      <c r="A322" s="2"/>
    </row>
    <row r="323" spans="1:1" ht="15.75" customHeight="1" x14ac:dyDescent="0.3">
      <c r="A323" s="2"/>
    </row>
    <row r="324" spans="1:1" ht="15.75" customHeight="1" x14ac:dyDescent="0.3">
      <c r="A324" s="2"/>
    </row>
    <row r="325" spans="1:1" ht="15.75" customHeight="1" x14ac:dyDescent="0.3">
      <c r="A325" s="2"/>
    </row>
    <row r="326" spans="1:1" ht="15.75" customHeight="1" x14ac:dyDescent="0.3">
      <c r="A326" s="2"/>
    </row>
    <row r="327" spans="1:1" ht="15.75" customHeight="1" x14ac:dyDescent="0.3">
      <c r="A327" s="2"/>
    </row>
    <row r="328" spans="1:1" ht="15.75" customHeight="1" x14ac:dyDescent="0.3">
      <c r="A328" s="2"/>
    </row>
    <row r="329" spans="1:1" ht="15.75" customHeight="1" x14ac:dyDescent="0.3">
      <c r="A329" s="2"/>
    </row>
    <row r="330" spans="1:1" ht="15.75" customHeight="1" x14ac:dyDescent="0.3">
      <c r="A330" s="2"/>
    </row>
    <row r="331" spans="1:1" ht="15.75" customHeight="1" x14ac:dyDescent="0.3">
      <c r="A331" s="2"/>
    </row>
    <row r="332" spans="1:1" ht="15.75" customHeight="1" x14ac:dyDescent="0.3">
      <c r="A332" s="2"/>
    </row>
    <row r="333" spans="1:1" ht="15.75" customHeight="1" x14ac:dyDescent="0.3">
      <c r="A333" s="2"/>
    </row>
    <row r="334" spans="1:1" ht="15.75" customHeight="1" x14ac:dyDescent="0.3">
      <c r="A334" s="2"/>
    </row>
    <row r="335" spans="1:1" ht="15.75" customHeight="1" x14ac:dyDescent="0.3">
      <c r="A335" s="2"/>
    </row>
    <row r="336" spans="1:1" ht="15.75" customHeight="1" x14ac:dyDescent="0.3">
      <c r="A336" s="2"/>
    </row>
    <row r="337" spans="1:1" ht="15.75" customHeight="1" x14ac:dyDescent="0.3">
      <c r="A337" s="2"/>
    </row>
    <row r="338" spans="1:1" ht="15.75" customHeight="1" x14ac:dyDescent="0.3">
      <c r="A338" s="2"/>
    </row>
    <row r="339" spans="1:1" ht="15.75" customHeight="1" x14ac:dyDescent="0.3">
      <c r="A339" s="2"/>
    </row>
    <row r="340" spans="1:1" ht="15.75" customHeight="1" x14ac:dyDescent="0.3">
      <c r="A340" s="2"/>
    </row>
    <row r="341" spans="1:1" ht="15.75" customHeight="1" x14ac:dyDescent="0.3">
      <c r="A341" s="2"/>
    </row>
    <row r="342" spans="1:1" ht="15.75" customHeight="1" x14ac:dyDescent="0.3">
      <c r="A342" s="2"/>
    </row>
    <row r="343" spans="1:1" ht="15.75" customHeight="1" x14ac:dyDescent="0.3">
      <c r="A343" s="2"/>
    </row>
    <row r="344" spans="1:1" ht="15.75" customHeight="1" x14ac:dyDescent="0.3">
      <c r="A344" s="2"/>
    </row>
    <row r="345" spans="1:1" ht="15.75" customHeight="1" x14ac:dyDescent="0.3">
      <c r="A345" s="2"/>
    </row>
    <row r="346" spans="1:1" ht="15.75" customHeight="1" x14ac:dyDescent="0.3">
      <c r="A346" s="2"/>
    </row>
    <row r="347" spans="1:1" ht="15.75" customHeight="1" x14ac:dyDescent="0.3">
      <c r="A347" s="2"/>
    </row>
    <row r="348" spans="1:1" ht="15.75" customHeight="1" x14ac:dyDescent="0.3">
      <c r="A348" s="2"/>
    </row>
    <row r="349" spans="1:1" ht="15.75" customHeight="1" x14ac:dyDescent="0.3">
      <c r="A349" s="2"/>
    </row>
    <row r="350" spans="1:1" ht="15.75" customHeight="1" x14ac:dyDescent="0.3">
      <c r="A350" s="2"/>
    </row>
    <row r="351" spans="1:1" ht="15.75" customHeight="1" x14ac:dyDescent="0.3">
      <c r="A351" s="2"/>
    </row>
    <row r="352" spans="1:1" ht="15.75" customHeight="1" x14ac:dyDescent="0.3">
      <c r="A352" s="2"/>
    </row>
    <row r="353" spans="1:1" ht="15.75" customHeight="1" x14ac:dyDescent="0.3">
      <c r="A353" s="2"/>
    </row>
    <row r="354" spans="1:1" ht="15.75" customHeight="1" x14ac:dyDescent="0.3">
      <c r="A354" s="2"/>
    </row>
    <row r="355" spans="1:1" ht="15.75" customHeight="1" x14ac:dyDescent="0.3">
      <c r="A355" s="2"/>
    </row>
    <row r="356" spans="1:1" ht="15.75" customHeight="1" x14ac:dyDescent="0.3">
      <c r="A356" s="2"/>
    </row>
    <row r="357" spans="1:1" ht="15.75" customHeight="1" x14ac:dyDescent="0.3">
      <c r="A357" s="2"/>
    </row>
    <row r="358" spans="1:1" ht="15.75" customHeight="1" x14ac:dyDescent="0.3">
      <c r="A358" s="2"/>
    </row>
    <row r="359" spans="1:1" ht="15.75" customHeight="1" x14ac:dyDescent="0.3">
      <c r="A359" s="2"/>
    </row>
    <row r="360" spans="1:1" ht="15.75" customHeight="1" x14ac:dyDescent="0.3">
      <c r="A360" s="2"/>
    </row>
    <row r="361" spans="1:1" ht="15.75" customHeight="1" x14ac:dyDescent="0.3">
      <c r="A361" s="2"/>
    </row>
    <row r="362" spans="1:1" ht="15.75" customHeight="1" x14ac:dyDescent="0.3">
      <c r="A362" s="2"/>
    </row>
    <row r="363" spans="1:1" ht="15.75" customHeight="1" x14ac:dyDescent="0.3">
      <c r="A363" s="2"/>
    </row>
    <row r="364" spans="1:1" ht="15.75" customHeight="1" x14ac:dyDescent="0.3">
      <c r="A364" s="2"/>
    </row>
    <row r="365" spans="1:1" ht="15.75" customHeight="1" x14ac:dyDescent="0.3">
      <c r="A365" s="2"/>
    </row>
    <row r="366" spans="1:1" ht="15.75" customHeight="1" x14ac:dyDescent="0.3">
      <c r="A366" s="2"/>
    </row>
    <row r="367" spans="1:1" ht="15.75" customHeight="1" x14ac:dyDescent="0.3">
      <c r="A367" s="2"/>
    </row>
    <row r="368" spans="1:1" ht="15.75" customHeight="1" x14ac:dyDescent="0.3">
      <c r="A368" s="2"/>
    </row>
    <row r="369" spans="1:1" ht="15.75" customHeight="1" x14ac:dyDescent="0.3">
      <c r="A369" s="2"/>
    </row>
    <row r="370" spans="1:1" ht="15.75" customHeight="1" x14ac:dyDescent="0.3">
      <c r="A370" s="2"/>
    </row>
    <row r="371" spans="1:1" ht="15.75" customHeight="1" x14ac:dyDescent="0.3">
      <c r="A371" s="2"/>
    </row>
    <row r="372" spans="1:1" ht="15.75" customHeight="1" x14ac:dyDescent="0.3">
      <c r="A372" s="2"/>
    </row>
    <row r="373" spans="1:1" ht="15.75" customHeight="1" x14ac:dyDescent="0.3">
      <c r="A373" s="2"/>
    </row>
    <row r="374" spans="1:1" ht="15.75" customHeight="1" x14ac:dyDescent="0.3">
      <c r="A374" s="2"/>
    </row>
    <row r="375" spans="1:1" ht="15.75" customHeight="1" x14ac:dyDescent="0.3">
      <c r="A375" s="2"/>
    </row>
    <row r="376" spans="1:1" ht="15.75" customHeight="1" x14ac:dyDescent="0.3">
      <c r="A376" s="2"/>
    </row>
    <row r="377" spans="1:1" ht="15.75" customHeight="1" x14ac:dyDescent="0.3">
      <c r="A377" s="2"/>
    </row>
    <row r="378" spans="1:1" ht="15.75" customHeight="1" x14ac:dyDescent="0.3">
      <c r="A378" s="2"/>
    </row>
    <row r="379" spans="1:1" ht="15.75" customHeight="1" x14ac:dyDescent="0.3">
      <c r="A379" s="2"/>
    </row>
    <row r="380" spans="1:1" ht="15.75" customHeight="1" x14ac:dyDescent="0.3">
      <c r="A380" s="2"/>
    </row>
    <row r="381" spans="1:1" ht="15.75" customHeight="1" x14ac:dyDescent="0.3">
      <c r="A381" s="2"/>
    </row>
    <row r="382" spans="1:1" ht="15.75" customHeight="1" x14ac:dyDescent="0.3">
      <c r="A382" s="2"/>
    </row>
    <row r="383" spans="1:1" ht="15.75" customHeight="1" x14ac:dyDescent="0.3">
      <c r="A383" s="2"/>
    </row>
    <row r="384" spans="1:1" ht="15.75" customHeight="1" x14ac:dyDescent="0.3">
      <c r="A384" s="2"/>
    </row>
    <row r="385" spans="1:1" ht="15.75" customHeight="1" x14ac:dyDescent="0.3">
      <c r="A385" s="2"/>
    </row>
    <row r="386" spans="1:1" ht="15.75" customHeight="1" x14ac:dyDescent="0.3">
      <c r="A386" s="2"/>
    </row>
    <row r="387" spans="1:1" ht="15.75" customHeight="1" x14ac:dyDescent="0.3">
      <c r="A387" s="2"/>
    </row>
    <row r="388" spans="1:1" ht="15.75" customHeight="1" x14ac:dyDescent="0.3">
      <c r="A388" s="2"/>
    </row>
    <row r="389" spans="1:1" ht="15.75" customHeight="1" x14ac:dyDescent="0.3">
      <c r="A389" s="2"/>
    </row>
    <row r="390" spans="1:1" ht="15.75" customHeight="1" x14ac:dyDescent="0.3">
      <c r="A390" s="2"/>
    </row>
    <row r="391" spans="1:1" ht="15.75" customHeight="1" x14ac:dyDescent="0.3">
      <c r="A391" s="2"/>
    </row>
    <row r="392" spans="1:1" ht="15.75" customHeight="1" x14ac:dyDescent="0.3">
      <c r="A392" s="2"/>
    </row>
    <row r="393" spans="1:1" ht="15.75" customHeight="1" x14ac:dyDescent="0.3">
      <c r="A393" s="2"/>
    </row>
    <row r="394" spans="1:1" ht="15.75" customHeight="1" x14ac:dyDescent="0.3">
      <c r="A394" s="2"/>
    </row>
    <row r="395" spans="1:1" ht="15.75" customHeight="1" x14ac:dyDescent="0.3">
      <c r="A395" s="2"/>
    </row>
    <row r="396" spans="1:1" ht="15.75" customHeight="1" x14ac:dyDescent="0.3">
      <c r="A396" s="2"/>
    </row>
    <row r="397" spans="1:1" ht="15.75" customHeight="1" x14ac:dyDescent="0.3">
      <c r="A397" s="2"/>
    </row>
    <row r="398" spans="1:1" ht="15.75" customHeight="1" x14ac:dyDescent="0.3">
      <c r="A398" s="2"/>
    </row>
    <row r="399" spans="1:1" ht="15.75" customHeight="1" x14ac:dyDescent="0.3">
      <c r="A399" s="2"/>
    </row>
    <row r="400" spans="1:1" ht="15.75" customHeight="1" x14ac:dyDescent="0.3">
      <c r="A400" s="2"/>
    </row>
    <row r="401" spans="1:1" ht="15.75" customHeight="1" x14ac:dyDescent="0.3">
      <c r="A401" s="2"/>
    </row>
    <row r="402" spans="1:1" ht="15.75" customHeight="1" x14ac:dyDescent="0.3">
      <c r="A402" s="2"/>
    </row>
    <row r="403" spans="1:1" ht="15.75" customHeight="1" x14ac:dyDescent="0.3">
      <c r="A403" s="2"/>
    </row>
    <row r="404" spans="1:1" ht="15.75" customHeight="1" x14ac:dyDescent="0.3">
      <c r="A404" s="2"/>
    </row>
    <row r="405" spans="1:1" ht="15.75" customHeight="1" x14ac:dyDescent="0.3">
      <c r="A405" s="2"/>
    </row>
    <row r="406" spans="1:1" ht="15.75" customHeight="1" x14ac:dyDescent="0.3">
      <c r="A406" s="2"/>
    </row>
    <row r="407" spans="1:1" ht="15.75" customHeight="1" x14ac:dyDescent="0.3">
      <c r="A407" s="2"/>
    </row>
    <row r="408" spans="1:1" ht="15.75" customHeight="1" x14ac:dyDescent="0.3">
      <c r="A408" s="2"/>
    </row>
    <row r="409" spans="1:1" ht="15.75" customHeight="1" x14ac:dyDescent="0.3">
      <c r="A409" s="2"/>
    </row>
    <row r="410" spans="1:1" ht="15.75" customHeight="1" x14ac:dyDescent="0.3">
      <c r="A410" s="2"/>
    </row>
    <row r="411" spans="1:1" ht="15.75" customHeight="1" x14ac:dyDescent="0.3">
      <c r="A411" s="2"/>
    </row>
    <row r="412" spans="1:1" ht="15.75" customHeight="1" x14ac:dyDescent="0.3">
      <c r="A412" s="2"/>
    </row>
    <row r="413" spans="1:1" ht="15.75" customHeight="1" x14ac:dyDescent="0.3">
      <c r="A413" s="2"/>
    </row>
    <row r="414" spans="1:1" ht="15.75" customHeight="1" x14ac:dyDescent="0.3">
      <c r="A414" s="2"/>
    </row>
    <row r="415" spans="1:1" ht="15.75" customHeight="1" x14ac:dyDescent="0.3">
      <c r="A415" s="2"/>
    </row>
    <row r="416" spans="1:1" ht="15.75" customHeight="1" x14ac:dyDescent="0.3">
      <c r="A416" s="2"/>
    </row>
    <row r="417" spans="1:1" ht="15.75" customHeight="1" x14ac:dyDescent="0.3">
      <c r="A417" s="2"/>
    </row>
    <row r="418" spans="1:1" ht="15.75" customHeight="1" x14ac:dyDescent="0.3">
      <c r="A418" s="2"/>
    </row>
    <row r="419" spans="1:1" ht="15.75" customHeight="1" x14ac:dyDescent="0.3">
      <c r="A419" s="2"/>
    </row>
    <row r="420" spans="1:1" ht="15.75" customHeight="1" x14ac:dyDescent="0.3">
      <c r="A420" s="2"/>
    </row>
    <row r="421" spans="1:1" ht="15.75" customHeight="1" x14ac:dyDescent="0.3">
      <c r="A421" s="2"/>
    </row>
    <row r="422" spans="1:1" ht="15.75" customHeight="1" x14ac:dyDescent="0.3">
      <c r="A422" s="2"/>
    </row>
    <row r="423" spans="1:1" ht="15.75" customHeight="1" x14ac:dyDescent="0.3">
      <c r="A423" s="2"/>
    </row>
    <row r="424" spans="1:1" ht="15.75" customHeight="1" x14ac:dyDescent="0.3">
      <c r="A424" s="2"/>
    </row>
    <row r="425" spans="1:1" ht="15.75" customHeight="1" x14ac:dyDescent="0.3">
      <c r="A425" s="2"/>
    </row>
    <row r="426" spans="1:1" ht="15.75" customHeight="1" x14ac:dyDescent="0.3">
      <c r="A426" s="2"/>
    </row>
    <row r="427" spans="1:1" ht="15.75" customHeight="1" x14ac:dyDescent="0.3">
      <c r="A427" s="2"/>
    </row>
    <row r="428" spans="1:1" ht="15.75" customHeight="1" x14ac:dyDescent="0.3">
      <c r="A428" s="2"/>
    </row>
    <row r="429" spans="1:1" ht="15.75" customHeight="1" x14ac:dyDescent="0.3">
      <c r="A429" s="2"/>
    </row>
    <row r="430" spans="1:1" ht="15.75" customHeight="1" x14ac:dyDescent="0.3">
      <c r="A430" s="2"/>
    </row>
    <row r="431" spans="1:1" ht="15.75" customHeight="1" x14ac:dyDescent="0.3">
      <c r="A431" s="2"/>
    </row>
    <row r="432" spans="1:1" ht="15.75" customHeight="1" x14ac:dyDescent="0.3">
      <c r="A432" s="2"/>
    </row>
    <row r="433" spans="1:1" ht="15.75" customHeight="1" x14ac:dyDescent="0.3">
      <c r="A433" s="2"/>
    </row>
    <row r="434" spans="1:1" ht="15.75" customHeight="1" x14ac:dyDescent="0.3">
      <c r="A434" s="2"/>
    </row>
    <row r="435" spans="1:1" ht="15.75" customHeight="1" x14ac:dyDescent="0.3">
      <c r="A435" s="2"/>
    </row>
    <row r="436" spans="1:1" ht="15.75" customHeight="1" x14ac:dyDescent="0.3">
      <c r="A436" s="2"/>
    </row>
    <row r="437" spans="1:1" ht="15.75" customHeight="1" x14ac:dyDescent="0.3">
      <c r="A437" s="2"/>
    </row>
    <row r="438" spans="1:1" ht="15.75" customHeight="1" x14ac:dyDescent="0.3">
      <c r="A438" s="2"/>
    </row>
    <row r="439" spans="1:1" ht="15.75" customHeight="1" x14ac:dyDescent="0.3">
      <c r="A439" s="2"/>
    </row>
    <row r="440" spans="1:1" ht="15.75" customHeight="1" x14ac:dyDescent="0.3">
      <c r="A440" s="2"/>
    </row>
    <row r="441" spans="1:1" ht="15.75" customHeight="1" x14ac:dyDescent="0.3">
      <c r="A441" s="2"/>
    </row>
    <row r="442" spans="1:1" ht="15.75" customHeight="1" x14ac:dyDescent="0.3">
      <c r="A442" s="2"/>
    </row>
    <row r="443" spans="1:1" ht="15.75" customHeight="1" x14ac:dyDescent="0.3">
      <c r="A443" s="2"/>
    </row>
    <row r="444" spans="1:1" ht="15.75" customHeight="1" x14ac:dyDescent="0.3">
      <c r="A444" s="2"/>
    </row>
    <row r="445" spans="1:1" ht="15.75" customHeight="1" x14ac:dyDescent="0.3">
      <c r="A445" s="2"/>
    </row>
    <row r="446" spans="1:1" ht="15.75" customHeight="1" x14ac:dyDescent="0.3">
      <c r="A446" s="2"/>
    </row>
    <row r="447" spans="1:1" ht="15.75" customHeight="1" x14ac:dyDescent="0.3">
      <c r="A447" s="2"/>
    </row>
    <row r="448" spans="1:1" ht="15.75" customHeight="1" x14ac:dyDescent="0.3">
      <c r="A448" s="2"/>
    </row>
    <row r="449" spans="1:1" ht="15.75" customHeight="1" x14ac:dyDescent="0.3">
      <c r="A449" s="2"/>
    </row>
    <row r="450" spans="1:1" ht="15.75" customHeight="1" x14ac:dyDescent="0.3">
      <c r="A450" s="2"/>
    </row>
    <row r="451" spans="1:1" ht="15.75" customHeight="1" x14ac:dyDescent="0.3">
      <c r="A451" s="2"/>
    </row>
    <row r="452" spans="1:1" ht="15.75" customHeight="1" x14ac:dyDescent="0.3">
      <c r="A452" s="2"/>
    </row>
    <row r="453" spans="1:1" ht="15.75" customHeight="1" x14ac:dyDescent="0.3">
      <c r="A453" s="2"/>
    </row>
    <row r="454" spans="1:1" ht="15.75" customHeight="1" x14ac:dyDescent="0.3">
      <c r="A454" s="2"/>
    </row>
    <row r="455" spans="1:1" ht="15.75" customHeight="1" x14ac:dyDescent="0.3">
      <c r="A455" s="2"/>
    </row>
    <row r="456" spans="1:1" ht="15.75" customHeight="1" x14ac:dyDescent="0.3">
      <c r="A456" s="2"/>
    </row>
    <row r="457" spans="1:1" ht="15.75" customHeight="1" x14ac:dyDescent="0.3">
      <c r="A457" s="2"/>
    </row>
    <row r="458" spans="1:1" ht="15.75" customHeight="1" x14ac:dyDescent="0.3">
      <c r="A458" s="2"/>
    </row>
    <row r="459" spans="1:1" ht="15.75" customHeight="1" x14ac:dyDescent="0.3">
      <c r="A459" s="2"/>
    </row>
    <row r="460" spans="1:1" ht="15.75" customHeight="1" x14ac:dyDescent="0.3">
      <c r="A460" s="2"/>
    </row>
    <row r="461" spans="1:1" ht="15.75" customHeight="1" x14ac:dyDescent="0.3">
      <c r="A461" s="2"/>
    </row>
    <row r="462" spans="1:1" ht="15.75" customHeight="1" x14ac:dyDescent="0.3">
      <c r="A462" s="2"/>
    </row>
    <row r="463" spans="1:1" ht="15.75" customHeight="1" x14ac:dyDescent="0.3">
      <c r="A463" s="2"/>
    </row>
    <row r="464" spans="1:1" ht="15.75" customHeight="1" x14ac:dyDescent="0.3">
      <c r="A464" s="2"/>
    </row>
    <row r="465" spans="1:1" ht="15.75" customHeight="1" x14ac:dyDescent="0.3">
      <c r="A465" s="2"/>
    </row>
    <row r="466" spans="1:1" ht="15.75" customHeight="1" x14ac:dyDescent="0.3">
      <c r="A466" s="2"/>
    </row>
    <row r="467" spans="1:1" ht="15.75" customHeight="1" x14ac:dyDescent="0.3">
      <c r="A467" s="2"/>
    </row>
    <row r="468" spans="1:1" ht="15.75" customHeight="1" x14ac:dyDescent="0.3">
      <c r="A468" s="2"/>
    </row>
    <row r="469" spans="1:1" ht="15.75" customHeight="1" x14ac:dyDescent="0.3">
      <c r="A469" s="2"/>
    </row>
    <row r="470" spans="1:1" ht="15.75" customHeight="1" x14ac:dyDescent="0.3">
      <c r="A470" s="2"/>
    </row>
    <row r="471" spans="1:1" ht="15.75" customHeight="1" x14ac:dyDescent="0.3">
      <c r="A471" s="2"/>
    </row>
    <row r="472" spans="1:1" ht="15.75" customHeight="1" x14ac:dyDescent="0.3">
      <c r="A472" s="2"/>
    </row>
    <row r="473" spans="1:1" ht="15.75" customHeight="1" x14ac:dyDescent="0.3">
      <c r="A473" s="2"/>
    </row>
    <row r="474" spans="1:1" ht="15.75" customHeight="1" x14ac:dyDescent="0.3">
      <c r="A474" s="2"/>
    </row>
    <row r="475" spans="1:1" ht="15.75" customHeight="1" x14ac:dyDescent="0.3">
      <c r="A475" s="2"/>
    </row>
    <row r="476" spans="1:1" ht="15.75" customHeight="1" x14ac:dyDescent="0.3">
      <c r="A476" s="2"/>
    </row>
    <row r="477" spans="1:1" ht="15.75" customHeight="1" x14ac:dyDescent="0.3">
      <c r="A477" s="2"/>
    </row>
    <row r="478" spans="1:1" ht="15.75" customHeight="1" x14ac:dyDescent="0.3">
      <c r="A478" s="2"/>
    </row>
    <row r="479" spans="1:1" ht="15.75" customHeight="1" x14ac:dyDescent="0.3">
      <c r="A479" s="2"/>
    </row>
    <row r="480" spans="1:1" ht="15.75" customHeight="1" x14ac:dyDescent="0.3">
      <c r="A480" s="2"/>
    </row>
    <row r="481" spans="1:1" ht="15.75" customHeight="1" x14ac:dyDescent="0.3">
      <c r="A481" s="2"/>
    </row>
    <row r="482" spans="1:1" ht="15.75" customHeight="1" x14ac:dyDescent="0.3">
      <c r="A482" s="2"/>
    </row>
    <row r="483" spans="1:1" ht="15.75" customHeight="1" x14ac:dyDescent="0.3">
      <c r="A483" s="2"/>
    </row>
    <row r="484" spans="1:1" ht="15.75" customHeight="1" x14ac:dyDescent="0.3">
      <c r="A484" s="2"/>
    </row>
    <row r="485" spans="1:1" ht="15.75" customHeight="1" x14ac:dyDescent="0.3">
      <c r="A485" s="2"/>
    </row>
    <row r="486" spans="1:1" ht="15.75" customHeight="1" x14ac:dyDescent="0.3">
      <c r="A486" s="2"/>
    </row>
    <row r="487" spans="1:1" ht="15.75" customHeight="1" x14ac:dyDescent="0.3">
      <c r="A487" s="2"/>
    </row>
    <row r="488" spans="1:1" ht="15.75" customHeight="1" x14ac:dyDescent="0.3">
      <c r="A488" s="2"/>
    </row>
    <row r="489" spans="1:1" ht="15.75" customHeight="1" x14ac:dyDescent="0.3">
      <c r="A489" s="2"/>
    </row>
    <row r="490" spans="1:1" ht="15.75" customHeight="1" x14ac:dyDescent="0.3">
      <c r="A490" s="2"/>
    </row>
    <row r="491" spans="1:1" ht="15.75" customHeight="1" x14ac:dyDescent="0.3">
      <c r="A491" s="2"/>
    </row>
    <row r="492" spans="1:1" ht="15.75" customHeight="1" x14ac:dyDescent="0.3">
      <c r="A492" s="2"/>
    </row>
    <row r="493" spans="1:1" ht="15.75" customHeight="1" x14ac:dyDescent="0.3">
      <c r="A493" s="2"/>
    </row>
    <row r="494" spans="1:1" ht="15.75" customHeight="1" x14ac:dyDescent="0.3">
      <c r="A494" s="2"/>
    </row>
    <row r="495" spans="1:1" ht="15.75" customHeight="1" x14ac:dyDescent="0.3">
      <c r="A495" s="2"/>
    </row>
    <row r="496" spans="1:1" ht="15.75" customHeight="1" x14ac:dyDescent="0.3">
      <c r="A496" s="2"/>
    </row>
    <row r="497" spans="1:1" ht="15.75" customHeight="1" x14ac:dyDescent="0.3">
      <c r="A497" s="2"/>
    </row>
    <row r="498" spans="1:1" ht="15.75" customHeight="1" x14ac:dyDescent="0.3">
      <c r="A498" s="2"/>
    </row>
    <row r="499" spans="1:1" ht="15.75" customHeight="1" x14ac:dyDescent="0.3">
      <c r="A499" s="2"/>
    </row>
    <row r="500" spans="1:1" ht="15.75" customHeight="1" x14ac:dyDescent="0.3">
      <c r="A500" s="2"/>
    </row>
    <row r="501" spans="1:1" ht="15.75" customHeight="1" x14ac:dyDescent="0.3">
      <c r="A501" s="2"/>
    </row>
    <row r="502" spans="1:1" ht="15.75" customHeight="1" x14ac:dyDescent="0.3">
      <c r="A502" s="2"/>
    </row>
    <row r="503" spans="1:1" ht="15.75" customHeight="1" x14ac:dyDescent="0.3">
      <c r="A503" s="2"/>
    </row>
    <row r="504" spans="1:1" ht="15.75" customHeight="1" x14ac:dyDescent="0.3">
      <c r="A504" s="2"/>
    </row>
    <row r="505" spans="1:1" ht="15.75" customHeight="1" x14ac:dyDescent="0.3">
      <c r="A505" s="2"/>
    </row>
    <row r="506" spans="1:1" ht="15.75" customHeight="1" x14ac:dyDescent="0.3">
      <c r="A506" s="2"/>
    </row>
    <row r="507" spans="1:1" ht="15.75" customHeight="1" x14ac:dyDescent="0.3">
      <c r="A507" s="2"/>
    </row>
    <row r="508" spans="1:1" ht="15.75" customHeight="1" x14ac:dyDescent="0.3">
      <c r="A508" s="2"/>
    </row>
    <row r="509" spans="1:1" ht="15.75" customHeight="1" x14ac:dyDescent="0.3">
      <c r="A509" s="2"/>
    </row>
    <row r="510" spans="1:1" ht="15.75" customHeight="1" x14ac:dyDescent="0.3">
      <c r="A510" s="2"/>
    </row>
    <row r="511" spans="1:1" ht="15.75" customHeight="1" x14ac:dyDescent="0.3">
      <c r="A511" s="2"/>
    </row>
    <row r="512" spans="1:1" ht="15.75" customHeight="1" x14ac:dyDescent="0.3">
      <c r="A512" s="2"/>
    </row>
    <row r="513" spans="1:1" ht="15.75" customHeight="1" x14ac:dyDescent="0.3">
      <c r="A513" s="2"/>
    </row>
    <row r="514" spans="1:1" ht="15.75" customHeight="1" x14ac:dyDescent="0.3">
      <c r="A514" s="2"/>
    </row>
    <row r="515" spans="1:1" ht="15.75" customHeight="1" x14ac:dyDescent="0.3">
      <c r="A515" s="2"/>
    </row>
    <row r="516" spans="1:1" ht="15.75" customHeight="1" x14ac:dyDescent="0.3">
      <c r="A516" s="2"/>
    </row>
    <row r="517" spans="1:1" ht="15.75" customHeight="1" x14ac:dyDescent="0.3">
      <c r="A517" s="2"/>
    </row>
    <row r="518" spans="1:1" ht="15.75" customHeight="1" x14ac:dyDescent="0.3">
      <c r="A518" s="2"/>
    </row>
    <row r="519" spans="1:1" ht="15.75" customHeight="1" x14ac:dyDescent="0.3">
      <c r="A519" s="2"/>
    </row>
    <row r="520" spans="1:1" ht="15.75" customHeight="1" x14ac:dyDescent="0.3">
      <c r="A520" s="2"/>
    </row>
    <row r="521" spans="1:1" ht="15.75" customHeight="1" x14ac:dyDescent="0.3">
      <c r="A521" s="2"/>
    </row>
    <row r="522" spans="1:1" ht="15.75" customHeight="1" x14ac:dyDescent="0.3">
      <c r="A522" s="2"/>
    </row>
    <row r="523" spans="1:1" ht="15.75" customHeight="1" x14ac:dyDescent="0.3">
      <c r="A523" s="2"/>
    </row>
    <row r="524" spans="1:1" ht="15.75" customHeight="1" x14ac:dyDescent="0.3">
      <c r="A524" s="2"/>
    </row>
    <row r="525" spans="1:1" ht="15.75" customHeight="1" x14ac:dyDescent="0.3">
      <c r="A525" s="2"/>
    </row>
    <row r="526" spans="1:1" ht="15.75" customHeight="1" x14ac:dyDescent="0.3">
      <c r="A526" s="2"/>
    </row>
    <row r="527" spans="1:1" ht="15.75" customHeight="1" x14ac:dyDescent="0.3">
      <c r="A527" s="2"/>
    </row>
    <row r="528" spans="1:1" ht="15.75" customHeight="1" x14ac:dyDescent="0.3">
      <c r="A528" s="2"/>
    </row>
    <row r="529" spans="1:1" ht="15.75" customHeight="1" x14ac:dyDescent="0.3">
      <c r="A529" s="2"/>
    </row>
    <row r="530" spans="1:1" ht="15.75" customHeight="1" x14ac:dyDescent="0.3">
      <c r="A530" s="2"/>
    </row>
    <row r="531" spans="1:1" ht="15.75" customHeight="1" x14ac:dyDescent="0.3">
      <c r="A531" s="2"/>
    </row>
    <row r="532" spans="1:1" ht="15.75" customHeight="1" x14ac:dyDescent="0.3">
      <c r="A532" s="2"/>
    </row>
    <row r="533" spans="1:1" ht="15.75" customHeight="1" x14ac:dyDescent="0.3">
      <c r="A533" s="2"/>
    </row>
    <row r="534" spans="1:1" ht="15.75" customHeight="1" x14ac:dyDescent="0.3">
      <c r="A534" s="2"/>
    </row>
    <row r="535" spans="1:1" ht="15.75" customHeight="1" x14ac:dyDescent="0.3">
      <c r="A535" s="2"/>
    </row>
    <row r="536" spans="1:1" ht="15.75" customHeight="1" x14ac:dyDescent="0.3">
      <c r="A536" s="2"/>
    </row>
    <row r="537" spans="1:1" ht="15.75" customHeight="1" x14ac:dyDescent="0.3">
      <c r="A537" s="2"/>
    </row>
    <row r="538" spans="1:1" ht="15.75" customHeight="1" x14ac:dyDescent="0.3">
      <c r="A538" s="2"/>
    </row>
    <row r="539" spans="1:1" ht="15.75" customHeight="1" x14ac:dyDescent="0.3">
      <c r="A539" s="2"/>
    </row>
    <row r="540" spans="1:1" ht="15.75" customHeight="1" x14ac:dyDescent="0.3">
      <c r="A540" s="2"/>
    </row>
    <row r="541" spans="1:1" ht="15.75" customHeight="1" x14ac:dyDescent="0.3">
      <c r="A541" s="2"/>
    </row>
    <row r="542" spans="1:1" ht="15.75" customHeight="1" x14ac:dyDescent="0.3">
      <c r="A542" s="2"/>
    </row>
    <row r="543" spans="1:1" ht="15.75" customHeight="1" x14ac:dyDescent="0.3">
      <c r="A543" s="2"/>
    </row>
    <row r="544" spans="1:1" ht="15.75" customHeight="1" x14ac:dyDescent="0.3">
      <c r="A544" s="2"/>
    </row>
    <row r="545" spans="1:1" ht="15.75" customHeight="1" x14ac:dyDescent="0.3">
      <c r="A545" s="2"/>
    </row>
    <row r="546" spans="1:1" ht="15.75" customHeight="1" x14ac:dyDescent="0.3">
      <c r="A546" s="2"/>
    </row>
    <row r="547" spans="1:1" ht="15.75" customHeight="1" x14ac:dyDescent="0.3">
      <c r="A547" s="2"/>
    </row>
    <row r="548" spans="1:1" ht="15.75" customHeight="1" x14ac:dyDescent="0.3">
      <c r="A548" s="2"/>
    </row>
    <row r="549" spans="1:1" ht="15.75" customHeight="1" x14ac:dyDescent="0.3">
      <c r="A549" s="2"/>
    </row>
    <row r="550" spans="1:1" ht="15.75" customHeight="1" x14ac:dyDescent="0.3">
      <c r="A550" s="2"/>
    </row>
    <row r="551" spans="1:1" ht="15.75" customHeight="1" x14ac:dyDescent="0.3">
      <c r="A551" s="2"/>
    </row>
    <row r="552" spans="1:1" ht="15.75" customHeight="1" x14ac:dyDescent="0.3">
      <c r="A552" s="2"/>
    </row>
    <row r="553" spans="1:1" ht="15.75" customHeight="1" x14ac:dyDescent="0.3">
      <c r="A553" s="2"/>
    </row>
    <row r="554" spans="1:1" ht="15.75" customHeight="1" x14ac:dyDescent="0.3">
      <c r="A554" s="2"/>
    </row>
    <row r="555" spans="1:1" ht="15.75" customHeight="1" x14ac:dyDescent="0.3">
      <c r="A555" s="2"/>
    </row>
    <row r="556" spans="1:1" ht="15.75" customHeight="1" x14ac:dyDescent="0.3">
      <c r="A556" s="2"/>
    </row>
    <row r="557" spans="1:1" ht="15.75" customHeight="1" x14ac:dyDescent="0.3">
      <c r="A557" s="2"/>
    </row>
    <row r="558" spans="1:1" ht="15.75" customHeight="1" x14ac:dyDescent="0.3">
      <c r="A558" s="2"/>
    </row>
    <row r="559" spans="1:1" ht="15.75" customHeight="1" x14ac:dyDescent="0.3">
      <c r="A559" s="2"/>
    </row>
    <row r="560" spans="1:1" ht="15.75" customHeight="1" x14ac:dyDescent="0.3">
      <c r="A560" s="2"/>
    </row>
    <row r="561" spans="1:1" ht="15.75" customHeight="1" x14ac:dyDescent="0.3">
      <c r="A561" s="2"/>
    </row>
    <row r="562" spans="1:1" ht="15.75" customHeight="1" x14ac:dyDescent="0.3">
      <c r="A562" s="2"/>
    </row>
    <row r="563" spans="1:1" ht="15.75" customHeight="1" x14ac:dyDescent="0.3">
      <c r="A563" s="2"/>
    </row>
    <row r="564" spans="1:1" ht="15.75" customHeight="1" x14ac:dyDescent="0.3">
      <c r="A564" s="2"/>
    </row>
    <row r="565" spans="1:1" ht="15.75" customHeight="1" x14ac:dyDescent="0.3">
      <c r="A565" s="2"/>
    </row>
    <row r="566" spans="1:1" ht="15.75" customHeight="1" x14ac:dyDescent="0.3">
      <c r="A566" s="2"/>
    </row>
    <row r="567" spans="1:1" ht="15.75" customHeight="1" x14ac:dyDescent="0.3">
      <c r="A567" s="2"/>
    </row>
    <row r="568" spans="1:1" ht="15.75" customHeight="1" x14ac:dyDescent="0.3">
      <c r="A568" s="2"/>
    </row>
    <row r="569" spans="1:1" ht="15.75" customHeight="1" x14ac:dyDescent="0.3">
      <c r="A569" s="2"/>
    </row>
    <row r="570" spans="1:1" ht="15.75" customHeight="1" x14ac:dyDescent="0.3">
      <c r="A570" s="2"/>
    </row>
    <row r="571" spans="1:1" ht="15.75" customHeight="1" x14ac:dyDescent="0.3">
      <c r="A571" s="2"/>
    </row>
    <row r="572" spans="1:1" ht="15.75" customHeight="1" x14ac:dyDescent="0.3">
      <c r="A572" s="2"/>
    </row>
    <row r="573" spans="1:1" ht="15.75" customHeight="1" x14ac:dyDescent="0.3">
      <c r="A573" s="2"/>
    </row>
    <row r="574" spans="1:1" ht="15.75" customHeight="1" x14ac:dyDescent="0.3">
      <c r="A574" s="2"/>
    </row>
    <row r="575" spans="1:1" ht="15.75" customHeight="1" x14ac:dyDescent="0.3">
      <c r="A575" s="2"/>
    </row>
    <row r="576" spans="1:1" ht="15.75" customHeight="1" x14ac:dyDescent="0.3">
      <c r="A576" s="2"/>
    </row>
    <row r="577" spans="1:1" ht="15.75" customHeight="1" x14ac:dyDescent="0.3">
      <c r="A577" s="2"/>
    </row>
    <row r="578" spans="1:1" ht="15.75" customHeight="1" x14ac:dyDescent="0.3">
      <c r="A578" s="2"/>
    </row>
    <row r="579" spans="1:1" ht="15.75" customHeight="1" x14ac:dyDescent="0.3">
      <c r="A579" s="2"/>
    </row>
    <row r="580" spans="1:1" ht="15.75" customHeight="1" x14ac:dyDescent="0.3">
      <c r="A580" s="2"/>
    </row>
    <row r="581" spans="1:1" ht="15.75" customHeight="1" x14ac:dyDescent="0.3">
      <c r="A581" s="2"/>
    </row>
    <row r="582" spans="1:1" ht="15.75" customHeight="1" x14ac:dyDescent="0.3">
      <c r="A582" s="2"/>
    </row>
    <row r="583" spans="1:1" ht="15.75" customHeight="1" x14ac:dyDescent="0.3">
      <c r="A583" s="2"/>
    </row>
    <row r="584" spans="1:1" ht="15.75" customHeight="1" x14ac:dyDescent="0.3">
      <c r="A584" s="2"/>
    </row>
    <row r="585" spans="1:1" ht="15.75" customHeight="1" x14ac:dyDescent="0.3">
      <c r="A585" s="2"/>
    </row>
    <row r="586" spans="1:1" ht="15.75" customHeight="1" x14ac:dyDescent="0.3">
      <c r="A586" s="2"/>
    </row>
    <row r="587" spans="1:1" ht="15.75" customHeight="1" x14ac:dyDescent="0.3">
      <c r="A587" s="2"/>
    </row>
    <row r="588" spans="1:1" ht="15.75" customHeight="1" x14ac:dyDescent="0.3">
      <c r="A588" s="2"/>
    </row>
    <row r="589" spans="1:1" ht="15.75" customHeight="1" x14ac:dyDescent="0.3">
      <c r="A589" s="2"/>
    </row>
    <row r="590" spans="1:1" ht="15.75" customHeight="1" x14ac:dyDescent="0.3">
      <c r="A590" s="2"/>
    </row>
    <row r="591" spans="1:1" ht="15.75" customHeight="1" x14ac:dyDescent="0.3">
      <c r="A591" s="2"/>
    </row>
    <row r="592" spans="1:1" ht="15.75" customHeight="1" x14ac:dyDescent="0.3">
      <c r="A592" s="2"/>
    </row>
    <row r="593" spans="1:1" ht="15.75" customHeight="1" x14ac:dyDescent="0.3">
      <c r="A593" s="2"/>
    </row>
    <row r="594" spans="1:1" ht="15.75" customHeight="1" x14ac:dyDescent="0.3">
      <c r="A594" s="2"/>
    </row>
    <row r="595" spans="1:1" ht="15.75" customHeight="1" x14ac:dyDescent="0.3">
      <c r="A595" s="2"/>
    </row>
    <row r="596" spans="1:1" ht="15.75" customHeight="1" x14ac:dyDescent="0.3">
      <c r="A596" s="2"/>
    </row>
    <row r="597" spans="1:1" ht="15.75" customHeight="1" x14ac:dyDescent="0.3">
      <c r="A597" s="2"/>
    </row>
    <row r="598" spans="1:1" ht="15.75" customHeight="1" x14ac:dyDescent="0.3">
      <c r="A598" s="2"/>
    </row>
    <row r="599" spans="1:1" ht="15.75" customHeight="1" x14ac:dyDescent="0.3">
      <c r="A599" s="2"/>
    </row>
    <row r="600" spans="1:1" ht="15.75" customHeight="1" x14ac:dyDescent="0.3">
      <c r="A600" s="2"/>
    </row>
    <row r="601" spans="1:1" ht="15.75" customHeight="1" x14ac:dyDescent="0.3">
      <c r="A601" s="2"/>
    </row>
    <row r="602" spans="1:1" ht="15.75" customHeight="1" x14ac:dyDescent="0.3">
      <c r="A602" s="2"/>
    </row>
    <row r="603" spans="1:1" ht="15.75" customHeight="1" x14ac:dyDescent="0.3">
      <c r="A603" s="2"/>
    </row>
    <row r="604" spans="1:1" ht="15.75" customHeight="1" x14ac:dyDescent="0.3">
      <c r="A604" s="2"/>
    </row>
    <row r="605" spans="1:1" ht="15.75" customHeight="1" x14ac:dyDescent="0.3">
      <c r="A605" s="2"/>
    </row>
    <row r="606" spans="1:1" ht="15.75" customHeight="1" x14ac:dyDescent="0.3">
      <c r="A606" s="2"/>
    </row>
    <row r="607" spans="1:1" ht="15.75" customHeight="1" x14ac:dyDescent="0.3">
      <c r="A607" s="2"/>
    </row>
    <row r="608" spans="1:1" ht="15.75" customHeight="1" x14ac:dyDescent="0.3">
      <c r="A608" s="2"/>
    </row>
    <row r="609" spans="1:1" ht="15.75" customHeight="1" x14ac:dyDescent="0.3">
      <c r="A609" s="2"/>
    </row>
    <row r="610" spans="1:1" ht="15.75" customHeight="1" x14ac:dyDescent="0.3">
      <c r="A610" s="2"/>
    </row>
    <row r="611" spans="1:1" ht="15.75" customHeight="1" x14ac:dyDescent="0.3">
      <c r="A611" s="2"/>
    </row>
    <row r="612" spans="1:1" ht="15.75" customHeight="1" x14ac:dyDescent="0.3">
      <c r="A612" s="2"/>
    </row>
    <row r="613" spans="1:1" ht="15.75" customHeight="1" x14ac:dyDescent="0.3">
      <c r="A613" s="2"/>
    </row>
    <row r="614" spans="1:1" ht="15.75" customHeight="1" x14ac:dyDescent="0.3">
      <c r="A614" s="2"/>
    </row>
    <row r="615" spans="1:1" ht="15.75" customHeight="1" x14ac:dyDescent="0.3">
      <c r="A615" s="2"/>
    </row>
    <row r="616" spans="1:1" ht="15.75" customHeight="1" x14ac:dyDescent="0.3">
      <c r="A616" s="2"/>
    </row>
    <row r="617" spans="1:1" ht="15.75" customHeight="1" x14ac:dyDescent="0.3">
      <c r="A617" s="2"/>
    </row>
    <row r="618" spans="1:1" ht="15.75" customHeight="1" x14ac:dyDescent="0.3">
      <c r="A618" s="2"/>
    </row>
    <row r="619" spans="1:1" ht="15.75" customHeight="1" x14ac:dyDescent="0.3">
      <c r="A619" s="2"/>
    </row>
    <row r="620" spans="1:1" ht="15.75" customHeight="1" x14ac:dyDescent="0.3">
      <c r="A620" s="2"/>
    </row>
    <row r="621" spans="1:1" ht="15.75" customHeight="1" x14ac:dyDescent="0.3">
      <c r="A621" s="2"/>
    </row>
    <row r="622" spans="1:1" ht="15.75" customHeight="1" x14ac:dyDescent="0.3">
      <c r="A622" s="2"/>
    </row>
    <row r="623" spans="1:1" ht="15.75" customHeight="1" x14ac:dyDescent="0.3">
      <c r="A623" s="2"/>
    </row>
    <row r="624" spans="1:1" ht="15.75" customHeight="1" x14ac:dyDescent="0.3">
      <c r="A624" s="2"/>
    </row>
    <row r="625" spans="1:1" ht="15.75" customHeight="1" x14ac:dyDescent="0.3">
      <c r="A625" s="2"/>
    </row>
    <row r="626" spans="1:1" ht="15.75" customHeight="1" x14ac:dyDescent="0.3">
      <c r="A626" s="2"/>
    </row>
    <row r="627" spans="1:1" ht="15.75" customHeight="1" x14ac:dyDescent="0.3">
      <c r="A627" s="2"/>
    </row>
    <row r="628" spans="1:1" ht="15.75" customHeight="1" x14ac:dyDescent="0.3">
      <c r="A628" s="2"/>
    </row>
    <row r="629" spans="1:1" ht="15.75" customHeight="1" x14ac:dyDescent="0.3">
      <c r="A629" s="2"/>
    </row>
    <row r="630" spans="1:1" ht="15.75" customHeight="1" x14ac:dyDescent="0.3">
      <c r="A630" s="2"/>
    </row>
    <row r="631" spans="1:1" ht="15.75" customHeight="1" x14ac:dyDescent="0.3">
      <c r="A631" s="2"/>
    </row>
    <row r="632" spans="1:1" ht="15.75" customHeight="1" x14ac:dyDescent="0.3">
      <c r="A632" s="2"/>
    </row>
    <row r="633" spans="1:1" ht="15.75" customHeight="1" x14ac:dyDescent="0.3">
      <c r="A633" s="2"/>
    </row>
    <row r="634" spans="1:1" ht="15.75" customHeight="1" x14ac:dyDescent="0.3">
      <c r="A634" s="2"/>
    </row>
    <row r="635" spans="1:1" ht="15.75" customHeight="1" x14ac:dyDescent="0.3">
      <c r="A635" s="2"/>
    </row>
    <row r="636" spans="1:1" ht="15.75" customHeight="1" x14ac:dyDescent="0.3">
      <c r="A636" s="2"/>
    </row>
    <row r="637" spans="1:1" ht="15.75" customHeight="1" x14ac:dyDescent="0.3">
      <c r="A637" s="2"/>
    </row>
    <row r="638" spans="1:1" ht="15.75" customHeight="1" x14ac:dyDescent="0.3">
      <c r="A638" s="2"/>
    </row>
    <row r="639" spans="1:1" ht="15.75" customHeight="1" x14ac:dyDescent="0.3">
      <c r="A639" s="2"/>
    </row>
    <row r="640" spans="1:1" ht="15.75" customHeight="1" x14ac:dyDescent="0.3">
      <c r="A640" s="2"/>
    </row>
    <row r="641" spans="1:1" ht="15.75" customHeight="1" x14ac:dyDescent="0.3">
      <c r="A641" s="2"/>
    </row>
    <row r="642" spans="1:1" ht="15.75" customHeight="1" x14ac:dyDescent="0.3">
      <c r="A642" s="2"/>
    </row>
    <row r="643" spans="1:1" ht="15.75" customHeight="1" x14ac:dyDescent="0.3">
      <c r="A643" s="2"/>
    </row>
    <row r="644" spans="1:1" ht="15.75" customHeight="1" x14ac:dyDescent="0.3">
      <c r="A644" s="2"/>
    </row>
    <row r="645" spans="1:1" ht="15.75" customHeight="1" x14ac:dyDescent="0.3">
      <c r="A645" s="2"/>
    </row>
    <row r="646" spans="1:1" ht="15.75" customHeight="1" x14ac:dyDescent="0.3">
      <c r="A646" s="2"/>
    </row>
    <row r="647" spans="1:1" ht="15.75" customHeight="1" x14ac:dyDescent="0.3">
      <c r="A647" s="2"/>
    </row>
    <row r="648" spans="1:1" ht="15.75" customHeight="1" x14ac:dyDescent="0.3">
      <c r="A648" s="2"/>
    </row>
    <row r="649" spans="1:1" ht="15.75" customHeight="1" x14ac:dyDescent="0.3">
      <c r="A649" s="2"/>
    </row>
    <row r="650" spans="1:1" ht="15.75" customHeight="1" x14ac:dyDescent="0.3">
      <c r="A650" s="2"/>
    </row>
    <row r="651" spans="1:1" ht="15.75" customHeight="1" x14ac:dyDescent="0.3">
      <c r="A651" s="2"/>
    </row>
    <row r="652" spans="1:1" ht="15.75" customHeight="1" x14ac:dyDescent="0.3">
      <c r="A652" s="2"/>
    </row>
    <row r="653" spans="1:1" ht="15.75" customHeight="1" x14ac:dyDescent="0.3">
      <c r="A653" s="2"/>
    </row>
    <row r="654" spans="1:1" ht="15.75" customHeight="1" x14ac:dyDescent="0.3">
      <c r="A654" s="2"/>
    </row>
    <row r="655" spans="1:1" ht="15.75" customHeight="1" x14ac:dyDescent="0.3">
      <c r="A655" s="2"/>
    </row>
    <row r="656" spans="1:1" ht="15.75" customHeight="1" x14ac:dyDescent="0.3">
      <c r="A656" s="2"/>
    </row>
    <row r="657" spans="1:1" ht="15.75" customHeight="1" x14ac:dyDescent="0.3">
      <c r="A657" s="2"/>
    </row>
    <row r="658" spans="1:1" ht="15.75" customHeight="1" x14ac:dyDescent="0.3">
      <c r="A658" s="2"/>
    </row>
    <row r="659" spans="1:1" ht="15.75" customHeight="1" x14ac:dyDescent="0.3">
      <c r="A659" s="2"/>
    </row>
    <row r="660" spans="1:1" ht="15.75" customHeight="1" x14ac:dyDescent="0.3">
      <c r="A660" s="2"/>
    </row>
    <row r="661" spans="1:1" ht="15.75" customHeight="1" x14ac:dyDescent="0.3">
      <c r="A661" s="2"/>
    </row>
    <row r="662" spans="1:1" ht="15.75" customHeight="1" x14ac:dyDescent="0.3">
      <c r="A662" s="2"/>
    </row>
    <row r="663" spans="1:1" ht="15.75" customHeight="1" x14ac:dyDescent="0.3">
      <c r="A663" s="2"/>
    </row>
    <row r="664" spans="1:1" ht="15.75" customHeight="1" x14ac:dyDescent="0.3">
      <c r="A664" s="2"/>
    </row>
    <row r="665" spans="1:1" ht="15.75" customHeight="1" x14ac:dyDescent="0.3">
      <c r="A665" s="2"/>
    </row>
    <row r="666" spans="1:1" ht="15.75" customHeight="1" x14ac:dyDescent="0.3">
      <c r="A666" s="2"/>
    </row>
    <row r="667" spans="1:1" ht="15.75" customHeight="1" x14ac:dyDescent="0.3">
      <c r="A667" s="2"/>
    </row>
    <row r="668" spans="1:1" ht="15.75" customHeight="1" x14ac:dyDescent="0.3">
      <c r="A668" s="2"/>
    </row>
    <row r="669" spans="1:1" ht="15.75" customHeight="1" x14ac:dyDescent="0.3">
      <c r="A669" s="2"/>
    </row>
    <row r="670" spans="1:1" ht="15.75" customHeight="1" x14ac:dyDescent="0.3">
      <c r="A670" s="2"/>
    </row>
    <row r="671" spans="1:1" ht="15.75" customHeight="1" x14ac:dyDescent="0.3">
      <c r="A671" s="2"/>
    </row>
    <row r="672" spans="1:1" ht="15.75" customHeight="1" x14ac:dyDescent="0.3">
      <c r="A672" s="2"/>
    </row>
    <row r="673" spans="1:1" ht="15.75" customHeight="1" x14ac:dyDescent="0.3">
      <c r="A673" s="2"/>
    </row>
    <row r="674" spans="1:1" ht="15.75" customHeight="1" x14ac:dyDescent="0.3">
      <c r="A674" s="2"/>
    </row>
    <row r="675" spans="1:1" ht="15.75" customHeight="1" x14ac:dyDescent="0.3">
      <c r="A675" s="2"/>
    </row>
    <row r="676" spans="1:1" ht="15.75" customHeight="1" x14ac:dyDescent="0.3">
      <c r="A676" s="2"/>
    </row>
    <row r="677" spans="1:1" ht="15.75" customHeight="1" x14ac:dyDescent="0.3">
      <c r="A677" s="2"/>
    </row>
    <row r="678" spans="1:1" ht="15.75" customHeight="1" x14ac:dyDescent="0.3">
      <c r="A678" s="2"/>
    </row>
    <row r="679" spans="1:1" ht="15.75" customHeight="1" x14ac:dyDescent="0.3">
      <c r="A679" s="2"/>
    </row>
    <row r="680" spans="1:1" ht="15.75" customHeight="1" x14ac:dyDescent="0.3">
      <c r="A680" s="2"/>
    </row>
    <row r="681" spans="1:1" ht="15.75" customHeight="1" x14ac:dyDescent="0.3">
      <c r="A681" s="2"/>
    </row>
    <row r="682" spans="1:1" ht="15.75" customHeight="1" x14ac:dyDescent="0.3">
      <c r="A682" s="2"/>
    </row>
    <row r="683" spans="1:1" ht="15.75" customHeight="1" x14ac:dyDescent="0.3">
      <c r="A683" s="2"/>
    </row>
    <row r="684" spans="1:1" ht="15.75" customHeight="1" x14ac:dyDescent="0.3">
      <c r="A684" s="2"/>
    </row>
    <row r="685" spans="1:1" ht="15.75" customHeight="1" x14ac:dyDescent="0.3">
      <c r="A685" s="2"/>
    </row>
    <row r="686" spans="1:1" ht="15.75" customHeight="1" x14ac:dyDescent="0.3">
      <c r="A686" s="2"/>
    </row>
    <row r="687" spans="1:1" ht="15.75" customHeight="1" x14ac:dyDescent="0.3">
      <c r="A687" s="2"/>
    </row>
    <row r="688" spans="1:1" ht="15.75" customHeight="1" x14ac:dyDescent="0.3">
      <c r="A688" s="2"/>
    </row>
    <row r="689" spans="1:1" ht="15.75" customHeight="1" x14ac:dyDescent="0.3">
      <c r="A689" s="2"/>
    </row>
    <row r="690" spans="1:1" ht="15.75" customHeight="1" x14ac:dyDescent="0.3">
      <c r="A690" s="2"/>
    </row>
    <row r="691" spans="1:1" ht="15.75" customHeight="1" x14ac:dyDescent="0.3">
      <c r="A691" s="2"/>
    </row>
    <row r="692" spans="1:1" ht="15.75" customHeight="1" x14ac:dyDescent="0.3">
      <c r="A692" s="2"/>
    </row>
    <row r="693" spans="1:1" ht="15.75" customHeight="1" x14ac:dyDescent="0.3">
      <c r="A693" s="2"/>
    </row>
    <row r="694" spans="1:1" ht="15.75" customHeight="1" x14ac:dyDescent="0.3">
      <c r="A694" s="2"/>
    </row>
    <row r="695" spans="1:1" ht="15.75" customHeight="1" x14ac:dyDescent="0.3">
      <c r="A695" s="2"/>
    </row>
    <row r="696" spans="1:1" ht="15.75" customHeight="1" x14ac:dyDescent="0.3">
      <c r="A696" s="2"/>
    </row>
    <row r="697" spans="1:1" ht="15.75" customHeight="1" x14ac:dyDescent="0.3">
      <c r="A697" s="2"/>
    </row>
    <row r="698" spans="1:1" ht="15.75" customHeight="1" x14ac:dyDescent="0.3">
      <c r="A698" s="2"/>
    </row>
    <row r="699" spans="1:1" ht="15.75" customHeight="1" x14ac:dyDescent="0.3">
      <c r="A699" s="2"/>
    </row>
    <row r="700" spans="1:1" ht="15.75" customHeight="1" x14ac:dyDescent="0.3">
      <c r="A700" s="2"/>
    </row>
    <row r="701" spans="1:1" ht="15.75" customHeight="1" x14ac:dyDescent="0.3">
      <c r="A701" s="2"/>
    </row>
    <row r="702" spans="1:1" ht="15.75" customHeight="1" x14ac:dyDescent="0.3">
      <c r="A702" s="2"/>
    </row>
    <row r="703" spans="1:1" ht="15.75" customHeight="1" x14ac:dyDescent="0.3">
      <c r="A703" s="2"/>
    </row>
    <row r="704" spans="1:1" ht="15.75" customHeight="1" x14ac:dyDescent="0.3">
      <c r="A704" s="2"/>
    </row>
    <row r="705" spans="1:1" ht="15.75" customHeight="1" x14ac:dyDescent="0.3">
      <c r="A705" s="2"/>
    </row>
    <row r="706" spans="1:1" ht="15.75" customHeight="1" x14ac:dyDescent="0.3">
      <c r="A706" s="2"/>
    </row>
    <row r="707" spans="1:1" ht="15.75" customHeight="1" x14ac:dyDescent="0.3">
      <c r="A707" s="2"/>
    </row>
    <row r="708" spans="1:1" ht="15.75" customHeight="1" x14ac:dyDescent="0.3">
      <c r="A708" s="2"/>
    </row>
    <row r="709" spans="1:1" ht="15.75" customHeight="1" x14ac:dyDescent="0.3">
      <c r="A709" s="2"/>
    </row>
    <row r="710" spans="1:1" ht="15.75" customHeight="1" x14ac:dyDescent="0.3">
      <c r="A710" s="2"/>
    </row>
    <row r="711" spans="1:1" ht="15.75" customHeight="1" x14ac:dyDescent="0.3">
      <c r="A711" s="2"/>
    </row>
    <row r="712" spans="1:1" ht="15.75" customHeight="1" x14ac:dyDescent="0.3">
      <c r="A712" s="2"/>
    </row>
    <row r="713" spans="1:1" ht="15.75" customHeight="1" x14ac:dyDescent="0.3">
      <c r="A713" s="2"/>
    </row>
    <row r="714" spans="1:1" ht="15.75" customHeight="1" x14ac:dyDescent="0.3">
      <c r="A714" s="2"/>
    </row>
    <row r="715" spans="1:1" ht="15.75" customHeight="1" x14ac:dyDescent="0.3">
      <c r="A715" s="2"/>
    </row>
    <row r="716" spans="1:1" ht="15.75" customHeight="1" x14ac:dyDescent="0.3">
      <c r="A716" s="2"/>
    </row>
    <row r="717" spans="1:1" ht="15.75" customHeight="1" x14ac:dyDescent="0.3">
      <c r="A717" s="2"/>
    </row>
    <row r="718" spans="1:1" ht="15.75" customHeight="1" x14ac:dyDescent="0.3">
      <c r="A718" s="2"/>
    </row>
    <row r="719" spans="1:1" ht="15.75" customHeight="1" x14ac:dyDescent="0.3">
      <c r="A719" s="2"/>
    </row>
    <row r="720" spans="1:1" ht="15.75" customHeight="1" x14ac:dyDescent="0.3">
      <c r="A720" s="2"/>
    </row>
    <row r="721" spans="1:1" ht="15.75" customHeight="1" x14ac:dyDescent="0.3">
      <c r="A721" s="2"/>
    </row>
    <row r="722" spans="1:1" ht="15.75" customHeight="1" x14ac:dyDescent="0.3">
      <c r="A722" s="2"/>
    </row>
    <row r="723" spans="1:1" ht="15.75" customHeight="1" x14ac:dyDescent="0.3">
      <c r="A723" s="2"/>
    </row>
    <row r="724" spans="1:1" ht="15.75" customHeight="1" x14ac:dyDescent="0.3">
      <c r="A724" s="2"/>
    </row>
    <row r="725" spans="1:1" ht="15.75" customHeight="1" x14ac:dyDescent="0.3">
      <c r="A725" s="2"/>
    </row>
    <row r="726" spans="1:1" ht="15.75" customHeight="1" x14ac:dyDescent="0.3">
      <c r="A726" s="2"/>
    </row>
    <row r="727" spans="1:1" ht="15.75" customHeight="1" x14ac:dyDescent="0.3">
      <c r="A727" s="2"/>
    </row>
    <row r="728" spans="1:1" ht="15.75" customHeight="1" x14ac:dyDescent="0.3">
      <c r="A728" s="2"/>
    </row>
    <row r="729" spans="1:1" ht="15.75" customHeight="1" x14ac:dyDescent="0.3">
      <c r="A729" s="2"/>
    </row>
    <row r="730" spans="1:1" ht="15.75" customHeight="1" x14ac:dyDescent="0.3">
      <c r="A730" s="2"/>
    </row>
    <row r="731" spans="1:1" ht="15.75" customHeight="1" x14ac:dyDescent="0.3">
      <c r="A731" s="2"/>
    </row>
    <row r="732" spans="1:1" ht="15.75" customHeight="1" x14ac:dyDescent="0.3">
      <c r="A732" s="2"/>
    </row>
    <row r="733" spans="1:1" ht="15.75" customHeight="1" x14ac:dyDescent="0.3">
      <c r="A733" s="2"/>
    </row>
    <row r="734" spans="1:1" ht="15.75" customHeight="1" x14ac:dyDescent="0.3">
      <c r="A734" s="2"/>
    </row>
    <row r="735" spans="1:1" ht="15.75" customHeight="1" x14ac:dyDescent="0.3">
      <c r="A735" s="2"/>
    </row>
    <row r="736" spans="1:1" ht="15.75" customHeight="1" x14ac:dyDescent="0.3">
      <c r="A736" s="2"/>
    </row>
    <row r="737" spans="1:1" ht="15.75" customHeight="1" x14ac:dyDescent="0.3">
      <c r="A737" s="2"/>
    </row>
    <row r="738" spans="1:1" ht="15.75" customHeight="1" x14ac:dyDescent="0.3">
      <c r="A738" s="2"/>
    </row>
    <row r="739" spans="1:1" ht="15.75" customHeight="1" x14ac:dyDescent="0.3">
      <c r="A739" s="2"/>
    </row>
    <row r="740" spans="1:1" ht="15.75" customHeight="1" x14ac:dyDescent="0.3">
      <c r="A740" s="2"/>
    </row>
    <row r="741" spans="1:1" ht="15.75" customHeight="1" x14ac:dyDescent="0.3">
      <c r="A741" s="2"/>
    </row>
    <row r="742" spans="1:1" ht="15.75" customHeight="1" x14ac:dyDescent="0.3">
      <c r="A742" s="2"/>
    </row>
    <row r="743" spans="1:1" ht="15.75" customHeight="1" x14ac:dyDescent="0.3">
      <c r="A743" s="2"/>
    </row>
    <row r="744" spans="1:1" ht="15.75" customHeight="1" x14ac:dyDescent="0.3">
      <c r="A744" s="2"/>
    </row>
    <row r="745" spans="1:1" ht="15.75" customHeight="1" x14ac:dyDescent="0.3">
      <c r="A745" s="2"/>
    </row>
    <row r="746" spans="1:1" ht="15.75" customHeight="1" x14ac:dyDescent="0.3">
      <c r="A746" s="2"/>
    </row>
    <row r="747" spans="1:1" ht="15.75" customHeight="1" x14ac:dyDescent="0.3">
      <c r="A747" s="2"/>
    </row>
    <row r="748" spans="1:1" ht="15.75" customHeight="1" x14ac:dyDescent="0.3">
      <c r="A748" s="2"/>
    </row>
    <row r="749" spans="1:1" ht="15.75" customHeight="1" x14ac:dyDescent="0.3">
      <c r="A749" s="2"/>
    </row>
    <row r="750" spans="1:1" ht="15.75" customHeight="1" x14ac:dyDescent="0.3">
      <c r="A750" s="2"/>
    </row>
    <row r="751" spans="1:1" ht="15.75" customHeight="1" x14ac:dyDescent="0.3">
      <c r="A751" s="2"/>
    </row>
    <row r="752" spans="1:1" ht="15.75" customHeight="1" x14ac:dyDescent="0.3">
      <c r="A752" s="2"/>
    </row>
    <row r="753" spans="1:1" ht="15.75" customHeight="1" x14ac:dyDescent="0.3">
      <c r="A753" s="2"/>
    </row>
    <row r="754" spans="1:1" ht="15.75" customHeight="1" x14ac:dyDescent="0.3">
      <c r="A754" s="2"/>
    </row>
    <row r="755" spans="1:1" ht="15.75" customHeight="1" x14ac:dyDescent="0.3">
      <c r="A755" s="2"/>
    </row>
    <row r="756" spans="1:1" ht="15.75" customHeight="1" x14ac:dyDescent="0.3">
      <c r="A756" s="2"/>
    </row>
    <row r="757" spans="1:1" ht="15.75" customHeight="1" x14ac:dyDescent="0.3">
      <c r="A757" s="2"/>
    </row>
    <row r="758" spans="1:1" ht="15.75" customHeight="1" x14ac:dyDescent="0.3">
      <c r="A758" s="2"/>
    </row>
    <row r="759" spans="1:1" ht="15.75" customHeight="1" x14ac:dyDescent="0.3">
      <c r="A759" s="2"/>
    </row>
    <row r="760" spans="1:1" ht="15.75" customHeight="1" x14ac:dyDescent="0.3">
      <c r="A760" s="2"/>
    </row>
    <row r="761" spans="1:1" ht="15.75" customHeight="1" x14ac:dyDescent="0.3">
      <c r="A761" s="2"/>
    </row>
    <row r="762" spans="1:1" ht="15.75" customHeight="1" x14ac:dyDescent="0.3">
      <c r="A762" s="2"/>
    </row>
    <row r="763" spans="1:1" ht="15.75" customHeight="1" x14ac:dyDescent="0.3">
      <c r="A763" s="2"/>
    </row>
    <row r="764" spans="1:1" ht="15.75" customHeight="1" x14ac:dyDescent="0.3">
      <c r="A764" s="2"/>
    </row>
    <row r="765" spans="1:1" ht="15.75" customHeight="1" x14ac:dyDescent="0.3">
      <c r="A765" s="2"/>
    </row>
    <row r="766" spans="1:1" ht="15.75" customHeight="1" x14ac:dyDescent="0.3">
      <c r="A766" s="2"/>
    </row>
    <row r="767" spans="1:1" ht="15.75" customHeight="1" x14ac:dyDescent="0.3">
      <c r="A767" s="2"/>
    </row>
    <row r="768" spans="1:1" ht="15.75" customHeight="1" x14ac:dyDescent="0.3">
      <c r="A768" s="2"/>
    </row>
    <row r="769" spans="1:1" ht="15.75" customHeight="1" x14ac:dyDescent="0.3">
      <c r="A769" s="2"/>
    </row>
    <row r="770" spans="1:1" ht="15.75" customHeight="1" x14ac:dyDescent="0.3">
      <c r="A770" s="2"/>
    </row>
    <row r="771" spans="1:1" ht="15.75" customHeight="1" x14ac:dyDescent="0.3">
      <c r="A771" s="2"/>
    </row>
    <row r="772" spans="1:1" ht="15.75" customHeight="1" x14ac:dyDescent="0.3">
      <c r="A772" s="2"/>
    </row>
    <row r="773" spans="1:1" ht="15.75" customHeight="1" x14ac:dyDescent="0.3">
      <c r="A773" s="2"/>
    </row>
    <row r="774" spans="1:1" ht="15.75" customHeight="1" x14ac:dyDescent="0.3">
      <c r="A774" s="2"/>
    </row>
    <row r="775" spans="1:1" ht="15.75" customHeight="1" x14ac:dyDescent="0.3">
      <c r="A775" s="2"/>
    </row>
    <row r="776" spans="1:1" ht="15.75" customHeight="1" x14ac:dyDescent="0.3">
      <c r="A776" s="2"/>
    </row>
    <row r="777" spans="1:1" ht="15.75" customHeight="1" x14ac:dyDescent="0.3">
      <c r="A777" s="2"/>
    </row>
    <row r="778" spans="1:1" ht="15.75" customHeight="1" x14ac:dyDescent="0.3">
      <c r="A778" s="2"/>
    </row>
  </sheetData>
  <mergeCells count="5">
    <mergeCell ref="B18:C18"/>
    <mergeCell ref="B15:D15"/>
    <mergeCell ref="F15:G15"/>
    <mergeCell ref="B16:C16"/>
    <mergeCell ref="B17:C17"/>
  </mergeCells>
  <dataValidations count="1">
    <dataValidation type="list" allowBlank="1" showErrorMessage="1" sqref="D1 D12" xr:uid="{00000000-0002-0000-0000-000000000000}">
      <formula1>#REF!</formula1>
    </dataValidation>
  </dataValidations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7"/>
  <sheetViews>
    <sheetView showGridLines="0" zoomScale="80" zoomScaleNormal="80" workbookViewId="0"/>
  </sheetViews>
  <sheetFormatPr defaultColWidth="14.44140625" defaultRowHeight="17.399999999999999" x14ac:dyDescent="0.35"/>
  <cols>
    <col min="1" max="1" width="3.44140625" style="29" customWidth="1"/>
    <col min="2" max="2" width="7.88671875" style="29" customWidth="1"/>
    <col min="3" max="3" width="125.88671875" style="29" customWidth="1"/>
    <col min="4" max="4" width="22" style="29" customWidth="1"/>
    <col min="5" max="6" width="13.44140625" style="29" customWidth="1"/>
    <col min="7" max="7" width="32.109375" style="29" customWidth="1"/>
    <col min="8" max="8" width="32.109375" style="141" customWidth="1"/>
    <col min="9" max="9" width="47.44140625" style="29" customWidth="1"/>
    <col min="10" max="10" width="6.33203125" style="29" customWidth="1"/>
    <col min="11" max="12" width="32.44140625" style="29" customWidth="1"/>
    <col min="13" max="13" width="2.88671875" style="29" customWidth="1"/>
    <col min="14" max="14" width="32.44140625" style="29" customWidth="1"/>
    <col min="15" max="21" width="9.109375" style="29" customWidth="1"/>
    <col min="22" max="16384" width="14.44140625" style="29"/>
  </cols>
  <sheetData>
    <row r="1" spans="2:13" ht="18" thickBot="1" x14ac:dyDescent="0.4">
      <c r="B1" s="23"/>
      <c r="C1" s="24"/>
      <c r="D1" s="25"/>
      <c r="E1" s="26"/>
      <c r="F1" s="26"/>
      <c r="G1" s="27"/>
      <c r="H1" s="27"/>
      <c r="I1" s="28"/>
      <c r="K1" s="28"/>
      <c r="L1" s="30"/>
      <c r="M1" s="31"/>
    </row>
    <row r="2" spans="2:13" ht="18" customHeight="1" x14ac:dyDescent="0.35">
      <c r="B2" s="32"/>
      <c r="C2" s="33"/>
      <c r="D2" s="34"/>
      <c r="E2" s="35"/>
      <c r="F2" s="35"/>
      <c r="G2" s="36"/>
      <c r="H2" s="37"/>
      <c r="I2" s="38" t="s">
        <v>52</v>
      </c>
      <c r="K2" s="39"/>
      <c r="L2" s="40"/>
      <c r="M2" s="31"/>
    </row>
    <row r="3" spans="2:13" ht="18" customHeight="1" x14ac:dyDescent="0.35">
      <c r="B3" s="41"/>
      <c r="C3" s="42"/>
      <c r="D3" s="43"/>
      <c r="E3" s="44"/>
      <c r="F3" s="45"/>
      <c r="G3" s="46"/>
      <c r="H3" s="47" t="s">
        <v>1</v>
      </c>
      <c r="I3" s="48" t="str">
        <f>RESUMO!D2</f>
        <v>PRESS KIT THE BLEND</v>
      </c>
      <c r="K3" s="49"/>
      <c r="L3" s="49"/>
      <c r="M3" s="31"/>
    </row>
    <row r="4" spans="2:13" ht="18" customHeight="1" x14ac:dyDescent="0.35">
      <c r="B4" s="41"/>
      <c r="C4" s="42"/>
      <c r="D4" s="50"/>
      <c r="E4" s="51"/>
      <c r="F4" s="50"/>
      <c r="G4" s="51"/>
      <c r="H4" s="47" t="s">
        <v>2</v>
      </c>
      <c r="I4" s="48" t="str">
        <f>RESUMO!D3</f>
        <v xml:space="preserve"> -</v>
      </c>
      <c r="K4" s="52"/>
      <c r="L4" s="53"/>
      <c r="M4" s="31"/>
    </row>
    <row r="5" spans="2:13" ht="18" customHeight="1" x14ac:dyDescent="0.35">
      <c r="B5" s="41"/>
      <c r="C5" s="42"/>
      <c r="D5" s="50"/>
      <c r="E5" s="51"/>
      <c r="F5" s="50"/>
      <c r="G5" s="51"/>
      <c r="H5" s="47" t="s">
        <v>3</v>
      </c>
      <c r="I5" s="48" t="str">
        <f>RESUMO!D4</f>
        <v xml:space="preserve"> -</v>
      </c>
      <c r="K5" s="54"/>
      <c r="L5" s="49"/>
      <c r="M5" s="31"/>
    </row>
    <row r="6" spans="2:13" ht="18" customHeight="1" x14ac:dyDescent="0.35">
      <c r="B6" s="41"/>
      <c r="C6" s="42"/>
      <c r="D6" s="50"/>
      <c r="E6" s="51"/>
      <c r="F6" s="50"/>
      <c r="G6" s="51"/>
      <c r="H6" s="47" t="s">
        <v>4</v>
      </c>
      <c r="I6" s="48" t="str">
        <f>RESUMO!D5</f>
        <v xml:space="preserve"> -</v>
      </c>
      <c r="K6" s="55"/>
      <c r="L6" s="56"/>
      <c r="M6" s="31"/>
    </row>
    <row r="7" spans="2:13" ht="18" customHeight="1" x14ac:dyDescent="0.35">
      <c r="B7" s="41"/>
      <c r="C7" s="42"/>
      <c r="D7" s="43"/>
      <c r="E7" s="44"/>
      <c r="F7" s="44"/>
      <c r="G7" s="46"/>
      <c r="H7" s="47" t="s">
        <v>5</v>
      </c>
      <c r="I7" s="48" t="str">
        <f>RESUMO!D6</f>
        <v xml:space="preserve"> -</v>
      </c>
      <c r="K7" s="54"/>
      <c r="L7" s="49"/>
      <c r="M7" s="31"/>
    </row>
    <row r="8" spans="2:13" ht="18" customHeight="1" x14ac:dyDescent="0.35">
      <c r="B8" s="41"/>
      <c r="C8" s="42"/>
      <c r="D8" s="50"/>
      <c r="E8" s="51"/>
      <c r="F8" s="44"/>
      <c r="G8" s="46"/>
      <c r="H8" s="47" t="s">
        <v>6</v>
      </c>
      <c r="I8" s="48" t="str">
        <f>RESUMO!D7</f>
        <v xml:space="preserve"> -</v>
      </c>
      <c r="K8" s="55"/>
      <c r="L8" s="56"/>
      <c r="M8" s="31"/>
    </row>
    <row r="9" spans="2:13" ht="18" customHeight="1" x14ac:dyDescent="0.35">
      <c r="B9" s="41"/>
      <c r="C9" s="42"/>
      <c r="D9" s="50"/>
      <c r="E9" s="51"/>
      <c r="F9" s="44"/>
      <c r="G9" s="46"/>
      <c r="H9" s="47" t="s">
        <v>7</v>
      </c>
      <c r="I9" s="48" t="str">
        <f>RESUMO!D8</f>
        <v>BO_0001_26</v>
      </c>
      <c r="K9" s="158"/>
      <c r="L9" s="158"/>
      <c r="M9" s="31"/>
    </row>
    <row r="10" spans="2:13" ht="18" customHeight="1" x14ac:dyDescent="0.35">
      <c r="B10" s="41"/>
      <c r="C10" s="42"/>
      <c r="D10" s="50"/>
      <c r="E10" s="51"/>
      <c r="F10" s="44"/>
      <c r="G10" s="46"/>
      <c r="H10" s="47" t="s">
        <v>33</v>
      </c>
      <c r="I10" s="48" t="str">
        <f>RESUMO!D9</f>
        <v>Dida Dourado</v>
      </c>
      <c r="K10" s="54"/>
      <c r="L10" s="49"/>
      <c r="M10" s="31"/>
    </row>
    <row r="11" spans="2:13" ht="18" customHeight="1" x14ac:dyDescent="0.35">
      <c r="B11" s="41"/>
      <c r="C11" s="42"/>
      <c r="D11" s="50"/>
      <c r="E11" s="51"/>
      <c r="F11" s="44"/>
      <c r="G11" s="46"/>
      <c r="H11" s="47" t="s">
        <v>32</v>
      </c>
      <c r="I11" s="48" t="str">
        <f>RESUMO!D10</f>
        <v>Keila Parente / Cesar Laranjeira</v>
      </c>
      <c r="K11" s="54"/>
      <c r="L11" s="49"/>
      <c r="M11" s="57"/>
    </row>
    <row r="12" spans="2:13" ht="18" customHeight="1" x14ac:dyDescent="0.35">
      <c r="B12" s="41"/>
      <c r="C12" s="42"/>
      <c r="D12" s="50"/>
      <c r="E12" s="51"/>
      <c r="F12" s="44"/>
      <c r="G12" s="46"/>
      <c r="H12" s="47" t="s">
        <v>60</v>
      </c>
      <c r="I12" s="48" t="str">
        <f>RESUMO!D11</f>
        <v xml:space="preserve"> -</v>
      </c>
      <c r="K12" s="54"/>
      <c r="L12" s="49"/>
      <c r="M12" s="57"/>
    </row>
    <row r="13" spans="2:13" ht="18" customHeight="1" x14ac:dyDescent="0.35">
      <c r="B13" s="41"/>
      <c r="C13" s="42"/>
      <c r="D13" s="50"/>
      <c r="E13" s="51"/>
      <c r="F13" s="44"/>
      <c r="G13" s="46"/>
      <c r="H13" s="47"/>
      <c r="I13" s="58"/>
      <c r="K13" s="54"/>
      <c r="L13" s="49"/>
      <c r="M13" s="59"/>
    </row>
    <row r="14" spans="2:13" ht="18" customHeight="1" thickBot="1" x14ac:dyDescent="0.4">
      <c r="B14" s="60"/>
      <c r="C14" s="61"/>
      <c r="D14" s="62"/>
      <c r="E14" s="63"/>
      <c r="F14" s="64"/>
      <c r="G14" s="65"/>
      <c r="H14" s="66"/>
      <c r="I14" s="67">
        <f>I43</f>
        <v>99000</v>
      </c>
      <c r="K14" s="68"/>
      <c r="L14" s="69"/>
      <c r="M14" s="59"/>
    </row>
    <row r="15" spans="2:13" ht="52.2" x14ac:dyDescent="0.35">
      <c r="B15" s="70" t="s">
        <v>8</v>
      </c>
      <c r="C15" s="71" t="s">
        <v>9</v>
      </c>
      <c r="D15" s="71" t="s">
        <v>51</v>
      </c>
      <c r="E15" s="72" t="s">
        <v>10</v>
      </c>
      <c r="F15" s="72" t="s">
        <v>11</v>
      </c>
      <c r="G15" s="73" t="s">
        <v>12</v>
      </c>
      <c r="H15" s="73" t="s">
        <v>13</v>
      </c>
      <c r="I15" s="74" t="s">
        <v>14</v>
      </c>
      <c r="K15" s="156" t="s">
        <v>15</v>
      </c>
      <c r="L15" s="157"/>
      <c r="M15" s="75"/>
    </row>
    <row r="16" spans="2:13" ht="34.799999999999997" x14ac:dyDescent="0.35">
      <c r="B16" s="76">
        <v>1</v>
      </c>
      <c r="C16" s="77" t="s">
        <v>50</v>
      </c>
      <c r="D16" s="77"/>
      <c r="E16" s="77"/>
      <c r="F16" s="77"/>
      <c r="G16" s="77"/>
      <c r="H16" s="77"/>
      <c r="I16" s="78">
        <f>SUM(H17:H18)</f>
        <v>5000</v>
      </c>
      <c r="K16" s="79" t="s">
        <v>27</v>
      </c>
      <c r="L16" s="80" t="str">
        <f>RESUMO!G$16</f>
        <v>75 DIAS</v>
      </c>
      <c r="M16" s="75"/>
    </row>
    <row r="17" spans="2:13" ht="48.6" customHeight="1" x14ac:dyDescent="0.35">
      <c r="B17" s="81" t="s">
        <v>16</v>
      </c>
      <c r="C17" s="82" t="s">
        <v>64</v>
      </c>
      <c r="D17" s="83" t="s">
        <v>36</v>
      </c>
      <c r="E17" s="84">
        <v>1</v>
      </c>
      <c r="F17" s="84">
        <v>1</v>
      </c>
      <c r="G17" s="85">
        <v>5000</v>
      </c>
      <c r="H17" s="86">
        <f t="shared" ref="H17" si="0">E17*F17*G17</f>
        <v>5000</v>
      </c>
      <c r="I17" s="90"/>
      <c r="J17" s="87"/>
      <c r="K17" s="88">
        <v>0</v>
      </c>
      <c r="L17" s="91">
        <f>H17</f>
        <v>5000</v>
      </c>
      <c r="M17" s="59"/>
    </row>
    <row r="18" spans="2:13" ht="34.799999999999997" x14ac:dyDescent="0.35">
      <c r="B18" s="81" t="s">
        <v>17</v>
      </c>
      <c r="C18" s="82" t="s">
        <v>65</v>
      </c>
      <c r="D18" s="83" t="s">
        <v>36</v>
      </c>
      <c r="E18" s="84">
        <v>1</v>
      </c>
      <c r="F18" s="84">
        <v>1</v>
      </c>
      <c r="G18" s="85">
        <v>0</v>
      </c>
      <c r="H18" s="89" t="s">
        <v>49</v>
      </c>
      <c r="I18" s="90"/>
      <c r="J18" s="87"/>
      <c r="K18" s="88">
        <v>0</v>
      </c>
      <c r="L18" s="91" t="str">
        <f>H18</f>
        <v>RESPONSABILIDADE CLIENTE</v>
      </c>
      <c r="M18" s="59"/>
    </row>
    <row r="19" spans="2:13" ht="34.799999999999997" x14ac:dyDescent="0.35">
      <c r="B19" s="76">
        <v>2</v>
      </c>
      <c r="C19" s="77" t="s">
        <v>42</v>
      </c>
      <c r="D19" s="77"/>
      <c r="E19" s="77"/>
      <c r="F19" s="77"/>
      <c r="G19" s="77"/>
      <c r="H19" s="77"/>
      <c r="I19" s="78">
        <f>SUM(H20:H21)</f>
        <v>70000</v>
      </c>
      <c r="J19" s="87"/>
      <c r="K19" s="79" t="s">
        <v>27</v>
      </c>
      <c r="L19" s="80" t="str">
        <f>L$16</f>
        <v>75 DIAS</v>
      </c>
      <c r="M19" s="59"/>
    </row>
    <row r="20" spans="2:13" ht="409.6" customHeight="1" x14ac:dyDescent="0.35">
      <c r="B20" s="81" t="s">
        <v>18</v>
      </c>
      <c r="C20" s="93" t="s">
        <v>82</v>
      </c>
      <c r="D20" s="83" t="s">
        <v>36</v>
      </c>
      <c r="E20" s="84">
        <v>200</v>
      </c>
      <c r="F20" s="84">
        <v>1</v>
      </c>
      <c r="G20" s="85">
        <v>350</v>
      </c>
      <c r="H20" s="86">
        <f t="shared" ref="H20" si="1">E20*F20*G20</f>
        <v>70000</v>
      </c>
      <c r="I20" s="90"/>
      <c r="J20" s="87"/>
      <c r="K20" s="94">
        <v>0</v>
      </c>
      <c r="L20" s="95">
        <f t="shared" ref="L20" si="2">H20</f>
        <v>70000</v>
      </c>
      <c r="M20" s="31"/>
    </row>
    <row r="21" spans="2:13" ht="48.6" customHeight="1" x14ac:dyDescent="0.35">
      <c r="B21" s="81" t="s">
        <v>19</v>
      </c>
      <c r="C21" s="82" t="s">
        <v>81</v>
      </c>
      <c r="D21" s="83" t="s">
        <v>36</v>
      </c>
      <c r="E21" s="84">
        <v>1</v>
      </c>
      <c r="F21" s="84">
        <v>1</v>
      </c>
      <c r="G21" s="85">
        <v>0</v>
      </c>
      <c r="H21" s="89" t="s">
        <v>49</v>
      </c>
      <c r="I21" s="90"/>
      <c r="J21" s="87"/>
      <c r="K21" s="88">
        <v>0</v>
      </c>
      <c r="L21" s="91" t="str">
        <f>H21</f>
        <v>RESPONSABILIDADE CLIENTE</v>
      </c>
      <c r="M21" s="59"/>
    </row>
    <row r="22" spans="2:13" ht="34.799999999999997" x14ac:dyDescent="0.35">
      <c r="B22" s="76">
        <v>3</v>
      </c>
      <c r="C22" s="96" t="s">
        <v>41</v>
      </c>
      <c r="D22" s="77"/>
      <c r="E22" s="77"/>
      <c r="F22" s="77"/>
      <c r="G22" s="77"/>
      <c r="H22" s="77"/>
      <c r="I22" s="78">
        <f>SUM(H23:H25)</f>
        <v>0</v>
      </c>
      <c r="J22" s="87"/>
      <c r="K22" s="79" t="s">
        <v>27</v>
      </c>
      <c r="L22" s="80" t="str">
        <f>L$16</f>
        <v>75 DIAS</v>
      </c>
      <c r="M22" s="59"/>
    </row>
    <row r="23" spans="2:13" ht="48.6" customHeight="1" x14ac:dyDescent="0.35">
      <c r="B23" s="81" t="s">
        <v>20</v>
      </c>
      <c r="C23" s="82" t="s">
        <v>66</v>
      </c>
      <c r="D23" s="83" t="s">
        <v>36</v>
      </c>
      <c r="E23" s="84">
        <v>1</v>
      </c>
      <c r="F23" s="84">
        <v>1</v>
      </c>
      <c r="G23" s="85">
        <v>0</v>
      </c>
      <c r="H23" s="89" t="s">
        <v>68</v>
      </c>
      <c r="I23" s="90"/>
      <c r="J23" s="87"/>
      <c r="K23" s="88">
        <v>0</v>
      </c>
      <c r="L23" s="91" t="str">
        <f>H23</f>
        <v>CORTESIA</v>
      </c>
      <c r="M23" s="59"/>
    </row>
    <row r="24" spans="2:13" ht="48.6" customHeight="1" x14ac:dyDescent="0.35">
      <c r="B24" s="81" t="s">
        <v>21</v>
      </c>
      <c r="C24" s="82" t="s">
        <v>69</v>
      </c>
      <c r="D24" s="83" t="s">
        <v>36</v>
      </c>
      <c r="E24" s="84">
        <v>1</v>
      </c>
      <c r="F24" s="84">
        <v>1</v>
      </c>
      <c r="G24" s="85">
        <v>0</v>
      </c>
      <c r="H24" s="89" t="s">
        <v>68</v>
      </c>
      <c r="I24" s="90"/>
      <c r="J24" s="87"/>
      <c r="K24" s="88">
        <v>0</v>
      </c>
      <c r="L24" s="91" t="str">
        <f>H24</f>
        <v>CORTESIA</v>
      </c>
      <c r="M24" s="59"/>
    </row>
    <row r="25" spans="2:13" ht="48.6" customHeight="1" x14ac:dyDescent="0.35">
      <c r="B25" s="81" t="s">
        <v>22</v>
      </c>
      <c r="C25" s="82" t="s">
        <v>79</v>
      </c>
      <c r="D25" s="83" t="s">
        <v>36</v>
      </c>
      <c r="E25" s="84">
        <v>1</v>
      </c>
      <c r="F25" s="84">
        <v>1</v>
      </c>
      <c r="G25" s="85">
        <v>0</v>
      </c>
      <c r="H25" s="89" t="s">
        <v>68</v>
      </c>
      <c r="I25" s="90"/>
      <c r="J25" s="87"/>
      <c r="K25" s="88">
        <v>0</v>
      </c>
      <c r="L25" s="91" t="str">
        <f>H25</f>
        <v>CORTESIA</v>
      </c>
      <c r="M25" s="59"/>
    </row>
    <row r="26" spans="2:13" ht="34.799999999999997" x14ac:dyDescent="0.35">
      <c r="B26" s="76">
        <v>4</v>
      </c>
      <c r="C26" s="77" t="s">
        <v>44</v>
      </c>
      <c r="D26" s="77"/>
      <c r="E26" s="77"/>
      <c r="F26" s="77"/>
      <c r="G26" s="77"/>
      <c r="H26" s="77"/>
      <c r="I26" s="78">
        <f>SUM(H27:H32)</f>
        <v>600</v>
      </c>
      <c r="J26" s="87"/>
      <c r="K26" s="79" t="s">
        <v>27</v>
      </c>
      <c r="L26" s="80" t="str">
        <f>L$16</f>
        <v>75 DIAS</v>
      </c>
      <c r="M26" s="92"/>
    </row>
    <row r="27" spans="2:13" ht="152.4" customHeight="1" x14ac:dyDescent="0.35">
      <c r="B27" s="98" t="s">
        <v>23</v>
      </c>
      <c r="C27" s="99" t="s">
        <v>74</v>
      </c>
      <c r="D27" s="83" t="s">
        <v>36</v>
      </c>
      <c r="E27" s="84">
        <v>1</v>
      </c>
      <c r="F27" s="84">
        <v>1</v>
      </c>
      <c r="G27" s="85">
        <v>0</v>
      </c>
      <c r="H27" s="89" t="s">
        <v>70</v>
      </c>
      <c r="I27" s="90"/>
      <c r="J27" s="87"/>
      <c r="K27" s="88">
        <v>0</v>
      </c>
      <c r="L27" s="91" t="str">
        <f>H27</f>
        <v>INCLUSO NO ORÇAMENTO</v>
      </c>
      <c r="M27" s="59"/>
    </row>
    <row r="28" spans="2:13" ht="139.19999999999999" x14ac:dyDescent="0.35">
      <c r="B28" s="98" t="s">
        <v>48</v>
      </c>
      <c r="C28" s="99" t="s">
        <v>73</v>
      </c>
      <c r="D28" s="83" t="s">
        <v>36</v>
      </c>
      <c r="E28" s="84">
        <v>1</v>
      </c>
      <c r="F28" s="84">
        <v>1</v>
      </c>
      <c r="G28" s="85">
        <v>300</v>
      </c>
      <c r="H28" s="86">
        <f t="shared" ref="H28" si="3">E28*F28*G28</f>
        <v>300</v>
      </c>
      <c r="I28" s="100"/>
      <c r="J28" s="87"/>
      <c r="K28" s="88">
        <v>0</v>
      </c>
      <c r="L28" s="95">
        <f t="shared" ref="L28" si="4">H28</f>
        <v>300</v>
      </c>
      <c r="M28" s="92"/>
    </row>
    <row r="29" spans="2:13" ht="139.19999999999999" x14ac:dyDescent="0.35">
      <c r="B29" s="98" t="s">
        <v>47</v>
      </c>
      <c r="C29" s="99" t="s">
        <v>72</v>
      </c>
      <c r="D29" s="83" t="s">
        <v>36</v>
      </c>
      <c r="E29" s="84">
        <v>1</v>
      </c>
      <c r="F29" s="84">
        <v>1</v>
      </c>
      <c r="G29" s="85">
        <v>300</v>
      </c>
      <c r="H29" s="86">
        <f>E29*F29*G29</f>
        <v>300</v>
      </c>
      <c r="I29" s="100"/>
      <c r="J29" s="87"/>
      <c r="K29" s="88">
        <v>0</v>
      </c>
      <c r="L29" s="95">
        <f>H29</f>
        <v>300</v>
      </c>
      <c r="M29" s="92"/>
    </row>
    <row r="30" spans="2:13" ht="48.6" customHeight="1" x14ac:dyDescent="0.35">
      <c r="B30" s="98" t="s">
        <v>46</v>
      </c>
      <c r="C30" s="142" t="s">
        <v>71</v>
      </c>
      <c r="D30" s="83" t="s">
        <v>36</v>
      </c>
      <c r="E30" s="84">
        <v>1</v>
      </c>
      <c r="F30" s="84">
        <v>1</v>
      </c>
      <c r="G30" s="85">
        <v>0</v>
      </c>
      <c r="H30" s="89" t="s">
        <v>68</v>
      </c>
      <c r="I30" s="90"/>
      <c r="J30" s="87"/>
      <c r="K30" s="88">
        <v>0</v>
      </c>
      <c r="L30" s="91" t="str">
        <f>H30</f>
        <v>CORTESIA</v>
      </c>
      <c r="M30" s="59"/>
    </row>
    <row r="31" spans="2:13" x14ac:dyDescent="0.35">
      <c r="B31" s="101"/>
      <c r="C31" s="102" t="s">
        <v>53</v>
      </c>
      <c r="D31" s="103"/>
      <c r="E31" s="104"/>
      <c r="F31" s="104"/>
      <c r="G31" s="105"/>
      <c r="H31" s="106"/>
      <c r="I31" s="107"/>
      <c r="J31" s="87"/>
      <c r="K31" s="108"/>
      <c r="L31" s="109"/>
      <c r="M31" s="92"/>
    </row>
    <row r="32" spans="2:13" ht="52.2" x14ac:dyDescent="0.35">
      <c r="B32" s="98" t="s">
        <v>45</v>
      </c>
      <c r="C32" s="142" t="s">
        <v>75</v>
      </c>
      <c r="D32" s="83" t="s">
        <v>36</v>
      </c>
      <c r="E32" s="84">
        <v>1</v>
      </c>
      <c r="F32" s="84">
        <v>1</v>
      </c>
      <c r="G32" s="85">
        <v>0</v>
      </c>
      <c r="H32" s="89" t="s">
        <v>49</v>
      </c>
      <c r="I32" s="90"/>
      <c r="J32" s="87"/>
      <c r="K32" s="88">
        <v>0</v>
      </c>
      <c r="L32" s="91" t="str">
        <f>H32</f>
        <v>RESPONSABILIDADE CLIENTE</v>
      </c>
      <c r="M32" s="59"/>
    </row>
    <row r="33" spans="2:13" ht="34.799999999999997" x14ac:dyDescent="0.35">
      <c r="B33" s="76">
        <v>5</v>
      </c>
      <c r="C33" s="77" t="s">
        <v>40</v>
      </c>
      <c r="D33" s="77"/>
      <c r="E33" s="77"/>
      <c r="F33" s="77"/>
      <c r="G33" s="77"/>
      <c r="H33" s="77"/>
      <c r="I33" s="78">
        <f>SUM(H34:H34)</f>
        <v>0</v>
      </c>
      <c r="J33" s="87"/>
      <c r="K33" s="79" t="s">
        <v>27</v>
      </c>
      <c r="L33" s="80" t="str">
        <f>L$16</f>
        <v>75 DIAS</v>
      </c>
      <c r="M33" s="92"/>
    </row>
    <row r="34" spans="2:13" ht="69.599999999999994" x14ac:dyDescent="0.35">
      <c r="B34" s="98" t="s">
        <v>43</v>
      </c>
      <c r="C34" s="97" t="s">
        <v>76</v>
      </c>
      <c r="D34" s="83" t="s">
        <v>36</v>
      </c>
      <c r="E34" s="84">
        <v>1</v>
      </c>
      <c r="F34" s="84">
        <v>1</v>
      </c>
      <c r="G34" s="85">
        <v>0</v>
      </c>
      <c r="H34" s="89" t="s">
        <v>80</v>
      </c>
      <c r="I34" s="90"/>
      <c r="J34" s="87"/>
      <c r="K34" s="88">
        <v>0</v>
      </c>
      <c r="L34" s="91" t="str">
        <f>H34</f>
        <v>A FATURAR EM CASO DE NECESSIDADE</v>
      </c>
      <c r="M34" s="59"/>
    </row>
    <row r="35" spans="2:13" ht="27.9" customHeight="1" thickBot="1" x14ac:dyDescent="0.4">
      <c r="B35" s="110"/>
      <c r="C35" s="111"/>
      <c r="D35" s="111"/>
      <c r="E35" s="111"/>
      <c r="F35" s="111"/>
      <c r="G35" s="111"/>
      <c r="H35" s="112" t="s">
        <v>24</v>
      </c>
      <c r="I35" s="113">
        <f>SUM(I16:I34)</f>
        <v>75600</v>
      </c>
      <c r="J35" s="87"/>
      <c r="K35" s="114">
        <f>SUM(K16:K34)</f>
        <v>0</v>
      </c>
      <c r="L35" s="115">
        <f>SUM(L16:L34)</f>
        <v>75600</v>
      </c>
      <c r="M35" s="92"/>
    </row>
    <row r="36" spans="2:13" ht="27.9" customHeight="1" x14ac:dyDescent="0.35">
      <c r="B36" s="166" t="s">
        <v>39</v>
      </c>
      <c r="C36" s="167"/>
      <c r="D36" s="167"/>
      <c r="E36" s="167"/>
      <c r="F36" s="167"/>
      <c r="G36" s="167"/>
      <c r="H36" s="167"/>
      <c r="I36" s="116">
        <f>SUMIF(D:D,"( I )",H:H)</f>
        <v>75600</v>
      </c>
      <c r="K36" s="117"/>
      <c r="L36" s="118"/>
      <c r="M36" s="92"/>
    </row>
    <row r="37" spans="2:13" ht="27.9" customHeight="1" x14ac:dyDescent="0.35">
      <c r="B37" s="168" t="s">
        <v>38</v>
      </c>
      <c r="C37" s="169"/>
      <c r="D37" s="169"/>
      <c r="E37" s="169"/>
      <c r="F37" s="169"/>
      <c r="G37" s="169"/>
      <c r="H37" s="169"/>
      <c r="I37" s="119">
        <f>SUMIF(D:D,"( T )",H:H)</f>
        <v>0</v>
      </c>
      <c r="K37" s="117"/>
      <c r="L37" s="118"/>
      <c r="M37" s="92"/>
    </row>
    <row r="38" spans="2:13" ht="27.9" customHeight="1" thickBot="1" x14ac:dyDescent="0.4">
      <c r="B38" s="168" t="s">
        <v>37</v>
      </c>
      <c r="C38" s="169"/>
      <c r="D38" s="169"/>
      <c r="E38" s="169"/>
      <c r="F38" s="169"/>
      <c r="G38" s="169"/>
      <c r="H38" s="169"/>
      <c r="I38" s="120">
        <f>SUMIF(D:D,"( C )",H:H)</f>
        <v>0</v>
      </c>
      <c r="K38" s="117"/>
      <c r="L38" s="118"/>
      <c r="M38" s="92"/>
    </row>
    <row r="39" spans="2:13" ht="39" customHeight="1" thickBot="1" x14ac:dyDescent="0.4">
      <c r="B39" s="170" t="s">
        <v>54</v>
      </c>
      <c r="C39" s="171"/>
      <c r="D39" s="171"/>
      <c r="E39" s="171"/>
      <c r="F39" s="171"/>
      <c r="G39" s="171"/>
      <c r="H39" s="172"/>
      <c r="I39" s="121">
        <f>SUM(I36:I38)</f>
        <v>75600</v>
      </c>
      <c r="K39" s="122" t="s">
        <v>27</v>
      </c>
      <c r="L39" s="123" t="str">
        <f>L$16</f>
        <v>75 DIAS</v>
      </c>
      <c r="M39" s="92"/>
    </row>
    <row r="40" spans="2:13" ht="27.9" customHeight="1" x14ac:dyDescent="0.35">
      <c r="B40" s="173" t="s">
        <v>77</v>
      </c>
      <c r="C40" s="174"/>
      <c r="D40" s="174"/>
      <c r="E40" s="174"/>
      <c r="F40" s="174"/>
      <c r="G40" s="174"/>
      <c r="H40" s="124">
        <v>0</v>
      </c>
      <c r="I40" s="125">
        <f>SUM(I36+I37)*H40</f>
        <v>0</v>
      </c>
      <c r="K40" s="126">
        <v>0</v>
      </c>
      <c r="L40" s="127">
        <f>I40</f>
        <v>0</v>
      </c>
      <c r="M40" s="92"/>
    </row>
    <row r="41" spans="2:13" ht="27.9" customHeight="1" x14ac:dyDescent="0.35">
      <c r="B41" s="175" t="s">
        <v>35</v>
      </c>
      <c r="C41" s="176"/>
      <c r="D41" s="176"/>
      <c r="E41" s="176"/>
      <c r="F41" s="176"/>
      <c r="G41" s="176"/>
      <c r="H41" s="128">
        <v>0.1</v>
      </c>
      <c r="I41" s="129">
        <f>(I36+I37)*H41</f>
        <v>7560</v>
      </c>
      <c r="K41" s="126">
        <v>0</v>
      </c>
      <c r="L41" s="127">
        <f>I41</f>
        <v>7560</v>
      </c>
      <c r="M41" s="92"/>
    </row>
    <row r="42" spans="2:13" ht="27.9" customHeight="1" thickBot="1" x14ac:dyDescent="0.4">
      <c r="B42" s="159" t="s">
        <v>57</v>
      </c>
      <c r="C42" s="160"/>
      <c r="D42" s="160"/>
      <c r="E42" s="160"/>
      <c r="F42" s="160"/>
      <c r="G42" s="160"/>
      <c r="H42" s="130" t="s">
        <v>34</v>
      </c>
      <c r="I42" s="131">
        <f>(I36+I38+I40+I41)/(1-H42)-(I36+I38+I40+I41)</f>
        <v>15840</v>
      </c>
      <c r="K42" s="126">
        <v>0</v>
      </c>
      <c r="L42" s="127">
        <f>I42</f>
        <v>15840</v>
      </c>
      <c r="M42" s="92"/>
    </row>
    <row r="43" spans="2:13" ht="28.2" customHeight="1" thickBot="1" x14ac:dyDescent="0.4">
      <c r="B43" s="161" t="s">
        <v>25</v>
      </c>
      <c r="C43" s="162"/>
      <c r="D43" s="162"/>
      <c r="E43" s="162"/>
      <c r="F43" s="162"/>
      <c r="G43" s="162"/>
      <c r="H43" s="163"/>
      <c r="I43" s="132">
        <f>SUM(I39:I42)</f>
        <v>99000</v>
      </c>
      <c r="K43" s="133">
        <f>SUM(K35:K42)</f>
        <v>0</v>
      </c>
      <c r="L43" s="134">
        <f>SUM(L35:L42)</f>
        <v>99000</v>
      </c>
      <c r="M43" s="92"/>
    </row>
    <row r="44" spans="2:13" ht="27" customHeight="1" thickBot="1" x14ac:dyDescent="0.4">
      <c r="B44" s="23"/>
      <c r="C44" s="24"/>
      <c r="D44" s="25"/>
      <c r="E44" s="26"/>
      <c r="F44" s="26"/>
      <c r="G44" s="27"/>
      <c r="H44" s="27"/>
      <c r="I44" s="28"/>
      <c r="K44" s="164">
        <f>SUM(K43:L43)</f>
        <v>99000</v>
      </c>
      <c r="L44" s="165"/>
      <c r="M44" s="92"/>
    </row>
    <row r="45" spans="2:13" x14ac:dyDescent="0.35">
      <c r="B45" s="154" t="s">
        <v>55</v>
      </c>
      <c r="C45" s="154"/>
      <c r="D45" s="154"/>
      <c r="E45" s="154"/>
      <c r="F45" s="154"/>
      <c r="G45" s="154"/>
      <c r="H45" s="154"/>
      <c r="I45" s="135"/>
      <c r="K45" s="136"/>
      <c r="L45" s="137"/>
      <c r="M45" s="92"/>
    </row>
    <row r="46" spans="2:13" ht="37.5" customHeight="1" x14ac:dyDescent="0.35">
      <c r="B46" s="155" t="s">
        <v>56</v>
      </c>
      <c r="C46" s="155"/>
      <c r="D46" s="155"/>
      <c r="E46" s="155"/>
      <c r="F46" s="155"/>
      <c r="G46" s="155"/>
      <c r="H46" s="155"/>
      <c r="I46" s="138"/>
      <c r="K46" s="139"/>
      <c r="L46" s="140"/>
      <c r="M46" s="92"/>
    </row>
    <row r="47" spans="2:13" ht="18" customHeight="1" x14ac:dyDescent="0.35">
      <c r="B47" s="154" t="s">
        <v>67</v>
      </c>
      <c r="C47" s="154"/>
      <c r="D47" s="154"/>
      <c r="E47" s="154"/>
      <c r="F47" s="154"/>
      <c r="G47" s="154"/>
      <c r="H47" s="154"/>
      <c r="I47" s="135"/>
    </row>
  </sheetData>
  <mergeCells count="14">
    <mergeCell ref="B40:G40"/>
    <mergeCell ref="B41:G41"/>
    <mergeCell ref="B38:H38"/>
    <mergeCell ref="K15:L15"/>
    <mergeCell ref="K9:L9"/>
    <mergeCell ref="B45:H45"/>
    <mergeCell ref="B46:H46"/>
    <mergeCell ref="B47:H47"/>
    <mergeCell ref="B42:G42"/>
    <mergeCell ref="B43:H43"/>
    <mergeCell ref="K44:L44"/>
    <mergeCell ref="B36:H36"/>
    <mergeCell ref="B37:H37"/>
    <mergeCell ref="B39:H39"/>
  </mergeCells>
  <phoneticPr fontId="7" type="noConversion"/>
  <dataValidations count="1">
    <dataValidation type="list" allowBlank="1" showInputMessage="1" showErrorMessage="1" sqref="D48:D1048576 D1:D44" xr:uid="{00000000-0002-0000-0100-000000000000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FE40-7CFE-404D-9CE2-552434BE2E89}">
  <dimension ref="A1"/>
  <sheetViews>
    <sheetView showGridLines="0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GERAL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Annunciato</dc:creator>
  <cp:lastModifiedBy>Keila Parente</cp:lastModifiedBy>
  <dcterms:created xsi:type="dcterms:W3CDTF">2023-06-29T15:11:37Z</dcterms:created>
  <dcterms:modified xsi:type="dcterms:W3CDTF">2026-03-06T18:33:28Z</dcterms:modified>
</cp:coreProperties>
</file>